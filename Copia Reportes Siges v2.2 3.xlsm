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Luis Rodriguez\Documents\1. Luisrdgz\1. SOIN\2.PMO\SIGES\siges_automation\"/>
    </mc:Choice>
  </mc:AlternateContent>
  <xr:revisionPtr revIDLastSave="0" documentId="13_ncr:1_{D1BF28F9-284E-43D3-8F1E-E1DD7F395E13}" xr6:coauthVersionLast="47" xr6:coauthVersionMax="47" xr10:uidLastSave="{00000000-0000-0000-0000-000000000000}"/>
  <bookViews>
    <workbookView xWindow="-120" yWindow="-120" windowWidth="20730" windowHeight="11040" tabRatio="715" firstSheet="1" activeTab="2" xr2:uid="{66EF9E9E-8D32-4488-A04E-78E26F069E01}"/>
  </bookViews>
  <sheets>
    <sheet name="Catálogos" sheetId="4" state="hidden" r:id="rId1"/>
    <sheet name="Catálogo" sheetId="22" r:id="rId2"/>
    <sheet name="Control" sheetId="1" r:id="rId3"/>
    <sheet name="Query" sheetId="10" r:id="rId4"/>
    <sheet name="Horas" sheetId="13" r:id="rId5"/>
    <sheet name="Hrs Extras Semana" sheetId="20" r:id="rId6"/>
    <sheet name="Hrs Extras Fact" sheetId="23" r:id="rId7"/>
    <sheet name="Hrs Extras Fact Grupo" sheetId="24" r:id="rId8"/>
    <sheet name="Reporte Horas" sheetId="16" r:id="rId9"/>
    <sheet name="Fechas Mes" sheetId="17" r:id="rId10"/>
    <sheet name="Grupo Trabajo" sheetId="2" state="hidden" r:id="rId11"/>
    <sheet name="Proyecto" sheetId="11" r:id="rId12"/>
    <sheet name="Tipo Clasificación" sheetId="3" state="hidden" r:id="rId13"/>
    <sheet name="Contrato" sheetId="6" state="hidden" r:id="rId14"/>
    <sheet name="Area Responsabilidad" sheetId="7" state="hidden" r:id="rId15"/>
    <sheet name="Especialidad" sheetId="8" state="hidden" r:id="rId16"/>
    <sheet name="Usuarios" sheetId="9" r:id="rId17"/>
  </sheets>
  <definedNames>
    <definedName name="_xlnm._FilterDatabase" localSheetId="8" hidden="1">'Reporte Horas'!$A$7:$J$69</definedName>
    <definedName name="_xleta.LEFT" hidden="1" xlm="1">#NAME?</definedName>
    <definedName name="Consulta_desde_Proyectos" localSheetId="14" hidden="1">'Area Responsabilidad'!$A$4:$B$45</definedName>
    <definedName name="Consulta_desde_Proyectos" localSheetId="13" hidden="1">Contrato!$A$4:$D$289</definedName>
    <definedName name="Consulta_desde_Proyectos" localSheetId="15" hidden="1">Especialidad!$A$4:$B$261</definedName>
    <definedName name="Consulta_desde_Proyectos" localSheetId="10" hidden="1">'Grupo Trabajo'!$A$4:$C$192</definedName>
    <definedName name="Consulta_desde_Proyectos" localSheetId="4" hidden="1">Horas!$A$1:$Q$468</definedName>
    <definedName name="Consulta_desde_Proyectos" localSheetId="11" hidden="1">Proyecto!$A$4:$C$1478</definedName>
    <definedName name="Consulta_desde_Proyectos" localSheetId="12" hidden="1">'Tipo Clasificación'!$A$4:$B$118</definedName>
    <definedName name="Consulta_desde_Proyectos" localSheetId="16" hidden="1">Usuarios!$A$4:$C$947</definedName>
    <definedName name="_xlnm.Print_Area" localSheetId="8">'Reporte Horas'!$D$2:$J$20</definedName>
    <definedName name="_xlnm.Print_Titles" localSheetId="8">'Reporte Horas'!$2:$7</definedName>
    <definedName name="Query">Query!$A$1:$A$45</definedName>
    <definedName name="TablaCierre" localSheetId="9">OFFSET(#REF!,,,MATCH("Total",#REF!,0),9)</definedName>
    <definedName name="TablaCierre">OFFSET(#REF!,,,MATCH("Total",#REF!,0),11)</definedName>
    <definedName name="TablaCierreImg">OFFSET(#REF!,,,MATCH("Total",#REF!,0),9)</definedName>
    <definedName name="TextoCierre" localSheetId="9">OFFSET(#REF!,,,MAX(#REF!),4)</definedName>
    <definedName name="TextoCierre">OFFSET(#REF!,,,MAX(#REF!),4)</definedName>
    <definedName name="XRecursoXEtapa">OFFSET(#REF!,,,#REF!,10)</definedName>
    <definedName name="XRecursoXEtapaEliminar">OFFSET(#REF!,,,1000,10)</definedName>
    <definedName name="XRecursoXMes">OFFSET(#REF!,,,#REF!,#REF!)</definedName>
    <definedName name="XRecursoXMesEliminar">OFFSET(#REF!,,,1000,1000)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2" i="13" l="1"/>
  <c r="W3" i="13"/>
  <c r="W4" i="13"/>
  <c r="W5" i="13"/>
  <c r="W6" i="13"/>
  <c r="W7" i="13"/>
  <c r="Y59" i="13" s="1"/>
  <c r="W8" i="13"/>
  <c r="Y259" i="13" s="1"/>
  <c r="W9" i="13"/>
  <c r="W10" i="13"/>
  <c r="W11" i="13"/>
  <c r="W12" i="13"/>
  <c r="W13" i="13"/>
  <c r="W14"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W48" i="13"/>
  <c r="W49" i="13"/>
  <c r="W50" i="13"/>
  <c r="W51" i="13"/>
  <c r="W52" i="13"/>
  <c r="W53" i="13"/>
  <c r="W54" i="13"/>
  <c r="W55" i="13"/>
  <c r="W56" i="13"/>
  <c r="W57" i="13"/>
  <c r="W58" i="13"/>
  <c r="W59" i="13"/>
  <c r="W60" i="13"/>
  <c r="W61" i="13"/>
  <c r="W62" i="13"/>
  <c r="W63" i="13"/>
  <c r="W64" i="13"/>
  <c r="W65" i="13"/>
  <c r="W66" i="13"/>
  <c r="W67" i="13"/>
  <c r="W68" i="13"/>
  <c r="W69" i="13"/>
  <c r="W70" i="13"/>
  <c r="W71" i="13"/>
  <c r="W72" i="13"/>
  <c r="W73" i="13"/>
  <c r="W74" i="13"/>
  <c r="W75" i="13"/>
  <c r="W76" i="13"/>
  <c r="W77" i="13"/>
  <c r="W78" i="13"/>
  <c r="W79" i="13"/>
  <c r="W80" i="13"/>
  <c r="W81" i="13"/>
  <c r="W82" i="13"/>
  <c r="W83" i="13"/>
  <c r="W84" i="13"/>
  <c r="W85" i="13"/>
  <c r="W86" i="13"/>
  <c r="W87" i="13"/>
  <c r="W88" i="13"/>
  <c r="W89" i="13"/>
  <c r="W90" i="13"/>
  <c r="W91" i="13"/>
  <c r="W92" i="13"/>
  <c r="W93" i="13"/>
  <c r="W94" i="13"/>
  <c r="W95" i="13"/>
  <c r="W96" i="13"/>
  <c r="W97" i="13"/>
  <c r="W98" i="13"/>
  <c r="W99" i="13"/>
  <c r="W100" i="13"/>
  <c r="W101" i="13"/>
  <c r="W102" i="13"/>
  <c r="W103" i="13"/>
  <c r="W104" i="13"/>
  <c r="W105" i="13"/>
  <c r="W106" i="13"/>
  <c r="W107" i="13"/>
  <c r="W108" i="13"/>
  <c r="W109" i="13"/>
  <c r="W110" i="13"/>
  <c r="W111" i="13"/>
  <c r="W112" i="13"/>
  <c r="W113" i="13"/>
  <c r="W114" i="13"/>
  <c r="W115" i="13"/>
  <c r="W116" i="13"/>
  <c r="W117" i="13"/>
  <c r="W118" i="13"/>
  <c r="W119" i="13"/>
  <c r="W120" i="13"/>
  <c r="W121" i="13"/>
  <c r="W122" i="13"/>
  <c r="W123" i="13"/>
  <c r="W124" i="13"/>
  <c r="W125" i="13"/>
  <c r="W126" i="13"/>
  <c r="W127" i="13"/>
  <c r="W128" i="13"/>
  <c r="W129" i="13"/>
  <c r="W130" i="13"/>
  <c r="W131" i="13"/>
  <c r="W132" i="13"/>
  <c r="W133" i="13"/>
  <c r="W134" i="13"/>
  <c r="W135" i="13"/>
  <c r="W136" i="13"/>
  <c r="W137" i="13"/>
  <c r="W138" i="13"/>
  <c r="W139" i="13"/>
  <c r="W140" i="13"/>
  <c r="W141" i="13"/>
  <c r="W142" i="13"/>
  <c r="W143" i="13"/>
  <c r="W144" i="13"/>
  <c r="W145" i="13"/>
  <c r="W146" i="13"/>
  <c r="Y146" i="13" s="1"/>
  <c r="W147" i="13"/>
  <c r="W148" i="13"/>
  <c r="W149" i="13"/>
  <c r="W150" i="13"/>
  <c r="W151" i="13"/>
  <c r="W152" i="13"/>
  <c r="W153" i="13"/>
  <c r="W154" i="13"/>
  <c r="W155" i="13"/>
  <c r="W156" i="13"/>
  <c r="W157" i="13"/>
  <c r="W158" i="13"/>
  <c r="W159" i="13"/>
  <c r="W160" i="13"/>
  <c r="W161" i="13"/>
  <c r="W162" i="13"/>
  <c r="W163" i="13"/>
  <c r="W164" i="13"/>
  <c r="W165" i="13"/>
  <c r="W166" i="13"/>
  <c r="W167" i="13"/>
  <c r="W168" i="13"/>
  <c r="W169" i="13"/>
  <c r="W170" i="13"/>
  <c r="W171" i="13"/>
  <c r="W172" i="13"/>
  <c r="W173" i="13"/>
  <c r="W174" i="13"/>
  <c r="W175" i="13"/>
  <c r="W176" i="13"/>
  <c r="W177" i="13"/>
  <c r="W178" i="13"/>
  <c r="W179" i="13"/>
  <c r="W180" i="13"/>
  <c r="W181" i="13"/>
  <c r="W182" i="13"/>
  <c r="W183" i="13"/>
  <c r="W184" i="13"/>
  <c r="W185" i="13"/>
  <c r="W186" i="13"/>
  <c r="W187" i="13"/>
  <c r="W188" i="13"/>
  <c r="W189" i="13"/>
  <c r="W190" i="13"/>
  <c r="W191" i="13"/>
  <c r="W192" i="13"/>
  <c r="W193" i="13"/>
  <c r="W194" i="13"/>
  <c r="W195" i="13"/>
  <c r="W196" i="13"/>
  <c r="W197" i="13"/>
  <c r="W198" i="13"/>
  <c r="W199" i="13"/>
  <c r="W200" i="13"/>
  <c r="W201" i="13"/>
  <c r="W202" i="13"/>
  <c r="W203" i="13"/>
  <c r="W204" i="13"/>
  <c r="W205" i="13"/>
  <c r="W206" i="13"/>
  <c r="W207" i="13"/>
  <c r="W208" i="13"/>
  <c r="W209" i="13"/>
  <c r="W210" i="13"/>
  <c r="W211" i="13"/>
  <c r="W212" i="13"/>
  <c r="W213" i="13"/>
  <c r="W214" i="13"/>
  <c r="W215" i="13"/>
  <c r="W216" i="13"/>
  <c r="W217" i="13"/>
  <c r="W218" i="13"/>
  <c r="W219" i="13"/>
  <c r="W220" i="13"/>
  <c r="W221" i="13"/>
  <c r="W222" i="13"/>
  <c r="W223" i="13"/>
  <c r="W224" i="13"/>
  <c r="W225" i="13"/>
  <c r="W226" i="13"/>
  <c r="W227" i="13"/>
  <c r="W228" i="13"/>
  <c r="W229" i="13"/>
  <c r="W230" i="13"/>
  <c r="W231" i="13"/>
  <c r="W232" i="13"/>
  <c r="W233" i="13"/>
  <c r="W234" i="13"/>
  <c r="W235" i="13"/>
  <c r="W236" i="13"/>
  <c r="W237" i="13"/>
  <c r="W238" i="13"/>
  <c r="W239" i="13"/>
  <c r="W240" i="13"/>
  <c r="W241" i="13"/>
  <c r="W242" i="13"/>
  <c r="W243" i="13"/>
  <c r="W244" i="13"/>
  <c r="W245" i="13"/>
  <c r="W246" i="13"/>
  <c r="W247" i="13"/>
  <c r="W248" i="13"/>
  <c r="W249" i="13"/>
  <c r="W250" i="13"/>
  <c r="W251" i="13"/>
  <c r="W252" i="13"/>
  <c r="W253" i="13"/>
  <c r="W254" i="13"/>
  <c r="W255" i="13"/>
  <c r="W256" i="13"/>
  <c r="W257" i="13"/>
  <c r="W258" i="13"/>
  <c r="W259" i="13"/>
  <c r="W260" i="13"/>
  <c r="W261" i="13"/>
  <c r="W262" i="13"/>
  <c r="W263" i="13"/>
  <c r="W264" i="13"/>
  <c r="W265" i="13"/>
  <c r="W266" i="13"/>
  <c r="W267" i="13"/>
  <c r="W268" i="13"/>
  <c r="W269" i="13"/>
  <c r="W270" i="13"/>
  <c r="W271" i="13"/>
  <c r="W272" i="13"/>
  <c r="W273" i="13"/>
  <c r="W274" i="13"/>
  <c r="W275" i="13"/>
  <c r="W276" i="13"/>
  <c r="W277" i="13"/>
  <c r="W278" i="13"/>
  <c r="W279" i="13"/>
  <c r="W280" i="13"/>
  <c r="W281" i="13"/>
  <c r="W282" i="13"/>
  <c r="W283" i="13"/>
  <c r="W284" i="13"/>
  <c r="W285" i="13"/>
  <c r="W286" i="13"/>
  <c r="W287" i="13"/>
  <c r="W288" i="13"/>
  <c r="W289" i="13"/>
  <c r="W290" i="13"/>
  <c r="W291" i="13"/>
  <c r="W292" i="13"/>
  <c r="W293" i="13"/>
  <c r="W294" i="13"/>
  <c r="W295" i="13"/>
  <c r="W296" i="13"/>
  <c r="W297" i="13"/>
  <c r="W298" i="13"/>
  <c r="W299" i="13"/>
  <c r="W300" i="13"/>
  <c r="W301" i="13"/>
  <c r="W302" i="13"/>
  <c r="W303" i="13"/>
  <c r="W304" i="13"/>
  <c r="W305" i="13"/>
  <c r="W306" i="13"/>
  <c r="W307" i="13"/>
  <c r="W308" i="13"/>
  <c r="W309" i="13"/>
  <c r="W310" i="13"/>
  <c r="W311" i="13"/>
  <c r="W312" i="13"/>
  <c r="W313" i="13"/>
  <c r="W314" i="13"/>
  <c r="W315" i="13"/>
  <c r="W316" i="13"/>
  <c r="W317" i="13"/>
  <c r="W318" i="13"/>
  <c r="W319" i="13"/>
  <c r="W320" i="13"/>
  <c r="W321" i="13"/>
  <c r="W322" i="13"/>
  <c r="W323" i="13"/>
  <c r="W324" i="13"/>
  <c r="W325" i="13"/>
  <c r="W326" i="13"/>
  <c r="W327" i="13"/>
  <c r="W328" i="13"/>
  <c r="W329" i="13"/>
  <c r="W330" i="13"/>
  <c r="W331" i="13"/>
  <c r="W332" i="13"/>
  <c r="W333" i="13"/>
  <c r="W334" i="13"/>
  <c r="W335" i="13"/>
  <c r="W336" i="13"/>
  <c r="W337" i="13"/>
  <c r="W338" i="13"/>
  <c r="W339" i="13"/>
  <c r="W340" i="13"/>
  <c r="W341" i="13"/>
  <c r="W342" i="13"/>
  <c r="W343" i="13"/>
  <c r="W344" i="13"/>
  <c r="W345" i="13"/>
  <c r="W346" i="13"/>
  <c r="W347" i="13"/>
  <c r="W348" i="13"/>
  <c r="W349" i="13"/>
  <c r="W350" i="13"/>
  <c r="W351" i="13"/>
  <c r="W352" i="13"/>
  <c r="W353" i="13"/>
  <c r="W354" i="13"/>
  <c r="W355" i="13"/>
  <c r="W356" i="13"/>
  <c r="W357" i="13"/>
  <c r="W358" i="13"/>
  <c r="W359" i="13"/>
  <c r="W360" i="13"/>
  <c r="W361" i="13"/>
  <c r="W362" i="13"/>
  <c r="W363" i="13"/>
  <c r="W364" i="13"/>
  <c r="W365" i="13"/>
  <c r="W366" i="13"/>
  <c r="W367" i="13"/>
  <c r="W368" i="13"/>
  <c r="W369" i="13"/>
  <c r="W370" i="13"/>
  <c r="W371" i="13"/>
  <c r="W372" i="13"/>
  <c r="W373" i="13"/>
  <c r="W374" i="13"/>
  <c r="W375" i="13"/>
  <c r="W376" i="13"/>
  <c r="W377" i="13"/>
  <c r="W378" i="13"/>
  <c r="W379" i="13"/>
  <c r="W380" i="13"/>
  <c r="W381" i="13"/>
  <c r="W382" i="13"/>
  <c r="W383" i="13"/>
  <c r="W384" i="13"/>
  <c r="W385" i="13"/>
  <c r="W386" i="13"/>
  <c r="W387" i="13"/>
  <c r="W388" i="13"/>
  <c r="W389" i="13"/>
  <c r="W390" i="13"/>
  <c r="W391" i="13"/>
  <c r="W392" i="13"/>
  <c r="W393" i="13"/>
  <c r="W394" i="13"/>
  <c r="W395" i="13"/>
  <c r="W396" i="13"/>
  <c r="W397" i="13"/>
  <c r="W398" i="13"/>
  <c r="W399" i="13"/>
  <c r="W400" i="13"/>
  <c r="W401" i="13"/>
  <c r="W402" i="13"/>
  <c r="W403" i="13"/>
  <c r="W404" i="13"/>
  <c r="W405" i="13"/>
  <c r="W406" i="13"/>
  <c r="W407" i="13"/>
  <c r="W408" i="13"/>
  <c r="W409" i="13"/>
  <c r="W410" i="13"/>
  <c r="W411" i="13"/>
  <c r="W412" i="13"/>
  <c r="W413" i="13"/>
  <c r="W414" i="13"/>
  <c r="W415" i="13"/>
  <c r="W416" i="13"/>
  <c r="W417" i="13"/>
  <c r="W418" i="13"/>
  <c r="W419" i="13"/>
  <c r="W420" i="13"/>
  <c r="W421" i="13"/>
  <c r="W422" i="13"/>
  <c r="W423" i="13"/>
  <c r="W424" i="13"/>
  <c r="W425" i="13"/>
  <c r="W426" i="13"/>
  <c r="W427" i="13"/>
  <c r="W428" i="13"/>
  <c r="W429" i="13"/>
  <c r="W430" i="13"/>
  <c r="W431" i="13"/>
  <c r="W432" i="13"/>
  <c r="W433" i="13"/>
  <c r="W434" i="13"/>
  <c r="W435" i="13"/>
  <c r="W436" i="13"/>
  <c r="W437" i="13"/>
  <c r="W438" i="13"/>
  <c r="W439" i="13"/>
  <c r="W440" i="13"/>
  <c r="W441" i="13"/>
  <c r="W442" i="13"/>
  <c r="W443" i="13"/>
  <c r="W444" i="13"/>
  <c r="W445" i="13"/>
  <c r="W446" i="13"/>
  <c r="W447" i="13"/>
  <c r="W448" i="13"/>
  <c r="W449" i="13"/>
  <c r="W450" i="13"/>
  <c r="W451" i="13"/>
  <c r="W452" i="13"/>
  <c r="W453" i="13"/>
  <c r="W454" i="13"/>
  <c r="W455" i="13"/>
  <c r="W456" i="13"/>
  <c r="W457" i="13"/>
  <c r="W458" i="13"/>
  <c r="W459" i="13"/>
  <c r="W460" i="13"/>
  <c r="W461" i="13"/>
  <c r="W462" i="13"/>
  <c r="W463" i="13"/>
  <c r="W464" i="13"/>
  <c r="W465" i="13"/>
  <c r="W466" i="13"/>
  <c r="W467" i="13"/>
  <c r="W468" i="13"/>
  <c r="X2" i="13"/>
  <c r="X3" i="13"/>
  <c r="X4" i="13"/>
  <c r="X5" i="13"/>
  <c r="X6" i="13"/>
  <c r="X7" i="13"/>
  <c r="X8" i="13"/>
  <c r="X9" i="13"/>
  <c r="X10" i="13"/>
  <c r="X11" i="13"/>
  <c r="X12" i="13"/>
  <c r="X13" i="13"/>
  <c r="X14" i="13"/>
  <c r="X15" i="13"/>
  <c r="X16" i="13"/>
  <c r="X17" i="13"/>
  <c r="X18" i="13"/>
  <c r="X19" i="13"/>
  <c r="X20" i="13"/>
  <c r="X21" i="13"/>
  <c r="X22" i="13"/>
  <c r="X23" i="13"/>
  <c r="X24" i="13"/>
  <c r="X25" i="13"/>
  <c r="X26" i="13"/>
  <c r="X27" i="13"/>
  <c r="X28" i="13"/>
  <c r="X29" i="13"/>
  <c r="X30" i="13"/>
  <c r="X31" i="13"/>
  <c r="X32" i="13"/>
  <c r="X33" i="13"/>
  <c r="X34" i="13"/>
  <c r="X35" i="13"/>
  <c r="X36" i="13"/>
  <c r="X37" i="13"/>
  <c r="X38" i="13"/>
  <c r="X39" i="13"/>
  <c r="X40" i="13"/>
  <c r="X41" i="13"/>
  <c r="X42" i="13"/>
  <c r="X43" i="13"/>
  <c r="X44" i="13"/>
  <c r="X45" i="13"/>
  <c r="X46" i="13"/>
  <c r="X47" i="13"/>
  <c r="X48" i="13"/>
  <c r="X49" i="13"/>
  <c r="X50" i="13"/>
  <c r="X51" i="13"/>
  <c r="X52" i="13"/>
  <c r="X53" i="13"/>
  <c r="X54" i="13"/>
  <c r="X55" i="13"/>
  <c r="X56" i="13"/>
  <c r="X57" i="13"/>
  <c r="X58" i="13"/>
  <c r="X59" i="13"/>
  <c r="X60" i="13"/>
  <c r="X61" i="13"/>
  <c r="X62" i="13"/>
  <c r="X63" i="13"/>
  <c r="X64" i="13"/>
  <c r="X65" i="13"/>
  <c r="X66" i="13"/>
  <c r="X67" i="13"/>
  <c r="X68" i="13"/>
  <c r="X69" i="13"/>
  <c r="X70" i="13"/>
  <c r="X71" i="13"/>
  <c r="X72" i="13"/>
  <c r="X73" i="13"/>
  <c r="X74" i="13"/>
  <c r="X75" i="13"/>
  <c r="X76" i="13"/>
  <c r="X77" i="13"/>
  <c r="X78" i="13"/>
  <c r="X79" i="13"/>
  <c r="X80" i="13"/>
  <c r="X81" i="13"/>
  <c r="X82" i="13"/>
  <c r="X83" i="13"/>
  <c r="X84" i="13"/>
  <c r="X85" i="13"/>
  <c r="X86" i="13"/>
  <c r="X87" i="13"/>
  <c r="X88" i="13"/>
  <c r="X89" i="13"/>
  <c r="X90" i="13"/>
  <c r="X91" i="13"/>
  <c r="X92" i="13"/>
  <c r="X93" i="13"/>
  <c r="X94" i="13"/>
  <c r="X95" i="13"/>
  <c r="X96" i="13"/>
  <c r="X97" i="13"/>
  <c r="X98" i="13"/>
  <c r="X99" i="13"/>
  <c r="X100" i="13"/>
  <c r="X101" i="13"/>
  <c r="X102" i="13"/>
  <c r="X103" i="13"/>
  <c r="X104" i="13"/>
  <c r="X105" i="13"/>
  <c r="X106" i="13"/>
  <c r="X107" i="13"/>
  <c r="X108" i="13"/>
  <c r="X109" i="13"/>
  <c r="X110" i="13"/>
  <c r="X111" i="13"/>
  <c r="X112" i="13"/>
  <c r="X113" i="13"/>
  <c r="X114" i="13"/>
  <c r="X115" i="13"/>
  <c r="X116" i="13"/>
  <c r="X117" i="13"/>
  <c r="X118" i="13"/>
  <c r="X119" i="13"/>
  <c r="X120" i="13"/>
  <c r="X121" i="13"/>
  <c r="X122" i="13"/>
  <c r="X123" i="13"/>
  <c r="X124" i="13"/>
  <c r="X125" i="13"/>
  <c r="X126" i="13"/>
  <c r="X127" i="13"/>
  <c r="X128" i="13"/>
  <c r="X129" i="13"/>
  <c r="X130" i="13"/>
  <c r="X131" i="13"/>
  <c r="X132" i="13"/>
  <c r="X133" i="13"/>
  <c r="X134" i="13"/>
  <c r="X135" i="13"/>
  <c r="X136" i="13"/>
  <c r="X137" i="13"/>
  <c r="X138" i="13"/>
  <c r="X139" i="13"/>
  <c r="X140" i="13"/>
  <c r="X141" i="13"/>
  <c r="X142" i="13"/>
  <c r="X143" i="13"/>
  <c r="X144" i="13"/>
  <c r="X145" i="13"/>
  <c r="X146" i="13"/>
  <c r="X147" i="13"/>
  <c r="X148" i="13"/>
  <c r="X149" i="13"/>
  <c r="X150" i="13"/>
  <c r="X151" i="13"/>
  <c r="X152" i="13"/>
  <c r="X153" i="13"/>
  <c r="X154" i="13"/>
  <c r="X155" i="13"/>
  <c r="X156" i="13"/>
  <c r="X157" i="13"/>
  <c r="X158" i="13"/>
  <c r="X159" i="13"/>
  <c r="X160" i="13"/>
  <c r="X161" i="13"/>
  <c r="X162" i="13"/>
  <c r="X163" i="13"/>
  <c r="X164" i="13"/>
  <c r="X165" i="13"/>
  <c r="X166" i="13"/>
  <c r="X167" i="13"/>
  <c r="X168" i="13"/>
  <c r="X169" i="13"/>
  <c r="X170" i="13"/>
  <c r="X171" i="13"/>
  <c r="X172" i="13"/>
  <c r="X173" i="13"/>
  <c r="X174" i="13"/>
  <c r="X175" i="13"/>
  <c r="X176" i="13"/>
  <c r="X177" i="13"/>
  <c r="X178" i="13"/>
  <c r="X179" i="13"/>
  <c r="X180" i="13"/>
  <c r="X181" i="13"/>
  <c r="X182" i="13"/>
  <c r="X183" i="13"/>
  <c r="X184" i="13"/>
  <c r="X185" i="13"/>
  <c r="X186" i="13"/>
  <c r="X187" i="13"/>
  <c r="X188" i="13"/>
  <c r="X189" i="13"/>
  <c r="X190" i="13"/>
  <c r="X191" i="13"/>
  <c r="X192" i="13"/>
  <c r="X193" i="13"/>
  <c r="X194" i="13"/>
  <c r="X195" i="13"/>
  <c r="X196" i="13"/>
  <c r="X197" i="13"/>
  <c r="X198" i="13"/>
  <c r="X199" i="13"/>
  <c r="X200" i="13"/>
  <c r="X201" i="13"/>
  <c r="X202" i="13"/>
  <c r="X203" i="13"/>
  <c r="X204" i="13"/>
  <c r="X205" i="13"/>
  <c r="X206" i="13"/>
  <c r="X207" i="13"/>
  <c r="X208" i="13"/>
  <c r="X209" i="13"/>
  <c r="X210" i="13"/>
  <c r="X211" i="13"/>
  <c r="X212" i="13"/>
  <c r="X213" i="13"/>
  <c r="X214" i="13"/>
  <c r="X215" i="13"/>
  <c r="X216" i="13"/>
  <c r="X217" i="13"/>
  <c r="X218" i="13"/>
  <c r="X219" i="13"/>
  <c r="X220" i="13"/>
  <c r="X221" i="13"/>
  <c r="X222" i="13"/>
  <c r="X223" i="13"/>
  <c r="X224" i="13"/>
  <c r="X225" i="13"/>
  <c r="X226" i="13"/>
  <c r="X227" i="13"/>
  <c r="X228" i="13"/>
  <c r="X229" i="13"/>
  <c r="X230" i="13"/>
  <c r="X231" i="13"/>
  <c r="X232" i="13"/>
  <c r="X233" i="13"/>
  <c r="X234" i="13"/>
  <c r="X235" i="13"/>
  <c r="X236" i="13"/>
  <c r="X237" i="13"/>
  <c r="X238" i="13"/>
  <c r="X239" i="13"/>
  <c r="X240" i="13"/>
  <c r="X241" i="13"/>
  <c r="X242" i="13"/>
  <c r="X243" i="13"/>
  <c r="X244" i="13"/>
  <c r="X245" i="13"/>
  <c r="X246" i="13"/>
  <c r="X247" i="13"/>
  <c r="X248" i="13"/>
  <c r="X249" i="13"/>
  <c r="X250" i="13"/>
  <c r="X251" i="13"/>
  <c r="X252" i="13"/>
  <c r="X253" i="13"/>
  <c r="X254" i="13"/>
  <c r="X255" i="13"/>
  <c r="X256" i="13"/>
  <c r="X257" i="13"/>
  <c r="X258" i="13"/>
  <c r="X259" i="13"/>
  <c r="X260" i="13"/>
  <c r="X261" i="13"/>
  <c r="X262" i="13"/>
  <c r="X263" i="13"/>
  <c r="X264" i="13"/>
  <c r="X265" i="13"/>
  <c r="X266" i="13"/>
  <c r="X267" i="13"/>
  <c r="X268" i="13"/>
  <c r="X269" i="13"/>
  <c r="X270" i="13"/>
  <c r="X271" i="13"/>
  <c r="X272" i="13"/>
  <c r="X273" i="13"/>
  <c r="X274" i="13"/>
  <c r="X275" i="13"/>
  <c r="X276" i="13"/>
  <c r="X277" i="13"/>
  <c r="X278" i="13"/>
  <c r="X279" i="13"/>
  <c r="X280" i="13"/>
  <c r="X281" i="13"/>
  <c r="X282" i="13"/>
  <c r="X283" i="13"/>
  <c r="X284" i="13"/>
  <c r="X285" i="13"/>
  <c r="X286" i="13"/>
  <c r="X287" i="13"/>
  <c r="X288" i="13"/>
  <c r="X289" i="13"/>
  <c r="X290" i="13"/>
  <c r="X291" i="13"/>
  <c r="X292" i="13"/>
  <c r="X293" i="13"/>
  <c r="X294" i="13"/>
  <c r="X295" i="13"/>
  <c r="X296" i="13"/>
  <c r="X297" i="13"/>
  <c r="X298" i="13"/>
  <c r="X299" i="13"/>
  <c r="X300" i="13"/>
  <c r="X301" i="13"/>
  <c r="X302" i="13"/>
  <c r="X303" i="13"/>
  <c r="X304" i="13"/>
  <c r="X305" i="13"/>
  <c r="X306" i="13"/>
  <c r="X307" i="13"/>
  <c r="X308" i="13"/>
  <c r="X309" i="13"/>
  <c r="X310" i="13"/>
  <c r="X311" i="13"/>
  <c r="X312" i="13"/>
  <c r="X313" i="13"/>
  <c r="X314" i="13"/>
  <c r="X315" i="13"/>
  <c r="X316" i="13"/>
  <c r="X317" i="13"/>
  <c r="X318" i="13"/>
  <c r="X319" i="13"/>
  <c r="X320" i="13"/>
  <c r="X321" i="13"/>
  <c r="X322" i="13"/>
  <c r="X323" i="13"/>
  <c r="X324" i="13"/>
  <c r="X325" i="13"/>
  <c r="X326" i="13"/>
  <c r="X327" i="13"/>
  <c r="X328" i="13"/>
  <c r="X329" i="13"/>
  <c r="X330" i="13"/>
  <c r="X331" i="13"/>
  <c r="X332" i="13"/>
  <c r="X333" i="13"/>
  <c r="X334" i="13"/>
  <c r="X335" i="13"/>
  <c r="X336" i="13"/>
  <c r="X337" i="13"/>
  <c r="X338" i="13"/>
  <c r="X339" i="13"/>
  <c r="X340" i="13"/>
  <c r="X341" i="13"/>
  <c r="X342" i="13"/>
  <c r="X343" i="13"/>
  <c r="X344" i="13"/>
  <c r="X345" i="13"/>
  <c r="X346" i="13"/>
  <c r="X347" i="13"/>
  <c r="X348" i="13"/>
  <c r="X349" i="13"/>
  <c r="X350" i="13"/>
  <c r="X351" i="13"/>
  <c r="X352" i="13"/>
  <c r="X353" i="13"/>
  <c r="X354" i="13"/>
  <c r="X355" i="13"/>
  <c r="X356" i="13"/>
  <c r="X357" i="13"/>
  <c r="X358" i="13"/>
  <c r="X359" i="13"/>
  <c r="X360" i="13"/>
  <c r="X361" i="13"/>
  <c r="X362" i="13"/>
  <c r="X363" i="13"/>
  <c r="X364" i="13"/>
  <c r="X365" i="13"/>
  <c r="X366" i="13"/>
  <c r="X367" i="13"/>
  <c r="X368" i="13"/>
  <c r="X369" i="13"/>
  <c r="X370" i="13"/>
  <c r="X371" i="13"/>
  <c r="X372" i="13"/>
  <c r="X373" i="13"/>
  <c r="X374" i="13"/>
  <c r="X375" i="13"/>
  <c r="X376" i="13"/>
  <c r="X377" i="13"/>
  <c r="X378" i="13"/>
  <c r="X379" i="13"/>
  <c r="X380" i="13"/>
  <c r="X381" i="13"/>
  <c r="X382" i="13"/>
  <c r="X383" i="13"/>
  <c r="X384" i="13"/>
  <c r="X385" i="13"/>
  <c r="X386" i="13"/>
  <c r="X387" i="13"/>
  <c r="X388" i="13"/>
  <c r="X389" i="13"/>
  <c r="X390" i="13"/>
  <c r="X391" i="13"/>
  <c r="X392" i="13"/>
  <c r="X393" i="13"/>
  <c r="X394" i="13"/>
  <c r="X395" i="13"/>
  <c r="X396" i="13"/>
  <c r="X397" i="13"/>
  <c r="X398" i="13"/>
  <c r="X399" i="13"/>
  <c r="X400" i="13"/>
  <c r="X401" i="13"/>
  <c r="X402" i="13"/>
  <c r="X403" i="13"/>
  <c r="X404" i="13"/>
  <c r="X405" i="13"/>
  <c r="X406" i="13"/>
  <c r="X407" i="13"/>
  <c r="X408" i="13"/>
  <c r="X409" i="13"/>
  <c r="X410" i="13"/>
  <c r="X411" i="13"/>
  <c r="X412" i="13"/>
  <c r="X413" i="13"/>
  <c r="X414" i="13"/>
  <c r="X415" i="13"/>
  <c r="X416" i="13"/>
  <c r="X417" i="13"/>
  <c r="X418" i="13"/>
  <c r="X419" i="13"/>
  <c r="X420" i="13"/>
  <c r="X421" i="13"/>
  <c r="X422" i="13"/>
  <c r="X423" i="13"/>
  <c r="X424" i="13"/>
  <c r="X425" i="13"/>
  <c r="X426" i="13"/>
  <c r="X427" i="13"/>
  <c r="X428" i="13"/>
  <c r="X429" i="13"/>
  <c r="X430" i="13"/>
  <c r="X431" i="13"/>
  <c r="X432" i="13"/>
  <c r="X433" i="13"/>
  <c r="X434" i="13"/>
  <c r="X435" i="13"/>
  <c r="X436" i="13"/>
  <c r="X437" i="13"/>
  <c r="X438" i="13"/>
  <c r="X439" i="13"/>
  <c r="X440" i="13"/>
  <c r="X441" i="13"/>
  <c r="X442" i="13"/>
  <c r="X443" i="13"/>
  <c r="X444" i="13"/>
  <c r="X445" i="13"/>
  <c r="X446" i="13"/>
  <c r="X447" i="13"/>
  <c r="X448" i="13"/>
  <c r="X449" i="13"/>
  <c r="X450" i="13"/>
  <c r="X451" i="13"/>
  <c r="X452" i="13"/>
  <c r="X453" i="13"/>
  <c r="X454" i="13"/>
  <c r="X455" i="13"/>
  <c r="X456" i="13"/>
  <c r="X457" i="13"/>
  <c r="X458" i="13"/>
  <c r="X459" i="13"/>
  <c r="X460" i="13"/>
  <c r="X461" i="13"/>
  <c r="X462" i="13"/>
  <c r="X463" i="13"/>
  <c r="X464" i="13"/>
  <c r="X465" i="13"/>
  <c r="X466" i="13"/>
  <c r="X467" i="13"/>
  <c r="X468" i="13"/>
  <c r="Y5" i="13"/>
  <c r="Y6" i="13"/>
  <c r="Y7" i="13"/>
  <c r="Y387" i="13"/>
  <c r="Z2" i="13"/>
  <c r="Z3" i="13"/>
  <c r="AA3" i="13" s="1" a="1"/>
  <c r="AA3" i="13" s="1"/>
  <c r="Z4" i="13"/>
  <c r="Z5" i="13"/>
  <c r="Z6" i="13"/>
  <c r="Z7" i="13"/>
  <c r="Z8" i="13"/>
  <c r="AA8" i="13" s="1" a="1"/>
  <c r="AA8" i="13" s="1"/>
  <c r="Z9" i="13"/>
  <c r="AA9" i="13" s="1" a="1"/>
  <c r="AA9" i="13" s="1"/>
  <c r="Z10" i="13"/>
  <c r="Z11" i="13"/>
  <c r="AA11" i="13" s="1" a="1"/>
  <c r="AA11" i="13" s="1"/>
  <c r="Z12" i="13"/>
  <c r="Z13" i="13"/>
  <c r="Z14" i="13"/>
  <c r="Z15" i="13"/>
  <c r="Z16" i="13"/>
  <c r="AA16" i="13" s="1" a="1"/>
  <c r="AA16" i="13" s="1"/>
  <c r="Z17" i="13"/>
  <c r="AA17" i="13" s="1" a="1"/>
  <c r="AA17" i="13" s="1"/>
  <c r="Z18" i="13"/>
  <c r="Z19" i="13"/>
  <c r="Z20" i="13"/>
  <c r="Z21" i="13"/>
  <c r="Z22" i="13"/>
  <c r="Z23" i="13"/>
  <c r="Z24" i="13"/>
  <c r="AA24" i="13" s="1" a="1"/>
  <c r="AA24" i="13" s="1"/>
  <c r="Z25" i="13"/>
  <c r="AA25" i="13" s="1" a="1"/>
  <c r="AA25" i="13" s="1"/>
  <c r="Z26" i="13"/>
  <c r="Z27" i="13"/>
  <c r="Z28" i="13"/>
  <c r="Z29" i="13"/>
  <c r="Z30" i="13"/>
  <c r="Z31" i="13"/>
  <c r="Z32" i="13"/>
  <c r="Z33" i="13"/>
  <c r="Z34" i="13"/>
  <c r="Z35" i="13"/>
  <c r="AA35" i="13" s="1" a="1"/>
  <c r="AA35" i="13" s="1"/>
  <c r="Z36" i="13"/>
  <c r="Z37" i="13"/>
  <c r="Z38" i="13"/>
  <c r="Z39" i="13"/>
  <c r="Z40" i="13"/>
  <c r="AA40" i="13" s="1" a="1"/>
  <c r="AA40" i="13" s="1"/>
  <c r="Z41" i="13"/>
  <c r="AA41" i="13" s="1" a="1"/>
  <c r="AA41" i="13" s="1"/>
  <c r="Z42" i="13"/>
  <c r="Z43" i="13"/>
  <c r="AA43" i="13" s="1" a="1"/>
  <c r="AA43" i="13" s="1"/>
  <c r="Z44" i="13"/>
  <c r="Z45" i="13"/>
  <c r="Z46" i="13"/>
  <c r="Z47" i="13"/>
  <c r="Z48" i="13"/>
  <c r="AA48" i="13" s="1" a="1"/>
  <c r="AA48" i="13" s="1"/>
  <c r="Z49" i="13"/>
  <c r="AA49" i="13" s="1" a="1"/>
  <c r="AA49" i="13" s="1"/>
  <c r="Z50" i="13"/>
  <c r="Z51" i="13"/>
  <c r="AA51" i="13" s="1" a="1"/>
  <c r="AA51" i="13" s="1"/>
  <c r="Z52" i="13"/>
  <c r="Z53" i="13"/>
  <c r="Z54" i="13"/>
  <c r="Z55" i="13"/>
  <c r="Z56" i="13"/>
  <c r="AA56" i="13" s="1" a="1"/>
  <c r="AA56" i="13" s="1"/>
  <c r="Z57" i="13"/>
  <c r="AA57" i="13" s="1" a="1"/>
  <c r="AA57" i="13" s="1"/>
  <c r="Z58" i="13"/>
  <c r="Z59" i="13"/>
  <c r="Z60" i="13"/>
  <c r="Z61" i="13"/>
  <c r="Z62" i="13"/>
  <c r="Z63" i="13"/>
  <c r="Z64" i="13"/>
  <c r="AA64" i="13" s="1" a="1"/>
  <c r="AA64" i="13" s="1"/>
  <c r="Z65" i="13"/>
  <c r="Z66" i="13"/>
  <c r="Z67" i="13"/>
  <c r="Z68" i="13"/>
  <c r="Z69" i="13"/>
  <c r="Z70" i="13"/>
  <c r="Z71" i="13"/>
  <c r="Z72" i="13"/>
  <c r="AA72" i="13" s="1" a="1"/>
  <c r="AA72" i="13" s="1"/>
  <c r="Z73" i="13"/>
  <c r="AA73" i="13" s="1" a="1"/>
  <c r="AA73" i="13" s="1"/>
  <c r="Z74" i="13"/>
  <c r="Z75" i="13"/>
  <c r="AA75" i="13" s="1" a="1"/>
  <c r="AA75" i="13" s="1"/>
  <c r="Z76" i="13"/>
  <c r="Z77" i="13"/>
  <c r="Z78" i="13"/>
  <c r="Z79" i="13"/>
  <c r="Z80" i="13"/>
  <c r="AA80" i="13" s="1" a="1"/>
  <c r="AA80" i="13" s="1"/>
  <c r="Z81" i="13"/>
  <c r="AA81" i="13" s="1" a="1"/>
  <c r="AA81" i="13" s="1"/>
  <c r="Z82" i="13"/>
  <c r="Z83" i="13"/>
  <c r="AA83" i="13" s="1" a="1"/>
  <c r="AA83" i="13" s="1"/>
  <c r="Z84" i="13"/>
  <c r="Z85" i="13"/>
  <c r="Z86" i="13"/>
  <c r="Z87" i="13"/>
  <c r="Z88" i="13"/>
  <c r="AA88" i="13" s="1" a="1"/>
  <c r="AA88" i="13" s="1"/>
  <c r="Z89" i="13"/>
  <c r="AA89" i="13" s="1" a="1"/>
  <c r="AA89" i="13" s="1"/>
  <c r="Z90" i="13"/>
  <c r="Z91" i="13"/>
  <c r="AA91" i="13" s="1" a="1"/>
  <c r="AA91" i="13" s="1"/>
  <c r="Z92" i="13"/>
  <c r="Z93" i="13"/>
  <c r="Z94" i="13"/>
  <c r="Z95" i="13"/>
  <c r="Z96" i="13"/>
  <c r="AA96" i="13" s="1" a="1"/>
  <c r="AA96" i="13" s="1"/>
  <c r="Z97" i="13"/>
  <c r="AA97" i="13" s="1" a="1"/>
  <c r="AA97" i="13" s="1"/>
  <c r="Z98" i="13"/>
  <c r="Z99" i="13"/>
  <c r="Z100" i="13"/>
  <c r="Z101" i="13"/>
  <c r="Z102" i="13"/>
  <c r="Z103" i="13"/>
  <c r="Z104" i="13"/>
  <c r="AA104" i="13" s="1" a="1"/>
  <c r="Z105" i="13"/>
  <c r="Z106" i="13"/>
  <c r="Z107" i="13"/>
  <c r="Z108" i="13"/>
  <c r="Z109" i="13"/>
  <c r="Z110" i="13"/>
  <c r="Z111" i="13"/>
  <c r="Z112" i="13"/>
  <c r="AA112" i="13" s="1" a="1"/>
  <c r="AA112" i="13" s="1"/>
  <c r="Z113" i="13"/>
  <c r="AA113" i="13" s="1" a="1"/>
  <c r="AA113" i="13" s="1"/>
  <c r="Z114" i="13"/>
  <c r="Z115" i="13"/>
  <c r="AA115" i="13" s="1" a="1"/>
  <c r="AA115" i="13" s="1"/>
  <c r="Z116" i="13"/>
  <c r="Z117" i="13"/>
  <c r="Z118" i="13"/>
  <c r="Z119" i="13"/>
  <c r="Z120" i="13"/>
  <c r="AA120" i="13" s="1" a="1"/>
  <c r="AA120" i="13" s="1"/>
  <c r="Z121" i="13"/>
  <c r="AA121" i="13" s="1" a="1"/>
  <c r="AA121" i="13" s="1"/>
  <c r="Z122" i="13"/>
  <c r="Z123" i="13"/>
  <c r="AA123" i="13" s="1" a="1"/>
  <c r="AA123" i="13" s="1"/>
  <c r="Z124" i="13"/>
  <c r="Z125" i="13"/>
  <c r="Z126" i="13"/>
  <c r="Z127" i="13"/>
  <c r="Z128" i="13"/>
  <c r="Z129" i="13"/>
  <c r="AA129" i="13" s="1" a="1"/>
  <c r="AA129" i="13" s="1"/>
  <c r="Z130" i="13"/>
  <c r="Z131" i="13"/>
  <c r="AA131" i="13" s="1" a="1"/>
  <c r="AA131" i="13" s="1"/>
  <c r="Z132" i="13"/>
  <c r="Z133" i="13"/>
  <c r="Z134" i="13"/>
  <c r="Z135" i="13"/>
  <c r="Z136" i="13"/>
  <c r="AA136" i="13" s="1" a="1"/>
  <c r="AA136" i="13" s="1"/>
  <c r="Z137" i="13"/>
  <c r="AA137" i="13" s="1" a="1"/>
  <c r="AA137" i="13" s="1"/>
  <c r="Z138" i="13"/>
  <c r="Z139" i="13"/>
  <c r="Z140" i="13"/>
  <c r="Z141" i="13"/>
  <c r="Z142" i="13"/>
  <c r="Z143" i="13"/>
  <c r="Z144" i="13"/>
  <c r="Z145" i="13"/>
  <c r="Z146" i="13"/>
  <c r="Z147" i="13"/>
  <c r="Z148" i="13"/>
  <c r="Z149" i="13"/>
  <c r="Z150" i="13"/>
  <c r="Z151" i="13"/>
  <c r="Z152" i="13"/>
  <c r="AA152" i="13" s="1" a="1"/>
  <c r="AA152" i="13" s="1"/>
  <c r="Z153" i="13"/>
  <c r="Z154" i="13"/>
  <c r="Z155" i="13"/>
  <c r="AA155" i="13" s="1" a="1"/>
  <c r="AA155" i="13" s="1"/>
  <c r="Z156" i="13"/>
  <c r="Z157" i="13"/>
  <c r="Z158" i="13"/>
  <c r="Z159" i="13"/>
  <c r="Z160" i="13"/>
  <c r="Z161" i="13"/>
  <c r="AA161" i="13" s="1" a="1"/>
  <c r="AA161" i="13" s="1"/>
  <c r="Z162" i="13"/>
  <c r="Z163" i="13"/>
  <c r="AA163" i="13" s="1" a="1"/>
  <c r="AA163" i="13" s="1"/>
  <c r="Z164" i="13"/>
  <c r="Z165" i="13"/>
  <c r="Z166" i="13"/>
  <c r="Z167" i="13"/>
  <c r="Z168" i="13"/>
  <c r="AA168" i="13" s="1" a="1"/>
  <c r="AA168" i="13" s="1"/>
  <c r="Z169" i="13"/>
  <c r="AA169" i="13" s="1" a="1"/>
  <c r="AA169" i="13" s="1"/>
  <c r="Z170" i="13"/>
  <c r="Z171" i="13"/>
  <c r="Z172" i="13"/>
  <c r="Z173" i="13"/>
  <c r="Z174" i="13"/>
  <c r="Z175" i="13"/>
  <c r="Z176" i="13"/>
  <c r="Z177" i="13"/>
  <c r="Z178" i="13"/>
  <c r="Z179" i="13"/>
  <c r="Z180" i="13"/>
  <c r="Z181" i="13"/>
  <c r="Z182" i="13"/>
  <c r="Z183" i="13"/>
  <c r="Z184" i="13"/>
  <c r="Z185" i="13"/>
  <c r="AA185" i="13" s="1" a="1"/>
  <c r="AA185" i="13" s="1"/>
  <c r="Z186" i="13"/>
  <c r="Z187" i="13"/>
  <c r="Z188" i="13"/>
  <c r="Z189" i="13"/>
  <c r="Z190" i="13"/>
  <c r="Z191" i="13"/>
  <c r="Z192" i="13"/>
  <c r="Z193" i="13"/>
  <c r="Z194" i="13"/>
  <c r="Z195" i="13"/>
  <c r="Z196" i="13"/>
  <c r="Z197" i="13"/>
  <c r="Z198" i="13"/>
  <c r="Z199" i="13"/>
  <c r="Z200" i="13"/>
  <c r="Z201" i="13"/>
  <c r="Z202" i="13"/>
  <c r="Z203" i="13"/>
  <c r="AA203" i="13" s="1" a="1"/>
  <c r="AA203" i="13" s="1"/>
  <c r="Z204" i="13"/>
  <c r="Z205" i="13"/>
  <c r="Z206" i="13"/>
  <c r="Z207" i="13"/>
  <c r="Z208" i="13"/>
  <c r="Z209" i="13"/>
  <c r="Z210" i="13"/>
  <c r="Z211" i="13"/>
  <c r="Z212" i="13"/>
  <c r="Z213" i="13"/>
  <c r="Z214" i="13"/>
  <c r="Z215" i="13"/>
  <c r="Z216" i="13"/>
  <c r="Z217" i="13"/>
  <c r="AA217" i="13" s="1" a="1"/>
  <c r="AA217" i="13" s="1"/>
  <c r="Z218" i="13"/>
  <c r="Z219" i="13"/>
  <c r="Z220" i="13"/>
  <c r="Z221" i="13"/>
  <c r="Z222" i="13"/>
  <c r="Z223" i="13"/>
  <c r="Z224" i="13"/>
  <c r="AA224" i="13" s="1" a="1"/>
  <c r="AA224" i="13" s="1"/>
  <c r="Z225" i="13"/>
  <c r="Z226" i="13"/>
  <c r="Z227" i="13"/>
  <c r="Z228" i="13"/>
  <c r="Z229" i="13"/>
  <c r="Z230" i="13"/>
  <c r="Z231" i="13"/>
  <c r="Z232" i="13"/>
  <c r="Z233" i="13"/>
  <c r="Z234" i="13"/>
  <c r="Z235" i="13"/>
  <c r="Z236" i="13"/>
  <c r="Z237" i="13"/>
  <c r="Z238" i="13"/>
  <c r="Z239" i="13"/>
  <c r="Z240" i="13"/>
  <c r="Z241" i="13"/>
  <c r="Z242" i="13"/>
  <c r="Z243" i="13"/>
  <c r="Z244" i="13"/>
  <c r="Z245" i="13"/>
  <c r="Z246" i="13"/>
  <c r="Z247" i="13"/>
  <c r="Z248" i="13"/>
  <c r="Z249" i="13"/>
  <c r="Z250" i="13"/>
  <c r="Z251" i="13"/>
  <c r="Z252" i="13"/>
  <c r="Z253" i="13"/>
  <c r="Z254" i="13"/>
  <c r="Z255" i="13"/>
  <c r="Z256" i="13"/>
  <c r="Z257" i="13"/>
  <c r="Z258" i="13"/>
  <c r="Z259" i="13"/>
  <c r="Z260" i="13"/>
  <c r="Z261" i="13"/>
  <c r="Z262" i="13"/>
  <c r="Z263" i="13"/>
  <c r="Z264" i="13"/>
  <c r="Z265" i="13"/>
  <c r="Z266" i="13"/>
  <c r="Z267" i="13"/>
  <c r="Z268" i="13"/>
  <c r="Z269" i="13"/>
  <c r="Z270" i="13"/>
  <c r="Z271" i="13"/>
  <c r="Z272" i="13"/>
  <c r="Z273" i="13"/>
  <c r="Z274" i="13"/>
  <c r="Z275" i="13"/>
  <c r="Z276" i="13"/>
  <c r="Z277" i="13"/>
  <c r="Z278" i="13"/>
  <c r="Z279" i="13"/>
  <c r="Z280" i="13"/>
  <c r="Z281" i="13"/>
  <c r="Z282" i="13"/>
  <c r="Z283" i="13"/>
  <c r="Z284" i="13"/>
  <c r="Z285" i="13"/>
  <c r="Z286" i="13"/>
  <c r="Z287" i="13"/>
  <c r="Z288" i="13"/>
  <c r="Z289" i="13"/>
  <c r="Z290" i="13"/>
  <c r="Z291" i="13"/>
  <c r="Z292" i="13"/>
  <c r="Z293" i="13"/>
  <c r="Z294" i="13"/>
  <c r="Z295" i="13"/>
  <c r="Z296" i="13"/>
  <c r="AA296" i="13" s="1" a="1"/>
  <c r="AA296" i="13" s="1"/>
  <c r="Z297" i="13"/>
  <c r="Z298" i="13"/>
  <c r="Z299" i="13"/>
  <c r="Z300" i="13"/>
  <c r="Z301" i="13"/>
  <c r="Z302" i="13"/>
  <c r="Z303" i="13"/>
  <c r="Z304" i="13"/>
  <c r="Z305" i="13"/>
  <c r="Z306" i="13"/>
  <c r="Z307" i="13"/>
  <c r="Z308" i="13"/>
  <c r="Z309" i="13"/>
  <c r="Z310" i="13"/>
  <c r="Z311" i="13"/>
  <c r="Z312" i="13"/>
  <c r="Z313" i="13"/>
  <c r="Z314" i="13"/>
  <c r="Z315" i="13"/>
  <c r="Z316" i="13"/>
  <c r="Z317" i="13"/>
  <c r="Z318" i="13"/>
  <c r="Z319" i="13"/>
  <c r="Z320" i="13"/>
  <c r="Z321" i="13"/>
  <c r="Z322" i="13"/>
  <c r="Z323" i="13"/>
  <c r="Z324" i="13"/>
  <c r="Z325" i="13"/>
  <c r="Z326" i="13"/>
  <c r="Z327" i="13"/>
  <c r="Z328" i="13"/>
  <c r="AA328" i="13" s="1" a="1"/>
  <c r="AA328" i="13" s="1"/>
  <c r="Z329" i="13"/>
  <c r="Z330" i="13"/>
  <c r="Z331" i="13"/>
  <c r="Z332" i="13"/>
  <c r="Z333" i="13"/>
  <c r="Z334" i="13"/>
  <c r="Z335" i="13"/>
  <c r="Z336" i="13"/>
  <c r="Z337" i="13"/>
  <c r="Z338" i="13"/>
  <c r="Z339" i="13"/>
  <c r="Z340" i="13"/>
  <c r="Z341" i="13"/>
  <c r="Z342" i="13"/>
  <c r="Z343" i="13"/>
  <c r="Z344" i="13"/>
  <c r="Z345" i="13"/>
  <c r="Z346" i="13"/>
  <c r="Z347" i="13"/>
  <c r="Z348" i="13"/>
  <c r="Z349" i="13"/>
  <c r="Z350" i="13"/>
  <c r="Z351" i="13"/>
  <c r="Z352" i="13"/>
  <c r="Z353" i="13"/>
  <c r="Z354" i="13"/>
  <c r="Z355" i="13"/>
  <c r="Z356" i="13"/>
  <c r="Z357" i="13"/>
  <c r="Z358" i="13"/>
  <c r="Z359" i="13"/>
  <c r="Z360" i="13"/>
  <c r="AA360" i="13" s="1" a="1"/>
  <c r="AA360" i="13" s="1"/>
  <c r="Z361" i="13"/>
  <c r="Z362" i="13"/>
  <c r="Z363" i="13"/>
  <c r="Z364" i="13"/>
  <c r="Z365" i="13"/>
  <c r="Z366" i="13"/>
  <c r="Z367" i="13"/>
  <c r="Z368" i="13"/>
  <c r="Z369" i="13"/>
  <c r="Z370" i="13"/>
  <c r="Z371" i="13"/>
  <c r="Z372" i="13"/>
  <c r="Z373" i="13"/>
  <c r="Z374" i="13"/>
  <c r="Z375" i="13"/>
  <c r="Z376" i="13"/>
  <c r="Z377" i="13"/>
  <c r="Z378" i="13"/>
  <c r="Z379" i="13"/>
  <c r="Z380" i="13"/>
  <c r="Z381" i="13"/>
  <c r="Z382" i="13"/>
  <c r="Z383" i="13"/>
  <c r="Z384" i="13"/>
  <c r="Z385" i="13"/>
  <c r="Z386" i="13"/>
  <c r="Z387" i="13"/>
  <c r="Z388" i="13"/>
  <c r="Z389" i="13"/>
  <c r="Z390" i="13"/>
  <c r="Z391" i="13"/>
  <c r="Z392" i="13"/>
  <c r="AA392" i="13" s="1" a="1"/>
  <c r="AA392" i="13" s="1"/>
  <c r="Z393" i="13"/>
  <c r="Z394" i="13"/>
  <c r="Z395" i="13"/>
  <c r="Z396" i="13"/>
  <c r="Z397" i="13"/>
  <c r="Z398" i="13"/>
  <c r="Z399" i="13"/>
  <c r="Z400" i="13"/>
  <c r="Z401" i="13"/>
  <c r="Z402" i="13"/>
  <c r="Z403" i="13"/>
  <c r="Z404" i="13"/>
  <c r="Z405" i="13"/>
  <c r="Z406" i="13"/>
  <c r="Z407" i="13"/>
  <c r="Z408" i="13"/>
  <c r="Z409" i="13"/>
  <c r="Z410" i="13"/>
  <c r="Z411" i="13"/>
  <c r="Z412" i="13"/>
  <c r="Z413" i="13"/>
  <c r="Z414" i="13"/>
  <c r="Z415" i="13"/>
  <c r="Z416" i="13"/>
  <c r="Z417" i="13"/>
  <c r="Z418" i="13"/>
  <c r="Z419" i="13"/>
  <c r="Z420" i="13"/>
  <c r="Z421" i="13"/>
  <c r="Z422" i="13"/>
  <c r="Z423" i="13"/>
  <c r="Z424" i="13"/>
  <c r="AA424" i="13" s="1" a="1"/>
  <c r="AA424" i="13" s="1"/>
  <c r="Z425" i="13"/>
  <c r="Z426" i="13"/>
  <c r="Z427" i="13"/>
  <c r="Z428" i="13"/>
  <c r="Z429" i="13"/>
  <c r="Z430" i="13"/>
  <c r="Z431" i="13"/>
  <c r="Z432" i="13"/>
  <c r="Z433" i="13"/>
  <c r="Z434" i="13"/>
  <c r="Z435" i="13"/>
  <c r="Z436" i="13"/>
  <c r="Z437" i="13"/>
  <c r="Z438" i="13"/>
  <c r="Z439" i="13"/>
  <c r="Z440" i="13"/>
  <c r="Z441" i="13"/>
  <c r="Z442" i="13"/>
  <c r="Z443" i="13"/>
  <c r="Z444" i="13"/>
  <c r="Z445" i="13"/>
  <c r="Z446" i="13"/>
  <c r="Z447" i="13"/>
  <c r="Z448" i="13"/>
  <c r="Z449" i="13"/>
  <c r="Z450" i="13"/>
  <c r="Z451" i="13"/>
  <c r="Z452" i="13"/>
  <c r="Z453" i="13"/>
  <c r="Z454" i="13"/>
  <c r="Z455" i="13"/>
  <c r="Z456" i="13"/>
  <c r="AA456" i="13" s="1" a="1"/>
  <c r="AA456" i="13" s="1"/>
  <c r="Z457" i="13"/>
  <c r="Z458" i="13"/>
  <c r="Z459" i="13"/>
  <c r="Z460" i="13"/>
  <c r="Z461" i="13"/>
  <c r="Z462" i="13"/>
  <c r="Z463" i="13"/>
  <c r="Z464" i="13"/>
  <c r="AE464" i="13" s="1"/>
  <c r="Z465" i="13"/>
  <c r="Z466" i="13"/>
  <c r="Z467" i="13"/>
  <c r="Z468" i="13"/>
  <c r="AA2" i="13" a="1"/>
  <c r="AA2" i="13" s="1"/>
  <c r="AA4" i="13" a="1"/>
  <c r="AA4" i="13"/>
  <c r="AA5" i="13" a="1"/>
  <c r="AA5" i="13" s="1"/>
  <c r="AA6" i="13" a="1"/>
  <c r="AA6" i="13" s="1"/>
  <c r="AA7" i="13" a="1"/>
  <c r="AA7" i="13" s="1"/>
  <c r="AA10" i="13" a="1"/>
  <c r="AA10" i="13" s="1"/>
  <c r="AA12" i="13" a="1"/>
  <c r="AA12" i="13" s="1"/>
  <c r="AA13" i="13" a="1"/>
  <c r="AA13" i="13" s="1"/>
  <c r="AA14" i="13" a="1"/>
  <c r="AA14" i="13" s="1"/>
  <c r="AA15" i="13" a="1"/>
  <c r="AA15" i="13"/>
  <c r="AA18" i="13" a="1"/>
  <c r="AA18" i="13" s="1"/>
  <c r="AA19" i="13" a="1"/>
  <c r="AA19" i="13" s="1"/>
  <c r="AA20" i="13" a="1"/>
  <c r="AA20" i="13" s="1"/>
  <c r="AA21" i="13" a="1"/>
  <c r="AA21" i="13" s="1"/>
  <c r="AA22" i="13" a="1"/>
  <c r="AA22" i="13" s="1"/>
  <c r="AA23" i="13" a="1"/>
  <c r="AA23" i="13" s="1"/>
  <c r="AA26" i="13" a="1"/>
  <c r="AA26" i="13" s="1"/>
  <c r="AA27" i="13" a="1"/>
  <c r="AA27" i="13" s="1"/>
  <c r="AA28" i="13" a="1"/>
  <c r="AA28" i="13" s="1"/>
  <c r="AA29" i="13" a="1"/>
  <c r="AA29" i="13" s="1"/>
  <c r="AA30" i="13" a="1"/>
  <c r="AA30" i="13" s="1"/>
  <c r="AA31" i="13" a="1"/>
  <c r="AA31" i="13" s="1"/>
  <c r="AA32" i="13" a="1"/>
  <c r="AA32" i="13" s="1"/>
  <c r="AA33" i="13" a="1"/>
  <c r="AA33" i="13" s="1"/>
  <c r="AA34" i="13" a="1"/>
  <c r="AA34" i="13" s="1"/>
  <c r="AA36" i="13" a="1"/>
  <c r="AA36" i="13" s="1"/>
  <c r="AA37" i="13" a="1"/>
  <c r="AA37" i="13" s="1"/>
  <c r="AA38" i="13" a="1"/>
  <c r="AA38" i="13" s="1"/>
  <c r="AA39" i="13" a="1"/>
  <c r="AA39" i="13" s="1"/>
  <c r="AA42" i="13" a="1"/>
  <c r="AA42" i="13" s="1"/>
  <c r="AA44" i="13" a="1"/>
  <c r="AA44" i="13" s="1"/>
  <c r="AA45" i="13" a="1"/>
  <c r="AA45" i="13" s="1"/>
  <c r="AA46" i="13" a="1"/>
  <c r="AA46" i="13" s="1"/>
  <c r="AA47" i="13" a="1"/>
  <c r="AA47" i="13" s="1"/>
  <c r="AA50" i="13" a="1"/>
  <c r="AA50" i="13" s="1"/>
  <c r="AA52" i="13" a="1"/>
  <c r="AA52" i="13" s="1"/>
  <c r="AA53" i="13" a="1"/>
  <c r="AA53" i="13" s="1"/>
  <c r="AA54" i="13" a="1"/>
  <c r="AA54" i="13" s="1"/>
  <c r="AA55" i="13" a="1"/>
  <c r="AA55" i="13" s="1"/>
  <c r="AA58" i="13" a="1"/>
  <c r="AA58" i="13" s="1"/>
  <c r="AA59" i="13" a="1"/>
  <c r="AA59" i="13" s="1"/>
  <c r="AA60" i="13" a="1"/>
  <c r="AA60" i="13" s="1"/>
  <c r="AA61" i="13" a="1"/>
  <c r="AA61" i="13" s="1"/>
  <c r="AA62" i="13" a="1"/>
  <c r="AA62" i="13" s="1"/>
  <c r="AA63" i="13" a="1"/>
  <c r="AA63" i="13"/>
  <c r="AA65" i="13" a="1"/>
  <c r="AA65" i="13" s="1"/>
  <c r="AA66" i="13" a="1"/>
  <c r="AA66" i="13" s="1"/>
  <c r="AA67" i="13" a="1"/>
  <c r="AA67" i="13" s="1"/>
  <c r="AA68" i="13" a="1"/>
  <c r="AA68" i="13" s="1"/>
  <c r="AA69" i="13" a="1"/>
  <c r="AA69" i="13" s="1"/>
  <c r="AA70" i="13" a="1"/>
  <c r="AA70" i="13" s="1"/>
  <c r="AA71" i="13" a="1"/>
  <c r="AA71" i="13" s="1"/>
  <c r="AA74" i="13" a="1"/>
  <c r="AA74" i="13" s="1"/>
  <c r="AA76" i="13" a="1"/>
  <c r="AA76" i="13" s="1"/>
  <c r="AA77" i="13" a="1"/>
  <c r="AA77" i="13" s="1"/>
  <c r="AA78" i="13" a="1"/>
  <c r="AA78" i="13" s="1"/>
  <c r="AA79" i="13" a="1"/>
  <c r="AA79" i="13" s="1"/>
  <c r="AA82" i="13" a="1"/>
  <c r="AA82" i="13" s="1"/>
  <c r="AA84" i="13" a="1"/>
  <c r="AA84" i="13"/>
  <c r="AA85" i="13" a="1"/>
  <c r="AA85" i="13" s="1"/>
  <c r="AA86" i="13" a="1"/>
  <c r="AA86" i="13" s="1"/>
  <c r="AA87" i="13" a="1"/>
  <c r="AA87" i="13" s="1"/>
  <c r="AA90" i="13" a="1"/>
  <c r="AA90" i="13" s="1"/>
  <c r="AA92" i="13" a="1"/>
  <c r="AA92" i="13" s="1"/>
  <c r="AA93" i="13" a="1"/>
  <c r="AA93" i="13" s="1"/>
  <c r="AA94" i="13" a="1"/>
  <c r="AA94" i="13" s="1"/>
  <c r="AA95" i="13" a="1"/>
  <c r="AA95" i="13" s="1"/>
  <c r="AA98" i="13" a="1"/>
  <c r="AA98" i="13" s="1"/>
  <c r="AA99" i="13" a="1"/>
  <c r="AA99" i="13" s="1"/>
  <c r="AA100" i="13" a="1"/>
  <c r="AA100" i="13"/>
  <c r="AA101" i="13" a="1"/>
  <c r="AA101" i="13" s="1"/>
  <c r="AA102" i="13" a="1"/>
  <c r="AA102" i="13" s="1"/>
  <c r="AA103" i="13" a="1"/>
  <c r="AA103" i="13" s="1"/>
  <c r="AA104" i="13"/>
  <c r="AA105" i="13" a="1"/>
  <c r="AA105" i="13" s="1"/>
  <c r="AA106" i="13" a="1"/>
  <c r="AA106" i="13" s="1"/>
  <c r="AA107" i="13" a="1"/>
  <c r="AA107" i="13" s="1"/>
  <c r="AA108" i="13" a="1"/>
  <c r="AA108" i="13" s="1"/>
  <c r="AA109" i="13" a="1"/>
  <c r="AA109" i="13"/>
  <c r="AA110" i="13" a="1"/>
  <c r="AA110" i="13" s="1"/>
  <c r="AA111" i="13" a="1"/>
  <c r="AA111" i="13" s="1"/>
  <c r="AA114" i="13" a="1"/>
  <c r="AA114" i="13" s="1"/>
  <c r="AA116" i="13" a="1"/>
  <c r="AA116" i="13" s="1"/>
  <c r="AA117" i="13" a="1"/>
  <c r="AA117" i="13" s="1"/>
  <c r="AA118" i="13" a="1"/>
  <c r="AA118" i="13" s="1"/>
  <c r="AA119" i="13" a="1"/>
  <c r="AA119" i="13" s="1"/>
  <c r="AA122" i="13" a="1"/>
  <c r="AA122" i="13" s="1"/>
  <c r="AA124" i="13" a="1"/>
  <c r="AA124" i="13" s="1"/>
  <c r="AA125" i="13" a="1"/>
  <c r="AA125" i="13"/>
  <c r="AA126" i="13" a="1"/>
  <c r="AA126" i="13" s="1"/>
  <c r="AA127" i="13" a="1"/>
  <c r="AA127" i="13"/>
  <c r="AA128" i="13" a="1"/>
  <c r="AA128" i="13" s="1"/>
  <c r="AA130" i="13" a="1"/>
  <c r="AA130" i="13" s="1"/>
  <c r="AA132" i="13" a="1"/>
  <c r="AA132" i="13" s="1"/>
  <c r="AA133" i="13" a="1"/>
  <c r="AA133" i="13" s="1"/>
  <c r="AA134" i="13" a="1"/>
  <c r="AA134" i="13" s="1"/>
  <c r="AA135" i="13" a="1"/>
  <c r="AA135" i="13" s="1"/>
  <c r="AA138" i="13" a="1"/>
  <c r="AA138" i="13" s="1"/>
  <c r="AA139" i="13" a="1"/>
  <c r="AA139" i="13" s="1"/>
  <c r="AA140" i="13" a="1"/>
  <c r="AA140" i="13" s="1"/>
  <c r="AA141" i="13" a="1"/>
  <c r="AA141" i="13"/>
  <c r="AA142" i="13" a="1"/>
  <c r="AA142" i="13" s="1"/>
  <c r="AA143" i="13" a="1"/>
  <c r="AA143" i="13"/>
  <c r="AA144" i="13" a="1"/>
  <c r="AA144" i="13" s="1"/>
  <c r="AA145" i="13" a="1"/>
  <c r="AA145" i="13" s="1"/>
  <c r="AA146" i="13" a="1"/>
  <c r="AA146" i="13" s="1"/>
  <c r="AA147" i="13" a="1"/>
  <c r="AA147" i="13" s="1"/>
  <c r="AA148" i="13" a="1"/>
  <c r="AA148" i="13" s="1"/>
  <c r="AA149" i="13" a="1"/>
  <c r="AA149" i="13"/>
  <c r="AA150" i="13" a="1"/>
  <c r="AA150" i="13" s="1"/>
  <c r="AA151" i="13" a="1"/>
  <c r="AA151" i="13" s="1"/>
  <c r="AA153" i="13" a="1"/>
  <c r="AA153" i="13" s="1"/>
  <c r="AA154" i="13" a="1"/>
  <c r="AA154" i="13" s="1"/>
  <c r="AA156" i="13" a="1"/>
  <c r="AA156" i="13" s="1"/>
  <c r="AA157" i="13" a="1"/>
  <c r="AA157" i="13"/>
  <c r="AA158" i="13" a="1"/>
  <c r="AA158" i="13" s="1"/>
  <c r="AA159" i="13" a="1"/>
  <c r="AA159" i="13"/>
  <c r="AA160" i="13" a="1"/>
  <c r="AA160" i="13" s="1"/>
  <c r="AA162" i="13" a="1"/>
  <c r="AA162" i="13" s="1"/>
  <c r="AA164" i="13" a="1"/>
  <c r="AA164" i="13" s="1"/>
  <c r="AA165" i="13" a="1"/>
  <c r="AA165" i="13" s="1"/>
  <c r="AA166" i="13" a="1"/>
  <c r="AA166" i="13" s="1"/>
  <c r="AA167" i="13" a="1"/>
  <c r="AA167" i="13" s="1"/>
  <c r="AA170" i="13" a="1"/>
  <c r="AA170" i="13" s="1"/>
  <c r="AA171" i="13" a="1"/>
  <c r="AA171" i="13" s="1"/>
  <c r="AA172" i="13" a="1"/>
  <c r="AA172" i="13" s="1"/>
  <c r="AA173" i="13" a="1"/>
  <c r="AA173" i="13" s="1"/>
  <c r="AA174" i="13" a="1"/>
  <c r="AA174" i="13" s="1"/>
  <c r="AA175" i="13" a="1"/>
  <c r="AA175" i="13" s="1"/>
  <c r="AA176" i="13" a="1"/>
  <c r="AA176" i="13" s="1"/>
  <c r="AA177" i="13" a="1"/>
  <c r="AA177" i="13" s="1"/>
  <c r="AA178" i="13" a="1"/>
  <c r="AA178" i="13" s="1"/>
  <c r="AA179" i="13" a="1"/>
  <c r="AA179" i="13" s="1"/>
  <c r="AA180" i="13" a="1"/>
  <c r="AA180" i="13" s="1"/>
  <c r="AA181" i="13" a="1"/>
  <c r="AA181" i="13"/>
  <c r="AA182" i="13" a="1"/>
  <c r="AA182" i="13" s="1"/>
  <c r="AA183" i="13" a="1"/>
  <c r="AA183" i="13" s="1"/>
  <c r="AA184" i="13" a="1"/>
  <c r="AA184" i="13" s="1"/>
  <c r="AA186" i="13" a="1"/>
  <c r="AA186" i="13" s="1"/>
  <c r="AA187" i="13" a="1"/>
  <c r="AA187" i="13" s="1"/>
  <c r="AA188" i="13" a="1"/>
  <c r="AA188" i="13" s="1"/>
  <c r="AA189" i="13" a="1"/>
  <c r="AA189" i="13" s="1"/>
  <c r="AA190" i="13" a="1"/>
  <c r="AA190" i="13" s="1"/>
  <c r="AA191" i="13" a="1"/>
  <c r="AA191" i="13" s="1"/>
  <c r="AA192" i="13" a="1"/>
  <c r="AA192" i="13" s="1"/>
  <c r="AA193" i="13" a="1"/>
  <c r="AA193" i="13" s="1"/>
  <c r="AA194" i="13" a="1"/>
  <c r="AA194" i="13" s="1"/>
  <c r="AA195" i="13" a="1"/>
  <c r="AA195" i="13" s="1"/>
  <c r="AA196" i="13" a="1"/>
  <c r="AA196" i="13" s="1"/>
  <c r="AA197" i="13" a="1"/>
  <c r="AA197" i="13" s="1"/>
  <c r="AA198" i="13" a="1"/>
  <c r="AA198" i="13" s="1"/>
  <c r="AA199" i="13" a="1"/>
  <c r="AA199" i="13" s="1"/>
  <c r="AA200" i="13" a="1"/>
  <c r="AA200" i="13" s="1"/>
  <c r="AA201" i="13" a="1"/>
  <c r="AA201" i="13" s="1"/>
  <c r="AA202" i="13" a="1"/>
  <c r="AA202" i="13" s="1"/>
  <c r="AA204" i="13" a="1"/>
  <c r="AA204" i="13" s="1"/>
  <c r="AA205" i="13" a="1"/>
  <c r="AA205" i="13" s="1"/>
  <c r="AA206" i="13" a="1"/>
  <c r="AA206" i="13" s="1"/>
  <c r="AA207" i="13" a="1"/>
  <c r="AA207" i="13"/>
  <c r="AA208" i="13" a="1"/>
  <c r="AA208" i="13" s="1"/>
  <c r="AA209" i="13" a="1"/>
  <c r="AA209" i="13" s="1"/>
  <c r="AA210" i="13" a="1"/>
  <c r="AA210" i="13" s="1"/>
  <c r="AA211" i="13" a="1"/>
  <c r="AA211" i="13" s="1"/>
  <c r="AA212" i="13" a="1"/>
  <c r="AA212" i="13" s="1"/>
  <c r="AA213" i="13" a="1"/>
  <c r="AA213" i="13"/>
  <c r="AA214" i="13" a="1"/>
  <c r="AA214" i="13" s="1"/>
  <c r="AA215" i="13" a="1"/>
  <c r="AA215" i="13" s="1"/>
  <c r="AA216" i="13" a="1"/>
  <c r="AA216" i="13" s="1"/>
  <c r="AA218" i="13" a="1"/>
  <c r="AA218" i="13" s="1"/>
  <c r="AA219" i="13" a="1"/>
  <c r="AA219" i="13" s="1"/>
  <c r="AA220" i="13" a="1"/>
  <c r="AA220" i="13" s="1"/>
  <c r="AA221" i="13" a="1"/>
  <c r="AA221" i="13" s="1"/>
  <c r="AA222" i="13" a="1"/>
  <c r="AA222" i="13" s="1"/>
  <c r="AA223" i="13" a="1"/>
  <c r="AA223" i="13" s="1"/>
  <c r="AA225" i="13" a="1"/>
  <c r="AA225" i="13" s="1"/>
  <c r="AA226" i="13" a="1"/>
  <c r="AA226" i="13" s="1"/>
  <c r="AA227" i="13" a="1"/>
  <c r="AA227" i="13" s="1"/>
  <c r="AA228" i="13" a="1"/>
  <c r="AA228" i="13" s="1"/>
  <c r="AA229" i="13" a="1"/>
  <c r="AA229" i="13" s="1"/>
  <c r="AA230" i="13" a="1"/>
  <c r="AA230" i="13" s="1"/>
  <c r="AA231" i="13" a="1"/>
  <c r="AA231" i="13" s="1"/>
  <c r="AA232" i="13" a="1"/>
  <c r="AA232" i="13" s="1"/>
  <c r="AA233" i="13" a="1"/>
  <c r="AA233" i="13" s="1"/>
  <c r="AA234" i="13" a="1"/>
  <c r="AA234" i="13" s="1"/>
  <c r="AA235" i="13" a="1"/>
  <c r="AA235" i="13" s="1"/>
  <c r="AA236" i="13" a="1"/>
  <c r="AA236" i="13" s="1"/>
  <c r="AA237" i="13" a="1"/>
  <c r="AA237" i="13" s="1"/>
  <c r="AA238" i="13" a="1"/>
  <c r="AA238" i="13" s="1"/>
  <c r="AA239" i="13" a="1"/>
  <c r="AA239" i="13"/>
  <c r="AA240" i="13" a="1"/>
  <c r="AA240" i="13" s="1"/>
  <c r="AA241" i="13" a="1"/>
  <c r="AA241" i="13" s="1"/>
  <c r="AA242" i="13" a="1"/>
  <c r="AA242" i="13" s="1"/>
  <c r="AA243" i="13" a="1"/>
  <c r="AA243" i="13" s="1"/>
  <c r="AA244" i="13" a="1"/>
  <c r="AA244" i="13" s="1"/>
  <c r="AA245" i="13" a="1"/>
  <c r="AA245" i="13" s="1"/>
  <c r="AA246" i="13" a="1"/>
  <c r="AA246" i="13" s="1"/>
  <c r="AA247" i="13" a="1"/>
  <c r="AA247" i="13" s="1"/>
  <c r="AA248" i="13" a="1"/>
  <c r="AA248" i="13" s="1"/>
  <c r="AA249" i="13" a="1"/>
  <c r="AA249" i="13" s="1"/>
  <c r="AA250" i="13" a="1"/>
  <c r="AA250" i="13" s="1"/>
  <c r="AA251" i="13" a="1"/>
  <c r="AA251" i="13" s="1"/>
  <c r="AA252" i="13" a="1"/>
  <c r="AA252" i="13" s="1"/>
  <c r="AA253" i="13" a="1"/>
  <c r="AA253" i="13" s="1"/>
  <c r="AA254" i="13" a="1"/>
  <c r="AA254" i="13" s="1"/>
  <c r="AA255" i="13" a="1"/>
  <c r="AA255" i="13" s="1"/>
  <c r="AA256" i="13" a="1"/>
  <c r="AA256" i="13" s="1"/>
  <c r="AA257" i="13" a="1"/>
  <c r="AA257" i="13" s="1"/>
  <c r="AA258" i="13" a="1"/>
  <c r="AA258" i="13" s="1"/>
  <c r="AA259" i="13" a="1"/>
  <c r="AA259" i="13" s="1"/>
  <c r="AA260" i="13" a="1"/>
  <c r="AA260" i="13" s="1"/>
  <c r="AA261" i="13" a="1"/>
  <c r="AA261" i="13" s="1"/>
  <c r="AA262" i="13" a="1"/>
  <c r="AA262" i="13" s="1"/>
  <c r="AA263" i="13" a="1"/>
  <c r="AA263" i="13" s="1"/>
  <c r="AA264" i="13" a="1"/>
  <c r="AA264" i="13" s="1"/>
  <c r="AA265" i="13" a="1"/>
  <c r="AA265" i="13" s="1"/>
  <c r="AA266" i="13" a="1"/>
  <c r="AA266" i="13" s="1"/>
  <c r="AA267" i="13" a="1"/>
  <c r="AA267" i="13" s="1"/>
  <c r="AA268" i="13" a="1"/>
  <c r="AA268" i="13" s="1"/>
  <c r="AA269" i="13" a="1"/>
  <c r="AA269" i="13" s="1"/>
  <c r="AA270" i="13" a="1"/>
  <c r="AA270" i="13" s="1"/>
  <c r="AA271" i="13" a="1"/>
  <c r="AA271" i="13"/>
  <c r="AA272" i="13" a="1"/>
  <c r="AA272" i="13" s="1"/>
  <c r="AA273" i="13" a="1"/>
  <c r="AA273" i="13" s="1"/>
  <c r="AA274" i="13" a="1"/>
  <c r="AA274" i="13" s="1"/>
  <c r="AA275" i="13" a="1"/>
  <c r="AA275" i="13" s="1"/>
  <c r="AA276" i="13" a="1"/>
  <c r="AA276" i="13" s="1"/>
  <c r="AA277" i="13" a="1"/>
  <c r="AA277" i="13"/>
  <c r="AA278" i="13" a="1"/>
  <c r="AA278" i="13" s="1"/>
  <c r="AA279" i="13" a="1"/>
  <c r="AA279" i="13" s="1"/>
  <c r="AA280" i="13" a="1"/>
  <c r="AA280" i="13" s="1"/>
  <c r="AA281" i="13" a="1"/>
  <c r="AA281" i="13" s="1"/>
  <c r="AA282" i="13" a="1"/>
  <c r="AA282" i="13" s="1"/>
  <c r="AA283" i="13" a="1"/>
  <c r="AA283" i="13" s="1"/>
  <c r="AA284" i="13" a="1"/>
  <c r="AA284" i="13" s="1"/>
  <c r="AA285" i="13" a="1"/>
  <c r="AA285" i="13" s="1"/>
  <c r="AA286" i="13" a="1"/>
  <c r="AA286" i="13" s="1"/>
  <c r="AA287" i="13" a="1"/>
  <c r="AA287" i="13" s="1"/>
  <c r="AA288" i="13" a="1"/>
  <c r="AA288" i="13" s="1"/>
  <c r="AA289" i="13" a="1"/>
  <c r="AA289" i="13" s="1"/>
  <c r="AA290" i="13" a="1"/>
  <c r="AA290" i="13" s="1"/>
  <c r="AA291" i="13" a="1"/>
  <c r="AA291" i="13" s="1"/>
  <c r="AA292" i="13" a="1"/>
  <c r="AA292" i="13" s="1"/>
  <c r="AA293" i="13" a="1"/>
  <c r="AA293" i="13" s="1"/>
  <c r="AA294" i="13" a="1"/>
  <c r="AA294" i="13" s="1"/>
  <c r="AA295" i="13" a="1"/>
  <c r="AA295" i="13" s="1"/>
  <c r="AA297" i="13" a="1"/>
  <c r="AA297" i="13" s="1"/>
  <c r="AA298" i="13" a="1"/>
  <c r="AA298" i="13" s="1"/>
  <c r="AA299" i="13" a="1"/>
  <c r="AA299" i="13" s="1"/>
  <c r="AA300" i="13" a="1"/>
  <c r="AA300" i="13" s="1"/>
  <c r="AA301" i="13" a="1"/>
  <c r="AA301" i="13" s="1"/>
  <c r="AA302" i="13" a="1"/>
  <c r="AA302" i="13" s="1"/>
  <c r="AA303" i="13" a="1"/>
  <c r="AA303" i="13" s="1"/>
  <c r="AA304" i="13" a="1"/>
  <c r="AA304" i="13" s="1"/>
  <c r="AA305" i="13" a="1"/>
  <c r="AA305" i="13" s="1"/>
  <c r="AA306" i="13" a="1"/>
  <c r="AA306" i="13"/>
  <c r="AA307" i="13" a="1"/>
  <c r="AA307" i="13" s="1"/>
  <c r="AA308" i="13" a="1"/>
  <c r="AA308" i="13" s="1"/>
  <c r="AA309" i="13" a="1"/>
  <c r="AA309" i="13" s="1"/>
  <c r="AA310" i="13" a="1"/>
  <c r="AA310" i="13" s="1"/>
  <c r="AA311" i="13" a="1"/>
  <c r="AA311" i="13" s="1"/>
  <c r="AA312" i="13" a="1"/>
  <c r="AA312" i="13" s="1"/>
  <c r="AA313" i="13" a="1"/>
  <c r="AA313" i="13" s="1"/>
  <c r="AA314" i="13" a="1"/>
  <c r="AA314" i="13" s="1"/>
  <c r="AA315" i="13" a="1"/>
  <c r="AA315" i="13" s="1"/>
  <c r="AA316" i="13" a="1"/>
  <c r="AA316" i="13" s="1"/>
  <c r="AA317" i="13" a="1"/>
  <c r="AA317" i="13" s="1"/>
  <c r="AA318" i="13" a="1"/>
  <c r="AA318" i="13" s="1"/>
  <c r="AA319" i="13" a="1"/>
  <c r="AA319" i="13" s="1"/>
  <c r="AA320" i="13" a="1"/>
  <c r="AA320" i="13" s="1"/>
  <c r="AA321" i="13" a="1"/>
  <c r="AA321" i="13" s="1"/>
  <c r="AA322" i="13" a="1"/>
  <c r="AA322" i="13" s="1"/>
  <c r="AA323" i="13" a="1"/>
  <c r="AA323" i="13" s="1"/>
  <c r="AA324" i="13" a="1"/>
  <c r="AA324" i="13" s="1"/>
  <c r="AA325" i="13" a="1"/>
  <c r="AA325" i="13" s="1"/>
  <c r="AA326" i="13" a="1"/>
  <c r="AA326" i="13" s="1"/>
  <c r="AA327" i="13" a="1"/>
  <c r="AA327" i="13" s="1"/>
  <c r="AA329" i="13" a="1"/>
  <c r="AA329" i="13" s="1"/>
  <c r="AA330" i="13" a="1"/>
  <c r="AA330" i="13" s="1"/>
  <c r="AA331" i="13" a="1"/>
  <c r="AA331" i="13" s="1"/>
  <c r="AA332" i="13" a="1"/>
  <c r="AA332" i="13" s="1"/>
  <c r="AA333" i="13" a="1"/>
  <c r="AA333" i="13" s="1"/>
  <c r="AA334" i="13" a="1"/>
  <c r="AA334" i="13"/>
  <c r="AA335" i="13" a="1"/>
  <c r="AA335" i="13" s="1"/>
  <c r="AA336" i="13" a="1"/>
  <c r="AA336" i="13" s="1"/>
  <c r="AA337" i="13" a="1"/>
  <c r="AA337" i="13" s="1"/>
  <c r="AA338" i="13" a="1"/>
  <c r="AA338" i="13" s="1"/>
  <c r="AA339" i="13" a="1"/>
  <c r="AA339" i="13" s="1"/>
  <c r="AA340" i="13" a="1"/>
  <c r="AA340" i="13" s="1"/>
  <c r="AA341" i="13" a="1"/>
  <c r="AA341" i="13" s="1"/>
  <c r="AA342" i="13" a="1"/>
  <c r="AA342" i="13" s="1"/>
  <c r="AA343" i="13" a="1"/>
  <c r="AA343" i="13" s="1"/>
  <c r="AA344" i="13" a="1"/>
  <c r="AA344" i="13" s="1"/>
  <c r="AA345" i="13" a="1"/>
  <c r="AA345" i="13" s="1"/>
  <c r="AA346" i="13" a="1"/>
  <c r="AA346" i="13" s="1"/>
  <c r="AA347" i="13" a="1"/>
  <c r="AA347" i="13"/>
  <c r="AA348" i="13" a="1"/>
  <c r="AA348" i="13" s="1"/>
  <c r="AA349" i="13" a="1"/>
  <c r="AA349" i="13" s="1"/>
  <c r="AA350" i="13" a="1"/>
  <c r="AA350" i="13" s="1"/>
  <c r="AA351" i="13" a="1"/>
  <c r="AA351" i="13" s="1"/>
  <c r="AA352" i="13" a="1"/>
  <c r="AA352" i="13" s="1"/>
  <c r="AA353" i="13" a="1"/>
  <c r="AA353" i="13" s="1"/>
  <c r="AA354" i="13" a="1"/>
  <c r="AA354" i="13" s="1"/>
  <c r="AA355" i="13" a="1"/>
  <c r="AA355" i="13" s="1"/>
  <c r="AA356" i="13" a="1"/>
  <c r="AA356" i="13" s="1"/>
  <c r="AA357" i="13" a="1"/>
  <c r="AA357" i="13" s="1"/>
  <c r="AA358" i="13" a="1"/>
  <c r="AA358" i="13" s="1"/>
  <c r="AA359" i="13" a="1"/>
  <c r="AA359" i="13" s="1"/>
  <c r="AA361" i="13" a="1"/>
  <c r="AA361" i="13"/>
  <c r="AA362" i="13" a="1"/>
  <c r="AA362" i="13" s="1"/>
  <c r="AA363" i="13" a="1"/>
  <c r="AA363" i="13" s="1"/>
  <c r="AA364" i="13" a="1"/>
  <c r="AA364" i="13" s="1"/>
  <c r="AA365" i="13" a="1"/>
  <c r="AA365" i="13" s="1"/>
  <c r="AA366" i="13" a="1"/>
  <c r="AA366" i="13" s="1"/>
  <c r="AA367" i="13" a="1"/>
  <c r="AA367" i="13" s="1"/>
  <c r="AA368" i="13" a="1"/>
  <c r="AA368" i="13" s="1"/>
  <c r="AA369" i="13" a="1"/>
  <c r="AA369" i="13" s="1"/>
  <c r="AA370" i="13" a="1"/>
  <c r="AA370" i="13" s="1"/>
  <c r="AA371" i="13" a="1"/>
  <c r="AA371" i="13" s="1"/>
  <c r="AA372" i="13" a="1"/>
  <c r="AA372" i="13" s="1"/>
  <c r="AA373" i="13" a="1"/>
  <c r="AA373" i="13" s="1"/>
  <c r="AA374" i="13" a="1"/>
  <c r="AA374" i="13" s="1"/>
  <c r="AA375" i="13" a="1"/>
  <c r="AA375" i="13"/>
  <c r="AA376" i="13" a="1"/>
  <c r="AA376" i="13" s="1"/>
  <c r="AA377" i="13" a="1"/>
  <c r="AA377" i="13" s="1"/>
  <c r="AA378" i="13" a="1"/>
  <c r="AA378" i="13" s="1"/>
  <c r="AA379" i="13" a="1"/>
  <c r="AA379" i="13" s="1"/>
  <c r="AA380" i="13" a="1"/>
  <c r="AA380" i="13" s="1"/>
  <c r="AA381" i="13" a="1"/>
  <c r="AA381" i="13" s="1"/>
  <c r="AA382" i="13" a="1"/>
  <c r="AA382" i="13" s="1"/>
  <c r="AA383" i="13" a="1"/>
  <c r="AA383" i="13" s="1"/>
  <c r="AA384" i="13" a="1"/>
  <c r="AA384" i="13" s="1"/>
  <c r="AA385" i="13" a="1"/>
  <c r="AA385" i="13" s="1"/>
  <c r="AA386" i="13" a="1"/>
  <c r="AA386" i="13" s="1"/>
  <c r="AA387" i="13" a="1"/>
  <c r="AA387" i="13" s="1"/>
  <c r="AA388" i="13" a="1"/>
  <c r="AA388" i="13" s="1"/>
  <c r="AA389" i="13" a="1"/>
  <c r="AA389" i="13"/>
  <c r="AA390" i="13" a="1"/>
  <c r="AA390" i="13" s="1"/>
  <c r="AA391" i="13" a="1"/>
  <c r="AA391" i="13" s="1"/>
  <c r="AA393" i="13" a="1"/>
  <c r="AA393" i="13"/>
  <c r="AA394" i="13" a="1"/>
  <c r="AA394" i="13" s="1"/>
  <c r="AA395" i="13" a="1"/>
  <c r="AA395" i="13" s="1"/>
  <c r="AA396" i="13" a="1"/>
  <c r="AA396" i="13" s="1"/>
  <c r="AA397" i="13" a="1"/>
  <c r="AA397" i="13" s="1"/>
  <c r="AA398" i="13" a="1"/>
  <c r="AA398" i="13" s="1"/>
  <c r="AA399" i="13" a="1"/>
  <c r="AA399" i="13" s="1"/>
  <c r="AA400" i="13" a="1"/>
  <c r="AA400" i="13" s="1"/>
  <c r="AA401" i="13" a="1"/>
  <c r="AA401" i="13" s="1"/>
  <c r="AA402" i="13" a="1"/>
  <c r="AA402" i="13"/>
  <c r="AA403" i="13" a="1"/>
  <c r="AA403" i="13" s="1"/>
  <c r="AA404" i="13" a="1"/>
  <c r="AA404" i="13" s="1"/>
  <c r="AA405" i="13" a="1"/>
  <c r="AA405" i="13" s="1"/>
  <c r="AA406" i="13" a="1"/>
  <c r="AA406" i="13" s="1"/>
  <c r="AA407" i="13" a="1"/>
  <c r="AA407" i="13" s="1"/>
  <c r="AA408" i="13" a="1"/>
  <c r="AA408" i="13" s="1"/>
  <c r="AA409" i="13" a="1"/>
  <c r="AA409" i="13" s="1"/>
  <c r="AA410" i="13" a="1"/>
  <c r="AA410" i="13" s="1"/>
  <c r="AA411" i="13" a="1"/>
  <c r="AA411" i="13" s="1"/>
  <c r="AA412" i="13" a="1"/>
  <c r="AA412" i="13" s="1"/>
  <c r="AA413" i="13" a="1"/>
  <c r="AA413" i="13" s="1"/>
  <c r="AA414" i="13" a="1"/>
  <c r="AA414" i="13" s="1"/>
  <c r="AA415" i="13" a="1"/>
  <c r="AA415" i="13" s="1"/>
  <c r="AA416" i="13" a="1"/>
  <c r="AA416" i="13" s="1"/>
  <c r="AA417" i="13" a="1"/>
  <c r="AA417" i="13" s="1"/>
  <c r="AA418" i="13" a="1"/>
  <c r="AA418" i="13" s="1"/>
  <c r="AA419" i="13" a="1"/>
  <c r="AA419" i="13" s="1"/>
  <c r="AA420" i="13" a="1"/>
  <c r="AA420" i="13" s="1"/>
  <c r="AA421" i="13" a="1"/>
  <c r="AA421" i="13" s="1"/>
  <c r="AA422" i="13" a="1"/>
  <c r="AA422" i="13" s="1"/>
  <c r="AA423" i="13" a="1"/>
  <c r="AA423" i="13" s="1"/>
  <c r="AA425" i="13" a="1"/>
  <c r="AA425" i="13" s="1"/>
  <c r="AA426" i="13" a="1"/>
  <c r="AA426" i="13" s="1"/>
  <c r="AA427" i="13" a="1"/>
  <c r="AA427" i="13" s="1"/>
  <c r="AA428" i="13" a="1"/>
  <c r="AA428" i="13" s="1"/>
  <c r="AA429" i="13" a="1"/>
  <c r="AA429" i="13" s="1"/>
  <c r="AA430" i="13" a="1"/>
  <c r="AA430" i="13"/>
  <c r="AA431" i="13" a="1"/>
  <c r="AA431" i="13" s="1"/>
  <c r="AA432" i="13" a="1"/>
  <c r="AA432" i="13" s="1"/>
  <c r="AA433" i="13" a="1"/>
  <c r="AA433" i="13" s="1"/>
  <c r="AA434" i="13" a="1"/>
  <c r="AA434" i="13"/>
  <c r="AA435" i="13" a="1"/>
  <c r="AA435" i="13" s="1"/>
  <c r="AA436" i="13" a="1"/>
  <c r="AA436" i="13" s="1"/>
  <c r="AA437" i="13" a="1"/>
  <c r="AA437" i="13" s="1"/>
  <c r="AA438" i="13" a="1"/>
  <c r="AA438" i="13" s="1"/>
  <c r="AA439" i="13" a="1"/>
  <c r="AA439" i="13" s="1"/>
  <c r="AA440" i="13" a="1"/>
  <c r="AA440" i="13" s="1"/>
  <c r="AA441" i="13" a="1"/>
  <c r="AA441" i="13" s="1"/>
  <c r="AA442" i="13" a="1"/>
  <c r="AA442" i="13" s="1"/>
  <c r="AA443" i="13" a="1"/>
  <c r="AA443" i="13"/>
  <c r="AA444" i="13" a="1"/>
  <c r="AA444" i="13" s="1"/>
  <c r="AA445" i="13" a="1"/>
  <c r="AA445" i="13" s="1"/>
  <c r="AA446" i="13" a="1"/>
  <c r="AA446" i="13" s="1"/>
  <c r="AA447" i="13" a="1"/>
  <c r="AA447" i="13" s="1"/>
  <c r="AA448" i="13" a="1"/>
  <c r="AA448" i="13" s="1"/>
  <c r="AA449" i="13" a="1"/>
  <c r="AA449" i="13" s="1"/>
  <c r="AA450" i="13" a="1"/>
  <c r="AA450" i="13" s="1"/>
  <c r="AA451" i="13" a="1"/>
  <c r="AA451" i="13" s="1"/>
  <c r="AA452" i="13" a="1"/>
  <c r="AA452" i="13" s="1"/>
  <c r="AA453" i="13" a="1"/>
  <c r="AA453" i="13" s="1"/>
  <c r="AA454" i="13" a="1"/>
  <c r="AA454" i="13" s="1"/>
  <c r="AA455" i="13" a="1"/>
  <c r="AA455" i="13" s="1"/>
  <c r="AA457" i="13" a="1"/>
  <c r="AA457" i="13" s="1"/>
  <c r="AA458" i="13" a="1"/>
  <c r="AA458" i="13" s="1"/>
  <c r="AA459" i="13" a="1"/>
  <c r="AA459" i="13" s="1"/>
  <c r="AA460" i="13" a="1"/>
  <c r="AA460" i="13" s="1"/>
  <c r="AA461" i="13" a="1"/>
  <c r="AA461" i="13" s="1"/>
  <c r="AA462" i="13" a="1"/>
  <c r="AA462" i="13"/>
  <c r="AA463" i="13" a="1"/>
  <c r="AA463" i="13" s="1"/>
  <c r="AA465" i="13" a="1"/>
  <c r="AA465" i="13" s="1"/>
  <c r="AA466" i="13" a="1"/>
  <c r="AA466" i="13" s="1"/>
  <c r="AA467" i="13" a="1"/>
  <c r="AA467" i="13" s="1"/>
  <c r="AA468" i="13" a="1"/>
  <c r="AA468" i="13" s="1"/>
  <c r="AB2" i="13"/>
  <c r="AB3" i="13"/>
  <c r="AB4" i="13"/>
  <c r="AB5" i="13"/>
  <c r="AB6" i="13"/>
  <c r="AB7" i="13"/>
  <c r="AB8" i="13"/>
  <c r="AB9" i="13"/>
  <c r="AB10" i="13"/>
  <c r="AB11" i="13"/>
  <c r="AB12" i="13"/>
  <c r="AB13" i="13"/>
  <c r="AB14" i="13"/>
  <c r="AB15" i="13"/>
  <c r="AB16" i="13"/>
  <c r="AB17" i="13"/>
  <c r="AB18" i="13"/>
  <c r="AB19" i="13"/>
  <c r="AB20" i="13"/>
  <c r="AB21" i="13"/>
  <c r="AB22" i="13"/>
  <c r="AB23" i="13"/>
  <c r="AB24" i="13"/>
  <c r="AB25" i="13"/>
  <c r="AB26" i="13"/>
  <c r="AB27" i="13"/>
  <c r="AB28" i="13"/>
  <c r="AB29" i="13"/>
  <c r="AB30" i="13"/>
  <c r="AB31" i="13"/>
  <c r="AB32" i="13"/>
  <c r="AB33" i="13"/>
  <c r="AB34" i="13"/>
  <c r="AB35" i="13"/>
  <c r="AB36" i="13"/>
  <c r="AB37" i="13"/>
  <c r="AB38" i="13"/>
  <c r="AB39" i="13"/>
  <c r="AB40" i="13"/>
  <c r="AB41" i="13"/>
  <c r="AB42" i="13"/>
  <c r="AB43" i="13"/>
  <c r="AB44" i="13"/>
  <c r="AB45" i="13"/>
  <c r="AB46" i="13"/>
  <c r="AB47" i="13"/>
  <c r="AB48" i="13"/>
  <c r="AB49" i="13"/>
  <c r="AB50" i="13"/>
  <c r="AB51" i="13"/>
  <c r="AB52" i="13"/>
  <c r="AB53" i="13"/>
  <c r="AB54" i="13"/>
  <c r="AB55" i="13"/>
  <c r="AB56" i="13"/>
  <c r="AB57" i="13"/>
  <c r="AB58" i="13"/>
  <c r="AB59" i="13"/>
  <c r="AB60" i="13"/>
  <c r="AB61" i="13"/>
  <c r="AB62" i="13"/>
  <c r="AB63" i="13"/>
  <c r="AB64" i="13"/>
  <c r="AB65" i="13"/>
  <c r="AB66" i="13"/>
  <c r="AB67" i="13"/>
  <c r="AB68" i="13"/>
  <c r="AB69" i="13"/>
  <c r="AB70" i="13"/>
  <c r="AB71" i="13"/>
  <c r="AB72" i="13"/>
  <c r="AB73" i="13"/>
  <c r="AB74" i="13"/>
  <c r="AB75" i="13"/>
  <c r="AB76" i="13"/>
  <c r="AB77" i="13"/>
  <c r="AB78" i="13"/>
  <c r="AB79" i="13"/>
  <c r="AB80" i="13"/>
  <c r="AB81" i="13"/>
  <c r="AB82" i="13"/>
  <c r="AB83" i="13"/>
  <c r="AB84" i="13"/>
  <c r="AB85" i="13"/>
  <c r="AB86" i="13"/>
  <c r="AB87" i="13"/>
  <c r="AB88" i="13"/>
  <c r="AB89" i="13"/>
  <c r="AB90" i="13"/>
  <c r="AB91" i="13"/>
  <c r="AB92" i="13"/>
  <c r="AB93" i="13"/>
  <c r="AB94" i="13"/>
  <c r="AB95" i="13"/>
  <c r="AB96" i="13"/>
  <c r="AB97" i="13"/>
  <c r="AB98" i="13"/>
  <c r="AB99" i="13"/>
  <c r="AB100" i="13"/>
  <c r="AB101" i="13"/>
  <c r="AB102" i="13"/>
  <c r="AB103" i="13"/>
  <c r="AB104" i="13"/>
  <c r="AB105" i="13"/>
  <c r="AB106" i="13"/>
  <c r="AB107" i="13"/>
  <c r="AB108" i="13"/>
  <c r="AB109" i="13"/>
  <c r="AB110" i="13"/>
  <c r="AB111" i="13"/>
  <c r="AB112" i="13"/>
  <c r="AB113" i="13"/>
  <c r="AB114" i="13"/>
  <c r="AB115" i="13"/>
  <c r="AB116" i="13"/>
  <c r="AB117" i="13"/>
  <c r="AB118" i="13"/>
  <c r="AB119" i="13"/>
  <c r="AB120" i="13"/>
  <c r="AB121" i="13"/>
  <c r="AB122" i="13"/>
  <c r="AB123" i="13"/>
  <c r="AB124" i="13"/>
  <c r="AB125" i="13"/>
  <c r="AB126" i="13"/>
  <c r="AB127" i="13"/>
  <c r="AB128" i="13"/>
  <c r="AB129" i="13"/>
  <c r="AB130" i="13"/>
  <c r="AB131" i="13"/>
  <c r="AB132" i="13"/>
  <c r="AB133" i="13"/>
  <c r="AB134" i="13"/>
  <c r="AB135" i="13"/>
  <c r="AB136" i="13"/>
  <c r="AB137" i="13"/>
  <c r="AB138" i="13"/>
  <c r="AB139" i="13"/>
  <c r="AB140" i="13"/>
  <c r="AB141" i="13"/>
  <c r="AB142" i="13"/>
  <c r="AB143" i="13"/>
  <c r="AB144" i="13"/>
  <c r="AB145" i="13"/>
  <c r="AB146" i="13"/>
  <c r="AB147" i="13"/>
  <c r="AB148" i="13"/>
  <c r="AB149" i="13"/>
  <c r="AB150" i="13"/>
  <c r="AB151" i="13"/>
  <c r="AB152" i="13"/>
  <c r="AB153" i="13"/>
  <c r="AB154" i="13"/>
  <c r="AB155" i="13"/>
  <c r="AB156" i="13"/>
  <c r="AB157" i="13"/>
  <c r="AB158" i="13"/>
  <c r="AB159" i="13"/>
  <c r="AB160" i="13"/>
  <c r="AB161" i="13"/>
  <c r="AB162" i="13"/>
  <c r="AB163" i="13"/>
  <c r="AB164" i="13"/>
  <c r="AB165" i="13"/>
  <c r="AB166" i="13"/>
  <c r="AB167" i="13"/>
  <c r="AB168" i="13"/>
  <c r="AB169" i="13"/>
  <c r="AB170" i="13"/>
  <c r="AB171" i="13"/>
  <c r="AB172" i="13"/>
  <c r="AB173" i="13"/>
  <c r="AB174" i="13"/>
  <c r="AB175" i="13"/>
  <c r="AB176" i="13"/>
  <c r="AB177" i="13"/>
  <c r="AB178" i="13"/>
  <c r="AB179" i="13"/>
  <c r="AB180" i="13"/>
  <c r="AB181" i="13"/>
  <c r="AB182" i="13"/>
  <c r="AB183" i="13"/>
  <c r="AB184" i="13"/>
  <c r="AB185" i="13"/>
  <c r="AB186" i="13"/>
  <c r="AB187" i="13"/>
  <c r="AB188" i="13"/>
  <c r="AB189" i="13"/>
  <c r="AB190" i="13"/>
  <c r="AB191" i="13"/>
  <c r="AB192" i="13"/>
  <c r="AB193" i="13"/>
  <c r="AB194" i="13"/>
  <c r="AB195" i="13"/>
  <c r="AB196" i="13"/>
  <c r="AB197" i="13"/>
  <c r="AB198" i="13"/>
  <c r="AB199" i="13"/>
  <c r="AB200" i="13"/>
  <c r="AB201" i="13"/>
  <c r="AB202" i="13"/>
  <c r="AB203" i="13"/>
  <c r="AB204" i="13"/>
  <c r="AB205" i="13"/>
  <c r="AB206" i="13"/>
  <c r="AB207" i="13"/>
  <c r="AB208" i="13"/>
  <c r="AB209" i="13"/>
  <c r="AB210" i="13"/>
  <c r="AB211" i="13"/>
  <c r="AB212" i="13"/>
  <c r="AB213" i="13"/>
  <c r="AB214" i="13"/>
  <c r="AB215" i="13"/>
  <c r="AB216" i="13"/>
  <c r="AB217" i="13"/>
  <c r="AB218" i="13"/>
  <c r="AB219" i="13"/>
  <c r="AB220" i="13"/>
  <c r="AB221" i="13"/>
  <c r="AB222" i="13"/>
  <c r="AB223" i="13"/>
  <c r="AB224" i="13"/>
  <c r="AB225" i="13"/>
  <c r="AB226" i="13"/>
  <c r="AB227" i="13"/>
  <c r="AB228" i="13"/>
  <c r="AB229" i="13"/>
  <c r="AB230" i="13"/>
  <c r="AB231" i="13"/>
  <c r="AB232" i="13"/>
  <c r="AB233" i="13"/>
  <c r="AB234" i="13"/>
  <c r="AB235" i="13"/>
  <c r="AB236" i="13"/>
  <c r="AB237" i="13"/>
  <c r="AB238" i="13"/>
  <c r="AB239" i="13"/>
  <c r="AB240" i="13"/>
  <c r="AB241" i="13"/>
  <c r="AB242" i="13"/>
  <c r="AB243" i="13"/>
  <c r="AB244" i="13"/>
  <c r="AB245" i="13"/>
  <c r="AB246" i="13"/>
  <c r="AB247" i="13"/>
  <c r="AB248" i="13"/>
  <c r="AB249" i="13"/>
  <c r="AB250" i="13"/>
  <c r="AB251" i="13"/>
  <c r="AB252" i="13"/>
  <c r="AB253" i="13"/>
  <c r="AB254" i="13"/>
  <c r="AB255" i="13"/>
  <c r="AB256" i="13"/>
  <c r="AB257" i="13"/>
  <c r="AB258" i="13"/>
  <c r="AB259" i="13"/>
  <c r="AB260" i="13"/>
  <c r="AB261" i="13"/>
  <c r="AB262" i="13"/>
  <c r="AB263" i="13"/>
  <c r="AB264" i="13"/>
  <c r="AB265" i="13"/>
  <c r="AB266" i="13"/>
  <c r="AB267" i="13"/>
  <c r="AB268" i="13"/>
  <c r="AB269" i="13"/>
  <c r="AB270" i="13"/>
  <c r="AB271" i="13"/>
  <c r="AB272" i="13"/>
  <c r="AB273" i="13"/>
  <c r="AB274" i="13"/>
  <c r="AB275" i="13"/>
  <c r="AB276" i="13"/>
  <c r="AB277" i="13"/>
  <c r="AB278" i="13"/>
  <c r="AB279" i="13"/>
  <c r="AB280" i="13"/>
  <c r="AB281" i="13"/>
  <c r="AB282" i="13"/>
  <c r="AB283" i="13"/>
  <c r="AB284" i="13"/>
  <c r="AB285" i="13"/>
  <c r="AB286" i="13"/>
  <c r="AB287" i="13"/>
  <c r="AB288" i="13"/>
  <c r="AB289" i="13"/>
  <c r="AB290" i="13"/>
  <c r="AB291" i="13"/>
  <c r="AB292" i="13"/>
  <c r="AB293" i="13"/>
  <c r="AB294" i="13"/>
  <c r="AB295" i="13"/>
  <c r="AB296" i="13"/>
  <c r="AB297" i="13"/>
  <c r="AB298" i="13"/>
  <c r="AB299" i="13"/>
  <c r="AB300" i="13"/>
  <c r="AB301" i="13"/>
  <c r="AB302" i="13"/>
  <c r="AB303" i="13"/>
  <c r="AB304" i="13"/>
  <c r="AB305" i="13"/>
  <c r="AB306" i="13"/>
  <c r="AB307" i="13"/>
  <c r="AB308" i="13"/>
  <c r="AB309" i="13"/>
  <c r="AB310" i="13"/>
  <c r="AB311" i="13"/>
  <c r="AB312" i="13"/>
  <c r="AB313" i="13"/>
  <c r="AB314" i="13"/>
  <c r="AB315" i="13"/>
  <c r="AB316" i="13"/>
  <c r="AB317" i="13"/>
  <c r="AB318" i="13"/>
  <c r="AB319" i="13"/>
  <c r="AB320" i="13"/>
  <c r="AB321" i="13"/>
  <c r="AB322" i="13"/>
  <c r="AB323" i="13"/>
  <c r="AB324" i="13"/>
  <c r="AB325" i="13"/>
  <c r="AB326" i="13"/>
  <c r="AB327" i="13"/>
  <c r="AB328" i="13"/>
  <c r="AB329" i="13"/>
  <c r="AB330" i="13"/>
  <c r="AB331" i="13"/>
  <c r="AB332" i="13"/>
  <c r="AB333" i="13"/>
  <c r="AB334" i="13"/>
  <c r="AB335" i="13"/>
  <c r="AB336" i="13"/>
  <c r="AB337" i="13"/>
  <c r="AB338" i="13"/>
  <c r="AB339" i="13"/>
  <c r="AB340" i="13"/>
  <c r="AB341" i="13"/>
  <c r="AB342" i="13"/>
  <c r="AB343" i="13"/>
  <c r="AB344" i="13"/>
  <c r="AB345" i="13"/>
  <c r="AB346" i="13"/>
  <c r="AB347" i="13"/>
  <c r="AB348" i="13"/>
  <c r="AB349" i="13"/>
  <c r="AB350" i="13"/>
  <c r="AB351" i="13"/>
  <c r="AB352" i="13"/>
  <c r="AB353" i="13"/>
  <c r="AB354" i="13"/>
  <c r="AB355" i="13"/>
  <c r="AB356" i="13"/>
  <c r="AB357" i="13"/>
  <c r="AB358" i="13"/>
  <c r="AB359" i="13"/>
  <c r="AB360" i="13"/>
  <c r="AB361" i="13"/>
  <c r="AB362" i="13"/>
  <c r="AB363" i="13"/>
  <c r="AB364" i="13"/>
  <c r="AB365" i="13"/>
  <c r="AB366" i="13"/>
  <c r="AB367" i="13"/>
  <c r="AB368" i="13"/>
  <c r="AB369" i="13"/>
  <c r="AB370" i="13"/>
  <c r="AB371" i="13"/>
  <c r="AB372" i="13"/>
  <c r="AB373" i="13"/>
  <c r="AB374" i="13"/>
  <c r="AB375" i="13"/>
  <c r="AB376" i="13"/>
  <c r="AB377" i="13"/>
  <c r="AB378" i="13"/>
  <c r="AB379" i="13"/>
  <c r="AB380" i="13"/>
  <c r="AB381" i="13"/>
  <c r="AB382" i="13"/>
  <c r="AB383" i="13"/>
  <c r="AB384" i="13"/>
  <c r="AB385" i="13"/>
  <c r="AB386" i="13"/>
  <c r="AB387" i="13"/>
  <c r="AB388" i="13"/>
  <c r="AB389" i="13"/>
  <c r="AB390" i="13"/>
  <c r="AB391" i="13"/>
  <c r="AB392" i="13"/>
  <c r="AB393" i="13"/>
  <c r="AB394" i="13"/>
  <c r="AB395" i="13"/>
  <c r="AB396" i="13"/>
  <c r="AB397" i="13"/>
  <c r="AB398" i="13"/>
  <c r="AB399" i="13"/>
  <c r="AB400" i="13"/>
  <c r="AB401" i="13"/>
  <c r="AB402" i="13"/>
  <c r="AB403" i="13"/>
  <c r="AB404" i="13"/>
  <c r="AB405" i="13"/>
  <c r="AB406" i="13"/>
  <c r="AB407" i="13"/>
  <c r="AB408" i="13"/>
  <c r="AB409" i="13"/>
  <c r="AB410" i="13"/>
  <c r="AB411" i="13"/>
  <c r="AB412" i="13"/>
  <c r="AB413" i="13"/>
  <c r="AB414" i="13"/>
  <c r="AB415" i="13"/>
  <c r="AB416" i="13"/>
  <c r="AB417" i="13"/>
  <c r="AB418" i="13"/>
  <c r="AB419" i="13"/>
  <c r="AB420" i="13"/>
  <c r="AB421" i="13"/>
  <c r="AB422" i="13"/>
  <c r="AB423" i="13"/>
  <c r="AB424" i="13"/>
  <c r="AB425" i="13"/>
  <c r="AB426" i="13"/>
  <c r="AB427" i="13"/>
  <c r="AB428" i="13"/>
  <c r="AB429" i="13"/>
  <c r="AB430" i="13"/>
  <c r="AB431" i="13"/>
  <c r="AB432" i="13"/>
  <c r="AB433" i="13"/>
  <c r="AB434" i="13"/>
  <c r="AB435" i="13"/>
  <c r="AB436" i="13"/>
  <c r="AB437" i="13"/>
  <c r="AB438" i="13"/>
  <c r="AB439" i="13"/>
  <c r="AB440" i="13"/>
  <c r="AB441" i="13"/>
  <c r="AB442" i="13"/>
  <c r="AB443" i="13"/>
  <c r="AB444" i="13"/>
  <c r="AB445" i="13"/>
  <c r="AB446" i="13"/>
  <c r="AB447" i="13"/>
  <c r="AB448" i="13"/>
  <c r="AB449" i="13"/>
  <c r="AB450" i="13"/>
  <c r="AB451" i="13"/>
  <c r="AB452" i="13"/>
  <c r="AB453" i="13"/>
  <c r="AB454" i="13"/>
  <c r="AB455" i="13"/>
  <c r="AB456" i="13"/>
  <c r="AB457" i="13"/>
  <c r="AB458" i="13"/>
  <c r="AB459" i="13"/>
  <c r="AB460" i="13"/>
  <c r="AB461" i="13"/>
  <c r="AB462" i="13"/>
  <c r="AB463" i="13"/>
  <c r="AB464" i="13"/>
  <c r="AB465" i="13"/>
  <c r="AB466" i="13"/>
  <c r="AB467" i="13"/>
  <c r="AB468" i="13"/>
  <c r="AC2" i="13"/>
  <c r="AC3" i="13"/>
  <c r="AC4" i="13"/>
  <c r="AC5" i="13"/>
  <c r="AC6" i="13"/>
  <c r="AC7" i="13"/>
  <c r="AC8" i="13"/>
  <c r="AC9" i="13"/>
  <c r="AC10" i="13"/>
  <c r="AC11" i="13"/>
  <c r="AC12" i="13"/>
  <c r="AC13" i="13"/>
  <c r="AC14" i="13"/>
  <c r="AC15" i="13"/>
  <c r="AC16" i="13"/>
  <c r="AC17" i="13"/>
  <c r="AC18" i="13"/>
  <c r="AC19" i="13"/>
  <c r="AC20" i="13"/>
  <c r="AC21" i="13"/>
  <c r="AC22" i="13"/>
  <c r="AC23" i="13"/>
  <c r="AC24" i="13"/>
  <c r="AC25" i="13"/>
  <c r="AC26" i="13"/>
  <c r="AC27" i="13"/>
  <c r="AC28" i="13"/>
  <c r="AC29" i="13"/>
  <c r="AC30" i="13"/>
  <c r="AC31" i="13"/>
  <c r="AC32" i="13"/>
  <c r="AC33" i="13"/>
  <c r="AC34" i="13"/>
  <c r="AC35" i="13"/>
  <c r="AC36" i="13"/>
  <c r="AC37" i="13"/>
  <c r="AC38" i="13"/>
  <c r="AC39" i="13"/>
  <c r="AC40" i="13"/>
  <c r="AC41" i="13"/>
  <c r="AC42" i="13"/>
  <c r="AC43" i="13"/>
  <c r="AC44" i="13"/>
  <c r="AC45" i="13"/>
  <c r="AC46" i="13"/>
  <c r="AC47" i="13"/>
  <c r="AC48" i="13"/>
  <c r="AC49" i="13"/>
  <c r="AC50" i="13"/>
  <c r="AC51" i="13"/>
  <c r="AC52" i="13"/>
  <c r="AC53" i="13"/>
  <c r="AC54" i="13"/>
  <c r="AC55" i="13"/>
  <c r="AC56" i="13"/>
  <c r="AC57" i="13"/>
  <c r="AC58" i="13"/>
  <c r="AC59" i="13"/>
  <c r="AC60" i="13"/>
  <c r="AC61" i="13"/>
  <c r="AC62" i="13"/>
  <c r="AC63" i="13"/>
  <c r="AC64" i="13"/>
  <c r="AC65" i="13"/>
  <c r="AC66" i="13"/>
  <c r="AC67" i="13"/>
  <c r="AC68" i="13"/>
  <c r="AC69" i="13"/>
  <c r="AC70" i="13"/>
  <c r="AC71" i="13"/>
  <c r="AC72" i="13"/>
  <c r="AC73" i="13"/>
  <c r="AC74" i="13"/>
  <c r="AC75" i="13"/>
  <c r="AC76" i="13"/>
  <c r="AC77" i="13"/>
  <c r="AC78" i="13"/>
  <c r="AC79" i="13"/>
  <c r="AC80" i="13"/>
  <c r="AC81" i="13"/>
  <c r="AC82" i="13"/>
  <c r="AC83" i="13"/>
  <c r="AC84" i="13"/>
  <c r="AC85" i="13"/>
  <c r="AC86" i="13"/>
  <c r="AC87" i="13"/>
  <c r="AC88" i="13"/>
  <c r="AC89" i="13"/>
  <c r="AC90" i="13"/>
  <c r="AC91" i="13"/>
  <c r="AC92" i="13"/>
  <c r="AC93" i="13"/>
  <c r="AC94" i="13"/>
  <c r="AC95" i="13"/>
  <c r="AC96" i="13"/>
  <c r="AC97" i="13"/>
  <c r="AC98" i="13"/>
  <c r="AC99" i="13"/>
  <c r="AC100" i="13"/>
  <c r="AC101" i="13"/>
  <c r="AC102" i="13"/>
  <c r="AC103" i="13"/>
  <c r="AC104" i="13"/>
  <c r="AC105" i="13"/>
  <c r="AC106" i="13"/>
  <c r="AC107" i="13"/>
  <c r="AC108" i="13"/>
  <c r="AC109" i="13"/>
  <c r="AC110" i="13"/>
  <c r="AC111" i="13"/>
  <c r="AC112" i="13"/>
  <c r="AC113" i="13"/>
  <c r="AC114" i="13"/>
  <c r="AC115" i="13"/>
  <c r="AC116" i="13"/>
  <c r="AC117" i="13"/>
  <c r="AC118" i="13"/>
  <c r="AC119" i="13"/>
  <c r="AC120" i="13"/>
  <c r="AC121" i="13"/>
  <c r="AC122" i="13"/>
  <c r="AC123" i="13"/>
  <c r="AC124" i="13"/>
  <c r="AC125" i="13"/>
  <c r="AC126" i="13"/>
  <c r="AC127" i="13"/>
  <c r="AC128" i="13"/>
  <c r="AC129" i="13"/>
  <c r="AC130" i="13"/>
  <c r="AC131" i="13"/>
  <c r="AC132" i="13"/>
  <c r="AC133" i="13"/>
  <c r="AC134" i="13"/>
  <c r="AC135" i="13"/>
  <c r="AC136" i="13"/>
  <c r="AC137" i="13"/>
  <c r="AC138" i="13"/>
  <c r="AC139" i="13"/>
  <c r="AC140" i="13"/>
  <c r="AC141" i="13"/>
  <c r="AC142" i="13"/>
  <c r="AC143" i="13"/>
  <c r="AC144" i="13"/>
  <c r="AC145" i="13"/>
  <c r="AC146" i="13"/>
  <c r="AC147" i="13"/>
  <c r="AC148" i="13"/>
  <c r="AC149" i="13"/>
  <c r="AC150" i="13"/>
  <c r="AC151" i="13"/>
  <c r="AC152" i="13"/>
  <c r="AC153" i="13"/>
  <c r="AC154" i="13"/>
  <c r="AC155" i="13"/>
  <c r="AC156" i="13"/>
  <c r="AC157" i="13"/>
  <c r="AC158" i="13"/>
  <c r="AC159" i="13"/>
  <c r="AC160" i="13"/>
  <c r="AC161" i="13"/>
  <c r="AC162" i="13"/>
  <c r="AC163" i="13"/>
  <c r="AC164" i="13"/>
  <c r="AC165" i="13"/>
  <c r="AC166" i="13"/>
  <c r="AC167" i="13"/>
  <c r="AC168" i="13"/>
  <c r="AC169" i="13"/>
  <c r="AC170" i="13"/>
  <c r="AC171" i="13"/>
  <c r="AC172" i="13"/>
  <c r="AC173" i="13"/>
  <c r="AC174" i="13"/>
  <c r="AC175" i="13"/>
  <c r="AC176" i="13"/>
  <c r="AC177" i="13"/>
  <c r="AC178" i="13"/>
  <c r="AC179" i="13"/>
  <c r="AC180" i="13"/>
  <c r="AC181" i="13"/>
  <c r="AC182" i="13"/>
  <c r="AC183" i="13"/>
  <c r="AC184" i="13"/>
  <c r="AC185" i="13"/>
  <c r="AC186" i="13"/>
  <c r="AC187" i="13"/>
  <c r="AC188" i="13"/>
  <c r="AC189" i="13"/>
  <c r="AC190" i="13"/>
  <c r="AC191" i="13"/>
  <c r="AC192" i="13"/>
  <c r="AC193" i="13"/>
  <c r="AC194" i="13"/>
  <c r="AC195" i="13"/>
  <c r="AC196" i="13"/>
  <c r="AC197" i="13"/>
  <c r="AC198" i="13"/>
  <c r="AC199" i="13"/>
  <c r="AC200" i="13"/>
  <c r="AC201" i="13"/>
  <c r="AC202" i="13"/>
  <c r="AC203" i="13"/>
  <c r="AC204" i="13"/>
  <c r="AC205" i="13"/>
  <c r="AC206" i="13"/>
  <c r="AC207" i="13"/>
  <c r="AC208" i="13"/>
  <c r="AC209" i="13"/>
  <c r="AC210" i="13"/>
  <c r="AC211" i="13"/>
  <c r="AC212" i="13"/>
  <c r="AC213" i="13"/>
  <c r="AC214" i="13"/>
  <c r="AC215" i="13"/>
  <c r="AC216" i="13"/>
  <c r="AC217" i="13"/>
  <c r="AC218" i="13"/>
  <c r="AC219" i="13"/>
  <c r="AC220" i="13"/>
  <c r="AC221" i="13"/>
  <c r="AC222" i="13"/>
  <c r="AC223" i="13"/>
  <c r="AC224" i="13"/>
  <c r="AC225" i="13"/>
  <c r="AC226" i="13"/>
  <c r="AC227" i="13"/>
  <c r="AC228" i="13"/>
  <c r="AC229" i="13"/>
  <c r="AC230" i="13"/>
  <c r="AC231" i="13"/>
  <c r="AC232" i="13"/>
  <c r="AC233" i="13"/>
  <c r="AC234" i="13"/>
  <c r="AC235" i="13"/>
  <c r="AC236" i="13"/>
  <c r="AC237" i="13"/>
  <c r="AC238" i="13"/>
  <c r="AC239" i="13"/>
  <c r="AC240" i="13"/>
  <c r="AC241" i="13"/>
  <c r="AC242" i="13"/>
  <c r="AC243" i="13"/>
  <c r="AC244" i="13"/>
  <c r="AC245" i="13"/>
  <c r="AC246" i="13"/>
  <c r="AC247" i="13"/>
  <c r="AC248" i="13"/>
  <c r="AC249" i="13"/>
  <c r="AC250" i="13"/>
  <c r="AC251" i="13"/>
  <c r="AC252" i="13"/>
  <c r="AC253" i="13"/>
  <c r="AC254" i="13"/>
  <c r="AC255" i="13"/>
  <c r="AC256" i="13"/>
  <c r="AC257" i="13"/>
  <c r="AC258" i="13"/>
  <c r="AC259" i="13"/>
  <c r="AC260" i="13"/>
  <c r="AC261" i="13"/>
  <c r="AC262" i="13"/>
  <c r="AC263" i="13"/>
  <c r="AC264" i="13"/>
  <c r="AC265" i="13"/>
  <c r="AC266" i="13"/>
  <c r="AC267" i="13"/>
  <c r="AC268" i="13"/>
  <c r="AC269" i="13"/>
  <c r="AC270" i="13"/>
  <c r="AC271" i="13"/>
  <c r="AC272" i="13"/>
  <c r="AC273" i="13"/>
  <c r="AC274" i="13"/>
  <c r="AC275" i="13"/>
  <c r="AC276" i="13"/>
  <c r="AC277" i="13"/>
  <c r="AC278" i="13"/>
  <c r="AC279" i="13"/>
  <c r="AC280" i="13"/>
  <c r="AC281" i="13"/>
  <c r="AC282" i="13"/>
  <c r="AC283" i="13"/>
  <c r="AC284" i="13"/>
  <c r="AC285" i="13"/>
  <c r="AC286" i="13"/>
  <c r="AC287" i="13"/>
  <c r="AC288" i="13"/>
  <c r="AC289" i="13"/>
  <c r="AC290" i="13"/>
  <c r="AC291" i="13"/>
  <c r="AC292" i="13"/>
  <c r="AC293" i="13"/>
  <c r="AC294" i="13"/>
  <c r="AC295" i="13"/>
  <c r="AC296" i="13"/>
  <c r="AC297" i="13"/>
  <c r="AC298" i="13"/>
  <c r="AC299" i="13"/>
  <c r="AC300" i="13"/>
  <c r="AC301" i="13"/>
  <c r="AC302" i="13"/>
  <c r="AC303" i="13"/>
  <c r="AC304" i="13"/>
  <c r="AC305" i="13"/>
  <c r="AC306" i="13"/>
  <c r="AC307" i="13"/>
  <c r="AC308" i="13"/>
  <c r="AC309" i="13"/>
  <c r="AC310" i="13"/>
  <c r="AC311" i="13"/>
  <c r="AC312" i="13"/>
  <c r="AC313" i="13"/>
  <c r="AC314" i="13"/>
  <c r="AC315" i="13"/>
  <c r="AC316" i="13"/>
  <c r="AC317" i="13"/>
  <c r="AC318" i="13"/>
  <c r="AC319" i="13"/>
  <c r="AC320" i="13"/>
  <c r="AC321" i="13"/>
  <c r="AC322" i="13"/>
  <c r="AC323" i="13"/>
  <c r="AC324" i="13"/>
  <c r="AC325" i="13"/>
  <c r="AC326" i="13"/>
  <c r="AC327" i="13"/>
  <c r="AC328" i="13"/>
  <c r="AC329" i="13"/>
  <c r="AC330" i="13"/>
  <c r="AC331" i="13"/>
  <c r="AC332" i="13"/>
  <c r="AC333" i="13"/>
  <c r="AC334" i="13"/>
  <c r="AC335" i="13"/>
  <c r="AC336" i="13"/>
  <c r="AC337" i="13"/>
  <c r="AC338" i="13"/>
  <c r="AC339" i="13"/>
  <c r="AC340" i="13"/>
  <c r="AC341" i="13"/>
  <c r="AC342" i="13"/>
  <c r="AC343" i="13"/>
  <c r="AC344" i="13"/>
  <c r="AC345" i="13"/>
  <c r="AC346" i="13"/>
  <c r="AC347" i="13"/>
  <c r="AC348" i="13"/>
  <c r="AC349" i="13"/>
  <c r="AC350" i="13"/>
  <c r="AC351" i="13"/>
  <c r="AC352" i="13"/>
  <c r="AC353" i="13"/>
  <c r="AC354" i="13"/>
  <c r="AC355" i="13"/>
  <c r="AC356" i="13"/>
  <c r="AC357" i="13"/>
  <c r="AC358" i="13"/>
  <c r="AC359" i="13"/>
  <c r="AC360" i="13"/>
  <c r="AC361" i="13"/>
  <c r="AC362" i="13"/>
  <c r="AC363" i="13"/>
  <c r="AC364" i="13"/>
  <c r="AC365" i="13"/>
  <c r="AC366" i="13"/>
  <c r="AC367" i="13"/>
  <c r="AC368" i="13"/>
  <c r="AC369" i="13"/>
  <c r="AC370" i="13"/>
  <c r="AC371" i="13"/>
  <c r="AC372" i="13"/>
  <c r="AC373" i="13"/>
  <c r="AC374" i="13"/>
  <c r="AC375" i="13"/>
  <c r="AC376" i="13"/>
  <c r="AC377" i="13"/>
  <c r="AC378" i="13"/>
  <c r="AC379" i="13"/>
  <c r="AC380" i="13"/>
  <c r="AC381" i="13"/>
  <c r="AC382" i="13"/>
  <c r="AC383" i="13"/>
  <c r="AC384" i="13"/>
  <c r="AC385" i="13"/>
  <c r="AC386" i="13"/>
  <c r="AC387" i="13"/>
  <c r="AC388" i="13"/>
  <c r="AC389" i="13"/>
  <c r="AC390" i="13"/>
  <c r="AC391" i="13"/>
  <c r="AC392" i="13"/>
  <c r="AC393" i="13"/>
  <c r="AC394" i="13"/>
  <c r="AC395" i="13"/>
  <c r="AC396" i="13"/>
  <c r="AC397" i="13"/>
  <c r="AC398" i="13"/>
  <c r="AC399" i="13"/>
  <c r="AC400" i="13"/>
  <c r="AC401" i="13"/>
  <c r="AC402" i="13"/>
  <c r="AC403" i="13"/>
  <c r="AC404" i="13"/>
  <c r="AC405" i="13"/>
  <c r="AC406" i="13"/>
  <c r="AC407" i="13"/>
  <c r="AC408" i="13"/>
  <c r="AC409" i="13"/>
  <c r="AC410" i="13"/>
  <c r="AC411" i="13"/>
  <c r="AC412" i="13"/>
  <c r="AC413" i="13"/>
  <c r="AC414" i="13"/>
  <c r="AC415" i="13"/>
  <c r="AC416" i="13"/>
  <c r="AC417" i="13"/>
  <c r="AC418" i="13"/>
  <c r="AC419" i="13"/>
  <c r="AC420" i="13"/>
  <c r="AC421" i="13"/>
  <c r="AC422" i="13"/>
  <c r="AC423" i="13"/>
  <c r="AC424" i="13"/>
  <c r="AC425" i="13"/>
  <c r="AC426" i="13"/>
  <c r="AC427" i="13"/>
  <c r="AC428" i="13"/>
  <c r="AC429" i="13"/>
  <c r="AC430" i="13"/>
  <c r="AC431" i="13"/>
  <c r="AC432" i="13"/>
  <c r="AC433" i="13"/>
  <c r="AC434" i="13"/>
  <c r="AC435" i="13"/>
  <c r="AC436" i="13"/>
  <c r="AC437" i="13"/>
  <c r="AC438" i="13"/>
  <c r="AC439" i="13"/>
  <c r="AC440" i="13"/>
  <c r="AC441" i="13"/>
  <c r="AC442" i="13"/>
  <c r="AC443" i="13"/>
  <c r="AC444" i="13"/>
  <c r="AC445" i="13"/>
  <c r="AC446" i="13"/>
  <c r="AC447" i="13"/>
  <c r="AC448" i="13"/>
  <c r="AC449" i="13"/>
  <c r="AC450" i="13"/>
  <c r="AC451" i="13"/>
  <c r="AC452" i="13"/>
  <c r="AC453" i="13"/>
  <c r="AC454" i="13"/>
  <c r="AC455" i="13"/>
  <c r="AC456" i="13"/>
  <c r="AC457" i="13"/>
  <c r="AC458" i="13"/>
  <c r="AC459" i="13"/>
  <c r="AC460" i="13"/>
  <c r="AC461" i="13"/>
  <c r="AC462" i="13"/>
  <c r="AC463" i="13"/>
  <c r="AC464" i="13"/>
  <c r="AC465" i="13"/>
  <c r="AC466" i="13"/>
  <c r="AC467" i="13"/>
  <c r="AC468" i="13"/>
  <c r="AD2" i="13"/>
  <c r="AD3" i="13"/>
  <c r="AD4" i="13"/>
  <c r="AD5" i="13"/>
  <c r="AD6" i="13"/>
  <c r="AD7" i="13"/>
  <c r="AD8" i="13"/>
  <c r="AD9" i="13"/>
  <c r="AD10" i="13"/>
  <c r="AD11" i="13"/>
  <c r="AD12" i="13"/>
  <c r="AD13" i="13"/>
  <c r="AD14" i="13"/>
  <c r="AD15" i="13"/>
  <c r="AD16" i="13"/>
  <c r="AD17" i="13"/>
  <c r="AD18" i="13"/>
  <c r="AD19" i="13"/>
  <c r="AD20" i="13"/>
  <c r="AD21" i="13"/>
  <c r="AD22" i="13"/>
  <c r="AD23" i="13"/>
  <c r="AD24" i="13"/>
  <c r="AD25" i="13"/>
  <c r="AD26" i="13"/>
  <c r="AD27" i="13"/>
  <c r="AD28" i="13"/>
  <c r="AD29" i="13"/>
  <c r="AD30" i="13"/>
  <c r="AD31" i="13"/>
  <c r="AD32" i="13"/>
  <c r="AD33" i="13"/>
  <c r="AD34" i="13"/>
  <c r="AD35" i="13"/>
  <c r="AD36" i="13"/>
  <c r="AD37" i="13"/>
  <c r="AD38" i="13"/>
  <c r="AD39" i="13"/>
  <c r="AD40" i="13"/>
  <c r="AD41" i="13"/>
  <c r="AD42" i="13"/>
  <c r="AD43" i="13"/>
  <c r="AD44" i="13"/>
  <c r="AD45" i="13"/>
  <c r="AD46" i="13"/>
  <c r="AD47" i="13"/>
  <c r="AD48" i="13"/>
  <c r="AD49" i="13"/>
  <c r="AD50" i="13"/>
  <c r="AD51" i="13"/>
  <c r="AD52" i="13"/>
  <c r="AD53" i="13"/>
  <c r="AD54" i="13"/>
  <c r="AD55" i="13"/>
  <c r="AD56" i="13"/>
  <c r="AD57" i="13"/>
  <c r="AD58" i="13"/>
  <c r="AD59" i="13"/>
  <c r="AD60" i="13"/>
  <c r="AD61" i="13"/>
  <c r="AD62" i="13"/>
  <c r="AD63" i="13"/>
  <c r="AD64" i="13"/>
  <c r="AD65" i="13"/>
  <c r="AD66" i="13"/>
  <c r="AD67" i="13"/>
  <c r="AD68" i="13"/>
  <c r="AD69" i="13"/>
  <c r="AD70" i="13"/>
  <c r="AD71" i="13"/>
  <c r="AD72" i="13"/>
  <c r="AD73" i="13"/>
  <c r="AD74" i="13"/>
  <c r="AD75" i="13"/>
  <c r="AD76" i="13"/>
  <c r="AD77" i="13"/>
  <c r="AD78" i="13"/>
  <c r="AD79" i="13"/>
  <c r="AD80" i="13"/>
  <c r="AD81" i="13"/>
  <c r="AD82" i="13"/>
  <c r="AD83" i="13"/>
  <c r="AD84" i="13"/>
  <c r="AD85" i="13"/>
  <c r="AD86" i="13"/>
  <c r="AD87" i="13"/>
  <c r="AD88" i="13"/>
  <c r="AD89" i="13"/>
  <c r="AD90" i="13"/>
  <c r="AD91" i="13"/>
  <c r="AD92" i="13"/>
  <c r="AD93" i="13"/>
  <c r="AD94" i="13"/>
  <c r="AD95" i="13"/>
  <c r="AD96" i="13"/>
  <c r="AD97" i="13"/>
  <c r="AD98" i="13"/>
  <c r="AD99" i="13"/>
  <c r="AD100" i="13"/>
  <c r="AD101" i="13"/>
  <c r="AD102" i="13"/>
  <c r="AD103" i="13"/>
  <c r="AD104" i="13"/>
  <c r="AD105" i="13"/>
  <c r="AD106" i="13"/>
  <c r="AD107" i="13"/>
  <c r="AD108" i="13"/>
  <c r="AD109" i="13"/>
  <c r="AD110" i="13"/>
  <c r="AD111" i="13"/>
  <c r="AD112" i="13"/>
  <c r="AD113" i="13"/>
  <c r="AD114" i="13"/>
  <c r="AD115" i="13"/>
  <c r="AD116" i="13"/>
  <c r="AD117" i="13"/>
  <c r="AD118" i="13"/>
  <c r="AD119" i="13"/>
  <c r="AD120" i="13"/>
  <c r="AD121" i="13"/>
  <c r="AD122" i="13"/>
  <c r="AD123" i="13"/>
  <c r="AD124" i="13"/>
  <c r="AD125" i="13"/>
  <c r="AD126" i="13"/>
  <c r="AD127" i="13"/>
  <c r="AD128" i="13"/>
  <c r="AD129" i="13"/>
  <c r="AD130" i="13"/>
  <c r="AD131" i="13"/>
  <c r="AD132" i="13"/>
  <c r="AD133" i="13"/>
  <c r="AD134" i="13"/>
  <c r="AD135" i="13"/>
  <c r="AD136" i="13"/>
  <c r="AD137" i="13"/>
  <c r="AD138" i="13"/>
  <c r="AD139" i="13"/>
  <c r="AD140" i="13"/>
  <c r="AD141" i="13"/>
  <c r="AD142" i="13"/>
  <c r="AD143" i="13"/>
  <c r="AD144" i="13"/>
  <c r="AD145" i="13"/>
  <c r="AD146" i="13"/>
  <c r="AD147" i="13"/>
  <c r="AD148" i="13"/>
  <c r="AD149" i="13"/>
  <c r="AD150" i="13"/>
  <c r="AD151" i="13"/>
  <c r="AD152" i="13"/>
  <c r="AD153" i="13"/>
  <c r="AD154" i="13"/>
  <c r="AD155" i="13"/>
  <c r="AD156" i="13"/>
  <c r="AD157" i="13"/>
  <c r="AD158" i="13"/>
  <c r="AD159" i="13"/>
  <c r="AD160" i="13"/>
  <c r="AD161" i="13"/>
  <c r="AD162" i="13"/>
  <c r="AD163" i="13"/>
  <c r="AD164" i="13"/>
  <c r="AD165" i="13"/>
  <c r="AD166" i="13"/>
  <c r="AD167" i="13"/>
  <c r="AD168" i="13"/>
  <c r="AD169" i="13"/>
  <c r="AD170" i="13"/>
  <c r="AD171" i="13"/>
  <c r="AD172" i="13"/>
  <c r="AD173" i="13"/>
  <c r="AD174" i="13"/>
  <c r="AD175" i="13"/>
  <c r="AD176" i="13"/>
  <c r="AD177" i="13"/>
  <c r="AD178" i="13"/>
  <c r="AD179" i="13"/>
  <c r="AD180" i="13"/>
  <c r="AD181" i="13"/>
  <c r="AD182" i="13"/>
  <c r="AD183" i="13"/>
  <c r="AD184" i="13"/>
  <c r="AD185" i="13"/>
  <c r="AD186" i="13"/>
  <c r="AD187" i="13"/>
  <c r="AD188" i="13"/>
  <c r="AD189" i="13"/>
  <c r="AD190" i="13"/>
  <c r="AD191" i="13"/>
  <c r="AD192" i="13"/>
  <c r="AD193" i="13"/>
  <c r="AD194" i="13"/>
  <c r="AD195" i="13"/>
  <c r="AD196" i="13"/>
  <c r="AD197" i="13"/>
  <c r="AD198" i="13"/>
  <c r="AD199" i="13"/>
  <c r="AD200" i="13"/>
  <c r="AD201" i="13"/>
  <c r="AD202" i="13"/>
  <c r="AD203" i="13"/>
  <c r="AD204" i="13"/>
  <c r="AD205" i="13"/>
  <c r="AD206" i="13"/>
  <c r="AD207" i="13"/>
  <c r="AD208" i="13"/>
  <c r="AD209" i="13"/>
  <c r="AD210" i="13"/>
  <c r="AD211" i="13"/>
  <c r="AD212" i="13"/>
  <c r="AD213" i="13"/>
  <c r="AD214" i="13"/>
  <c r="AD215" i="13"/>
  <c r="AD216" i="13"/>
  <c r="AD217" i="13"/>
  <c r="AD218" i="13"/>
  <c r="AD219" i="13"/>
  <c r="AD220" i="13"/>
  <c r="AD221" i="13"/>
  <c r="AD222" i="13"/>
  <c r="AD223" i="13"/>
  <c r="AD224" i="13"/>
  <c r="AD225" i="13"/>
  <c r="AD226" i="13"/>
  <c r="AD227" i="13"/>
  <c r="AD228" i="13"/>
  <c r="AD229" i="13"/>
  <c r="AD230" i="13"/>
  <c r="AD231" i="13"/>
  <c r="AD232" i="13"/>
  <c r="AD233" i="13"/>
  <c r="AD234" i="13"/>
  <c r="AD235" i="13"/>
  <c r="AD236" i="13"/>
  <c r="AD237" i="13"/>
  <c r="AD238" i="13"/>
  <c r="AD239" i="13"/>
  <c r="AD240" i="13"/>
  <c r="AD241" i="13"/>
  <c r="AD242" i="13"/>
  <c r="AD243" i="13"/>
  <c r="AD244" i="13"/>
  <c r="AD245" i="13"/>
  <c r="AD246" i="13"/>
  <c r="AD247" i="13"/>
  <c r="AD248" i="13"/>
  <c r="AD249" i="13"/>
  <c r="AD250" i="13"/>
  <c r="AD251" i="13"/>
  <c r="AD252" i="13"/>
  <c r="AD253" i="13"/>
  <c r="AD254" i="13"/>
  <c r="AD255" i="13"/>
  <c r="AD256" i="13"/>
  <c r="AD257" i="13"/>
  <c r="AD258" i="13"/>
  <c r="AD259" i="13"/>
  <c r="AD260" i="13"/>
  <c r="AD261" i="13"/>
  <c r="AD262" i="13"/>
  <c r="AD263" i="13"/>
  <c r="AD264" i="13"/>
  <c r="AD265" i="13"/>
  <c r="AD266" i="13"/>
  <c r="AD267" i="13"/>
  <c r="AD268" i="13"/>
  <c r="AD269" i="13"/>
  <c r="AD270" i="13"/>
  <c r="AD271" i="13"/>
  <c r="AD272" i="13"/>
  <c r="AD273" i="13"/>
  <c r="AD274" i="13"/>
  <c r="AD275" i="13"/>
  <c r="AD276" i="13"/>
  <c r="AD277" i="13"/>
  <c r="AD278" i="13"/>
  <c r="AD279" i="13"/>
  <c r="AD280" i="13"/>
  <c r="AD281" i="13"/>
  <c r="AD282" i="13"/>
  <c r="AD283" i="13"/>
  <c r="AD284" i="13"/>
  <c r="AD285" i="13"/>
  <c r="AD286" i="13"/>
  <c r="AD287" i="13"/>
  <c r="AD288" i="13"/>
  <c r="AD289" i="13"/>
  <c r="AD290" i="13"/>
  <c r="AD291" i="13"/>
  <c r="AD292" i="13"/>
  <c r="AD293" i="13"/>
  <c r="AD294" i="13"/>
  <c r="AD295" i="13"/>
  <c r="AD296" i="13"/>
  <c r="AD297" i="13"/>
  <c r="AD298" i="13"/>
  <c r="AD299" i="13"/>
  <c r="AD300" i="13"/>
  <c r="AD301" i="13"/>
  <c r="AD302" i="13"/>
  <c r="AD303" i="13"/>
  <c r="AD304" i="13"/>
  <c r="AD305" i="13"/>
  <c r="AD306" i="13"/>
  <c r="AD307" i="13"/>
  <c r="AD308" i="13"/>
  <c r="AD309" i="13"/>
  <c r="AD310" i="13"/>
  <c r="AD311" i="13"/>
  <c r="AD312" i="13"/>
  <c r="AD313" i="13"/>
  <c r="AD314" i="13"/>
  <c r="AD315" i="13"/>
  <c r="AD316" i="13"/>
  <c r="AD317" i="13"/>
  <c r="AD318" i="13"/>
  <c r="AD319" i="13"/>
  <c r="AD320" i="13"/>
  <c r="AD321" i="13"/>
  <c r="AD322" i="13"/>
  <c r="AD323" i="13"/>
  <c r="AD324" i="13"/>
  <c r="AD325" i="13"/>
  <c r="AD326" i="13"/>
  <c r="AD327" i="13"/>
  <c r="AD328" i="13"/>
  <c r="AD329" i="13"/>
  <c r="AD330" i="13"/>
  <c r="AD331" i="13"/>
  <c r="AD332" i="13"/>
  <c r="AD333" i="13"/>
  <c r="AD334" i="13"/>
  <c r="AD335" i="13"/>
  <c r="AD336" i="13"/>
  <c r="AD337" i="13"/>
  <c r="AD338" i="13"/>
  <c r="AD339" i="13"/>
  <c r="AD340" i="13"/>
  <c r="AD341" i="13"/>
  <c r="AD342" i="13"/>
  <c r="AD343" i="13"/>
  <c r="AD344" i="13"/>
  <c r="AD345" i="13"/>
  <c r="AD346" i="13"/>
  <c r="AD347" i="13"/>
  <c r="AD348" i="13"/>
  <c r="AD349" i="13"/>
  <c r="AD350" i="13"/>
  <c r="AD351" i="13"/>
  <c r="AD352" i="13"/>
  <c r="AD353" i="13"/>
  <c r="AD354" i="13"/>
  <c r="AD355" i="13"/>
  <c r="AD356" i="13"/>
  <c r="AD357" i="13"/>
  <c r="AD358" i="13"/>
  <c r="AD359" i="13"/>
  <c r="AD360" i="13"/>
  <c r="AD361" i="13"/>
  <c r="AD362" i="13"/>
  <c r="AD363" i="13"/>
  <c r="AD364" i="13"/>
  <c r="AD365" i="13"/>
  <c r="AD366" i="13"/>
  <c r="AD367" i="13"/>
  <c r="AD368" i="13"/>
  <c r="AD369" i="13"/>
  <c r="AD370" i="13"/>
  <c r="AD371" i="13"/>
  <c r="AD372" i="13"/>
  <c r="AD373" i="13"/>
  <c r="AD374" i="13"/>
  <c r="AD375" i="13"/>
  <c r="AD376" i="13"/>
  <c r="AD377" i="13"/>
  <c r="AD378" i="13"/>
  <c r="AD379" i="13"/>
  <c r="AD380" i="13"/>
  <c r="AD381" i="13"/>
  <c r="AD382" i="13"/>
  <c r="AD383" i="13"/>
  <c r="AD384" i="13"/>
  <c r="AD385" i="13"/>
  <c r="AD386" i="13"/>
  <c r="AD387" i="13"/>
  <c r="AD388" i="13"/>
  <c r="AD389" i="13"/>
  <c r="AD390" i="13"/>
  <c r="AD391" i="13"/>
  <c r="AD392" i="13"/>
  <c r="AD393" i="13"/>
  <c r="AD394" i="13"/>
  <c r="AD395" i="13"/>
  <c r="AD396" i="13"/>
  <c r="AD397" i="13"/>
  <c r="AD398" i="13"/>
  <c r="AD399" i="13"/>
  <c r="AD400" i="13"/>
  <c r="AD401" i="13"/>
  <c r="AD402" i="13"/>
  <c r="AD403" i="13"/>
  <c r="AD404" i="13"/>
  <c r="AD405" i="13"/>
  <c r="AD406" i="13"/>
  <c r="AD407" i="13"/>
  <c r="AD408" i="13"/>
  <c r="AD409" i="13"/>
  <c r="AD410" i="13"/>
  <c r="AD411" i="13"/>
  <c r="AD412" i="13"/>
  <c r="AD413" i="13"/>
  <c r="AD414" i="13"/>
  <c r="AD415" i="13"/>
  <c r="AD416" i="13"/>
  <c r="AD417" i="13"/>
  <c r="AD418" i="13"/>
  <c r="AD419" i="13"/>
  <c r="AD420" i="13"/>
  <c r="AD421" i="13"/>
  <c r="AD422" i="13"/>
  <c r="AD423" i="13"/>
  <c r="AD424" i="13"/>
  <c r="AD425" i="13"/>
  <c r="AD426" i="13"/>
  <c r="AD427" i="13"/>
  <c r="AD428" i="13"/>
  <c r="AD429" i="13"/>
  <c r="AD430" i="13"/>
  <c r="AD431" i="13"/>
  <c r="AD432" i="13"/>
  <c r="AD433" i="13"/>
  <c r="AD434" i="13"/>
  <c r="AD435" i="13"/>
  <c r="AD436" i="13"/>
  <c r="AD437" i="13"/>
  <c r="AD438" i="13"/>
  <c r="AD439" i="13"/>
  <c r="AD440" i="13"/>
  <c r="AD441" i="13"/>
  <c r="AD442" i="13"/>
  <c r="AD443" i="13"/>
  <c r="AD444" i="13"/>
  <c r="AD445" i="13"/>
  <c r="AD446" i="13"/>
  <c r="AD447" i="13"/>
  <c r="AD448" i="13"/>
  <c r="AD449" i="13"/>
  <c r="AD450" i="13"/>
  <c r="AD451" i="13"/>
  <c r="AD452" i="13"/>
  <c r="AD453" i="13"/>
  <c r="AD454" i="13"/>
  <c r="AD455" i="13"/>
  <c r="AD456" i="13"/>
  <c r="AD457" i="13"/>
  <c r="AD458" i="13"/>
  <c r="AD459" i="13"/>
  <c r="AD460" i="13"/>
  <c r="AD461" i="13"/>
  <c r="AD462" i="13"/>
  <c r="AD463" i="13"/>
  <c r="AD464" i="13"/>
  <c r="AD465" i="13"/>
  <c r="AD466" i="13"/>
  <c r="AD467" i="13"/>
  <c r="AD468" i="13"/>
  <c r="AE2" i="13"/>
  <c r="AE3" i="13"/>
  <c r="AE4" i="13"/>
  <c r="AE5" i="13"/>
  <c r="AE6" i="13"/>
  <c r="AE7" i="13"/>
  <c r="AE8" i="13"/>
  <c r="AE9" i="13"/>
  <c r="AE10" i="13"/>
  <c r="AE11" i="13"/>
  <c r="AE12" i="13"/>
  <c r="AE13" i="13"/>
  <c r="AE14" i="13"/>
  <c r="AE15" i="13"/>
  <c r="AE16" i="13"/>
  <c r="AE17" i="13"/>
  <c r="AE18" i="13"/>
  <c r="AE19" i="13"/>
  <c r="AE20" i="13"/>
  <c r="AE21" i="13"/>
  <c r="AE22" i="13"/>
  <c r="AE23" i="13"/>
  <c r="AE24" i="13"/>
  <c r="AE25" i="13"/>
  <c r="AE26" i="13"/>
  <c r="AE27" i="13"/>
  <c r="AE28" i="13"/>
  <c r="AE29" i="13"/>
  <c r="AE30" i="13"/>
  <c r="AE31" i="13"/>
  <c r="AE32" i="13"/>
  <c r="AE33" i="13"/>
  <c r="AE34" i="13"/>
  <c r="AE35" i="13"/>
  <c r="AE36" i="13"/>
  <c r="AE37" i="13"/>
  <c r="AE38" i="13"/>
  <c r="AE39" i="13"/>
  <c r="AE40" i="13"/>
  <c r="AE41" i="13"/>
  <c r="AE42" i="13"/>
  <c r="AE43" i="13"/>
  <c r="AE44" i="13"/>
  <c r="AE45" i="13"/>
  <c r="AE46" i="13"/>
  <c r="AE47" i="13"/>
  <c r="AE48" i="13"/>
  <c r="AE49" i="13"/>
  <c r="AE50" i="13"/>
  <c r="AE51" i="13"/>
  <c r="AE52" i="13"/>
  <c r="AE53" i="13"/>
  <c r="AE54" i="13"/>
  <c r="AE55" i="13"/>
  <c r="AE56" i="13"/>
  <c r="AE57" i="13"/>
  <c r="AE58" i="13"/>
  <c r="AE59" i="13"/>
  <c r="AE60" i="13"/>
  <c r="AE61" i="13"/>
  <c r="AE62" i="13"/>
  <c r="AE63" i="13"/>
  <c r="AE64" i="13"/>
  <c r="AE65" i="13"/>
  <c r="AE66" i="13"/>
  <c r="AE67" i="13"/>
  <c r="AE68" i="13"/>
  <c r="AE69" i="13"/>
  <c r="AE70" i="13"/>
  <c r="AE71" i="13"/>
  <c r="AE72" i="13"/>
  <c r="AE73" i="13"/>
  <c r="AE74" i="13"/>
  <c r="AE75" i="13"/>
  <c r="AE76" i="13"/>
  <c r="AE77" i="13"/>
  <c r="AE78" i="13"/>
  <c r="AE79" i="13"/>
  <c r="AE80" i="13"/>
  <c r="AE81" i="13"/>
  <c r="AE82" i="13"/>
  <c r="AE83" i="13"/>
  <c r="AE84" i="13"/>
  <c r="AE85" i="13"/>
  <c r="AE86" i="13"/>
  <c r="AE87" i="13"/>
  <c r="AE88" i="13"/>
  <c r="AE89" i="13"/>
  <c r="AE90" i="13"/>
  <c r="AE91" i="13"/>
  <c r="AE92" i="13"/>
  <c r="AE93" i="13"/>
  <c r="AE94" i="13"/>
  <c r="AE95" i="13"/>
  <c r="AE96" i="13"/>
  <c r="AE97" i="13"/>
  <c r="AE98" i="13"/>
  <c r="AE99" i="13"/>
  <c r="AE100" i="13"/>
  <c r="AE101" i="13"/>
  <c r="AE102" i="13"/>
  <c r="AE103" i="13"/>
  <c r="AE104" i="13"/>
  <c r="AE105" i="13"/>
  <c r="AE106" i="13"/>
  <c r="AE107" i="13"/>
  <c r="AE108" i="13"/>
  <c r="AE109" i="13"/>
  <c r="AE110" i="13"/>
  <c r="AE111" i="13"/>
  <c r="AE112" i="13"/>
  <c r="AE113" i="13"/>
  <c r="AE114" i="13"/>
  <c r="AE115" i="13"/>
  <c r="AE116" i="13"/>
  <c r="AE117" i="13"/>
  <c r="AE118" i="13"/>
  <c r="AE119" i="13"/>
  <c r="AE120" i="13"/>
  <c r="AE121" i="13"/>
  <c r="AE122" i="13"/>
  <c r="AE123" i="13"/>
  <c r="AE124" i="13"/>
  <c r="AE125" i="13"/>
  <c r="AE126" i="13"/>
  <c r="AE127" i="13"/>
  <c r="AE128" i="13"/>
  <c r="AE129" i="13"/>
  <c r="AE130" i="13"/>
  <c r="AE131" i="13"/>
  <c r="AE132" i="13"/>
  <c r="AE133" i="13"/>
  <c r="AE134" i="13"/>
  <c r="AE135" i="13"/>
  <c r="AE136" i="13"/>
  <c r="AE137" i="13"/>
  <c r="AE138" i="13"/>
  <c r="AE139" i="13"/>
  <c r="AE140" i="13"/>
  <c r="AE141" i="13"/>
  <c r="AE142" i="13"/>
  <c r="AE143" i="13"/>
  <c r="AE144" i="13"/>
  <c r="AE145" i="13"/>
  <c r="AE146" i="13"/>
  <c r="AE147" i="13"/>
  <c r="AE148" i="13"/>
  <c r="AE149" i="13"/>
  <c r="AE150" i="13"/>
  <c r="AE151" i="13"/>
  <c r="AE152" i="13"/>
  <c r="AE153" i="13"/>
  <c r="AE154" i="13"/>
  <c r="AE155" i="13"/>
  <c r="AE156" i="13"/>
  <c r="AE157" i="13"/>
  <c r="AE158" i="13"/>
  <c r="AE159" i="13"/>
  <c r="AE160" i="13"/>
  <c r="AE161" i="13"/>
  <c r="AE162" i="13"/>
  <c r="AE163" i="13"/>
  <c r="AE164" i="13"/>
  <c r="AE165" i="13"/>
  <c r="AE166" i="13"/>
  <c r="AE167" i="13"/>
  <c r="AE168" i="13"/>
  <c r="AE169" i="13"/>
  <c r="AE170" i="13"/>
  <c r="AE171" i="13"/>
  <c r="AE172" i="13"/>
  <c r="AE173" i="13"/>
  <c r="AE174" i="13"/>
  <c r="AE175" i="13"/>
  <c r="AE176" i="13"/>
  <c r="AE177" i="13"/>
  <c r="AE178" i="13"/>
  <c r="AE179" i="13"/>
  <c r="AE180" i="13"/>
  <c r="AE181" i="13"/>
  <c r="AE182" i="13"/>
  <c r="AE183" i="13"/>
  <c r="AE184" i="13"/>
  <c r="AE185" i="13"/>
  <c r="AE186" i="13"/>
  <c r="AE187" i="13"/>
  <c r="AE188" i="13"/>
  <c r="AE189" i="13"/>
  <c r="AE190" i="13"/>
  <c r="AE191" i="13"/>
  <c r="AE192" i="13"/>
  <c r="AE193" i="13"/>
  <c r="AE194" i="13"/>
  <c r="AE195" i="13"/>
  <c r="AE196" i="13"/>
  <c r="AE197" i="13"/>
  <c r="AE198" i="13"/>
  <c r="AE199" i="13"/>
  <c r="AE200" i="13"/>
  <c r="AE201" i="13"/>
  <c r="AE202" i="13"/>
  <c r="AE203" i="13"/>
  <c r="AE204" i="13"/>
  <c r="AE205" i="13"/>
  <c r="AE206" i="13"/>
  <c r="AE207" i="13"/>
  <c r="AE208" i="13"/>
  <c r="AE209" i="13"/>
  <c r="AE210" i="13"/>
  <c r="AE211" i="13"/>
  <c r="AE212" i="13"/>
  <c r="AE213" i="13"/>
  <c r="AE214" i="13"/>
  <c r="AE215" i="13"/>
  <c r="AE216" i="13"/>
  <c r="AE217" i="13"/>
  <c r="AE218" i="13"/>
  <c r="AE219" i="13"/>
  <c r="AE220" i="13"/>
  <c r="AE221" i="13"/>
  <c r="AE222" i="13"/>
  <c r="AE223" i="13"/>
  <c r="AE224" i="13"/>
  <c r="AE225" i="13"/>
  <c r="AE226" i="13"/>
  <c r="AE227" i="13"/>
  <c r="AE228" i="13"/>
  <c r="AE229" i="13"/>
  <c r="AE230" i="13"/>
  <c r="AE231" i="13"/>
  <c r="AE232" i="13"/>
  <c r="AE233" i="13"/>
  <c r="AE234" i="13"/>
  <c r="AE235" i="13"/>
  <c r="AE236" i="13"/>
  <c r="AE237" i="13"/>
  <c r="AE238" i="13"/>
  <c r="AE239" i="13"/>
  <c r="AE240" i="13"/>
  <c r="AE241" i="13"/>
  <c r="AE242" i="13"/>
  <c r="AE243" i="13"/>
  <c r="AE244" i="13"/>
  <c r="AE245" i="13"/>
  <c r="AE246" i="13"/>
  <c r="AE247" i="13"/>
  <c r="AE248" i="13"/>
  <c r="AE249" i="13"/>
  <c r="AE250" i="13"/>
  <c r="AE251" i="13"/>
  <c r="AE252" i="13"/>
  <c r="AE253" i="13"/>
  <c r="AE254" i="13"/>
  <c r="AE255" i="13"/>
  <c r="AE256" i="13"/>
  <c r="AE257" i="13"/>
  <c r="AE258" i="13"/>
  <c r="AE259" i="13"/>
  <c r="AE260" i="13"/>
  <c r="AE261" i="13"/>
  <c r="AE262" i="13"/>
  <c r="AE263" i="13"/>
  <c r="AE264" i="13"/>
  <c r="AE265" i="13"/>
  <c r="AE266" i="13"/>
  <c r="AE267" i="13"/>
  <c r="AE268" i="13"/>
  <c r="AE269" i="13"/>
  <c r="AE270" i="13"/>
  <c r="AE271" i="13"/>
  <c r="AE272" i="13"/>
  <c r="AE273" i="13"/>
  <c r="AE274" i="13"/>
  <c r="AE275" i="13"/>
  <c r="AE276" i="13"/>
  <c r="AE277" i="13"/>
  <c r="AE278" i="13"/>
  <c r="AE279" i="13"/>
  <c r="AE280" i="13"/>
  <c r="AE281" i="13"/>
  <c r="AE282" i="13"/>
  <c r="AE283" i="13"/>
  <c r="AE284" i="13"/>
  <c r="AE285" i="13"/>
  <c r="AE286" i="13"/>
  <c r="AE287" i="13"/>
  <c r="AE288" i="13"/>
  <c r="AE289" i="13"/>
  <c r="AE290" i="13"/>
  <c r="AE291" i="13"/>
  <c r="AE292" i="13"/>
  <c r="AE293" i="13"/>
  <c r="AE294" i="13"/>
  <c r="AE295" i="13"/>
  <c r="AE296" i="13"/>
  <c r="AE297" i="13"/>
  <c r="AE298" i="13"/>
  <c r="AE299" i="13"/>
  <c r="AE300" i="13"/>
  <c r="AE301" i="13"/>
  <c r="AE302" i="13"/>
  <c r="AE303" i="13"/>
  <c r="AE304" i="13"/>
  <c r="AE305" i="13"/>
  <c r="AE306" i="13"/>
  <c r="AE307" i="13"/>
  <c r="AE308" i="13"/>
  <c r="AE309" i="13"/>
  <c r="AE310" i="13"/>
  <c r="AE311" i="13"/>
  <c r="AE312" i="13"/>
  <c r="AE313" i="13"/>
  <c r="AE314" i="13"/>
  <c r="AE315" i="13"/>
  <c r="AE316" i="13"/>
  <c r="AE317" i="13"/>
  <c r="AE318" i="13"/>
  <c r="AE319" i="13"/>
  <c r="AE320" i="13"/>
  <c r="AE321" i="13"/>
  <c r="AE322" i="13"/>
  <c r="AE323" i="13"/>
  <c r="AE324" i="13"/>
  <c r="AE325" i="13"/>
  <c r="AE326" i="13"/>
  <c r="AE327" i="13"/>
  <c r="AE328" i="13"/>
  <c r="AE329" i="13"/>
  <c r="AE330" i="13"/>
  <c r="AE331" i="13"/>
  <c r="AE332" i="13"/>
  <c r="AE333" i="13"/>
  <c r="AE334" i="13"/>
  <c r="AE335" i="13"/>
  <c r="AE336" i="13"/>
  <c r="AE337" i="13"/>
  <c r="AE338" i="13"/>
  <c r="AE339" i="13"/>
  <c r="AE340" i="13"/>
  <c r="AE341" i="13"/>
  <c r="AE342" i="13"/>
  <c r="AE343" i="13"/>
  <c r="AE344" i="13"/>
  <c r="AE345" i="13"/>
  <c r="AE346" i="13"/>
  <c r="AE347" i="13"/>
  <c r="AE348" i="13"/>
  <c r="AE349" i="13"/>
  <c r="AE350" i="13"/>
  <c r="AE351" i="13"/>
  <c r="AE352" i="13"/>
  <c r="AE353" i="13"/>
  <c r="AE354" i="13"/>
  <c r="AE355" i="13"/>
  <c r="AE356" i="13"/>
  <c r="AE357" i="13"/>
  <c r="AE358" i="13"/>
  <c r="AE359" i="13"/>
  <c r="AE360" i="13"/>
  <c r="AE361" i="13"/>
  <c r="AE362" i="13"/>
  <c r="AE363" i="13"/>
  <c r="AE364" i="13"/>
  <c r="AE365" i="13"/>
  <c r="AE366" i="13"/>
  <c r="AE367" i="13"/>
  <c r="AE368" i="13"/>
  <c r="AE369" i="13"/>
  <c r="AE370" i="13"/>
  <c r="AE371" i="13"/>
  <c r="AE372" i="13"/>
  <c r="AE373" i="13"/>
  <c r="AE374" i="13"/>
  <c r="AE375" i="13"/>
  <c r="AE376" i="13"/>
  <c r="AE377" i="13"/>
  <c r="AE378" i="13"/>
  <c r="AE379" i="13"/>
  <c r="AE380" i="13"/>
  <c r="AE381" i="13"/>
  <c r="AE382" i="13"/>
  <c r="AE383" i="13"/>
  <c r="AE384" i="13"/>
  <c r="AE385" i="13"/>
  <c r="AE386" i="13"/>
  <c r="AE387" i="13"/>
  <c r="AE388" i="13"/>
  <c r="AE389" i="13"/>
  <c r="AE390" i="13"/>
  <c r="AE391" i="13"/>
  <c r="AE392" i="13"/>
  <c r="AE393" i="13"/>
  <c r="AE394" i="13"/>
  <c r="AE395" i="13"/>
  <c r="AE396" i="13"/>
  <c r="AE397" i="13"/>
  <c r="AE398" i="13"/>
  <c r="AE399" i="13"/>
  <c r="AE400" i="13"/>
  <c r="AE401" i="13"/>
  <c r="AE402" i="13"/>
  <c r="AE403" i="13"/>
  <c r="AE404" i="13"/>
  <c r="AE405" i="13"/>
  <c r="AE406" i="13"/>
  <c r="AE407" i="13"/>
  <c r="AE408" i="13"/>
  <c r="AE409" i="13"/>
  <c r="AE410" i="13"/>
  <c r="AE411" i="13"/>
  <c r="AE412" i="13"/>
  <c r="AE413" i="13"/>
  <c r="AE414" i="13"/>
  <c r="AE415" i="13"/>
  <c r="AE416" i="13"/>
  <c r="AE417" i="13"/>
  <c r="AE418" i="13"/>
  <c r="AE419" i="13"/>
  <c r="AE420" i="13"/>
  <c r="AE421" i="13"/>
  <c r="AE422" i="13"/>
  <c r="AE423" i="13"/>
  <c r="AE424" i="13"/>
  <c r="AE425" i="13"/>
  <c r="AE426" i="13"/>
  <c r="AE427" i="13"/>
  <c r="AE428" i="13"/>
  <c r="AE429" i="13"/>
  <c r="AE430" i="13"/>
  <c r="AE431" i="13"/>
  <c r="AE432" i="13"/>
  <c r="AE433" i="13"/>
  <c r="AE434" i="13"/>
  <c r="AE435" i="13"/>
  <c r="AE436" i="13"/>
  <c r="AE437" i="13"/>
  <c r="AE438" i="13"/>
  <c r="AE439" i="13"/>
  <c r="AE440" i="13"/>
  <c r="AE441" i="13"/>
  <c r="AE442" i="13"/>
  <c r="AE443" i="13"/>
  <c r="AE444" i="13"/>
  <c r="AE445" i="13"/>
  <c r="AE446" i="13"/>
  <c r="AE447" i="13"/>
  <c r="AE448" i="13"/>
  <c r="AE449" i="13"/>
  <c r="AE450" i="13"/>
  <c r="AE451" i="13"/>
  <c r="AE452" i="13"/>
  <c r="AE453" i="13"/>
  <c r="AE454" i="13"/>
  <c r="AE455" i="13"/>
  <c r="AE456" i="13"/>
  <c r="AE457" i="13"/>
  <c r="AE458" i="13"/>
  <c r="AE459" i="13"/>
  <c r="AE460" i="13"/>
  <c r="AE461" i="13"/>
  <c r="AE462" i="13"/>
  <c r="AE463" i="13"/>
  <c r="AE465" i="13"/>
  <c r="AE466" i="13"/>
  <c r="AE467" i="13"/>
  <c r="AE468" i="13"/>
  <c r="D734" i="9"/>
  <c r="E734" i="9" s="1"/>
  <c r="D446" i="9"/>
  <c r="E446" i="9" s="1"/>
  <c r="D150" i="9"/>
  <c r="E150" i="9" s="1"/>
  <c r="D629" i="9"/>
  <c r="E629" i="9" s="1"/>
  <c r="D782" i="9"/>
  <c r="E782" i="9" s="1"/>
  <c r="D916" i="9"/>
  <c r="E916" i="9" s="1"/>
  <c r="D497" i="9"/>
  <c r="E497" i="9" s="1"/>
  <c r="D627" i="9"/>
  <c r="E627" i="9" s="1"/>
  <c r="D592" i="9"/>
  <c r="E592" i="9" s="1"/>
  <c r="D635" i="9"/>
  <c r="E635" i="9" s="1"/>
  <c r="D269" i="9"/>
  <c r="E269" i="9" s="1"/>
  <c r="D651" i="9"/>
  <c r="E651" i="9" s="1"/>
  <c r="D18" i="9"/>
  <c r="E18" i="9" s="1"/>
  <c r="D861" i="9"/>
  <c r="E861" i="9" s="1"/>
  <c r="D372" i="9"/>
  <c r="E372" i="9" s="1"/>
  <c r="D73" i="9"/>
  <c r="E73" i="9" s="1"/>
  <c r="D621" i="9"/>
  <c r="E621" i="9" s="1"/>
  <c r="D56" i="9"/>
  <c r="E56" i="9" s="1"/>
  <c r="D578" i="9"/>
  <c r="E578" i="9" s="1"/>
  <c r="D146" i="9"/>
  <c r="E146" i="9" s="1"/>
  <c r="D30" i="9"/>
  <c r="E30" i="9" s="1"/>
  <c r="D334" i="9"/>
  <c r="E334" i="9" s="1"/>
  <c r="D640" i="9"/>
  <c r="E640" i="9" s="1"/>
  <c r="D480" i="9"/>
  <c r="E480" i="9" s="1"/>
  <c r="D532" i="9"/>
  <c r="E532" i="9" s="1"/>
  <c r="D754" i="9"/>
  <c r="E754" i="9" s="1"/>
  <c r="D410" i="9"/>
  <c r="E410" i="9" s="1"/>
  <c r="D637" i="9"/>
  <c r="E637" i="9" s="1"/>
  <c r="D600" i="9"/>
  <c r="E600" i="9" s="1"/>
  <c r="D742" i="9"/>
  <c r="E742" i="9" s="1"/>
  <c r="D566" i="9"/>
  <c r="E566" i="9" s="1"/>
  <c r="D154" i="9"/>
  <c r="E154" i="9" s="1"/>
  <c r="D791" i="9"/>
  <c r="E791" i="9" s="1"/>
  <c r="D412" i="9"/>
  <c r="E412" i="9" s="1"/>
  <c r="D528" i="9"/>
  <c r="E528" i="9" s="1"/>
  <c r="D128" i="9"/>
  <c r="E128" i="9" s="1"/>
  <c r="D811" i="9"/>
  <c r="E811" i="9" s="1"/>
  <c r="D212" i="9"/>
  <c r="E212" i="9" s="1"/>
  <c r="D216" i="9"/>
  <c r="E216" i="9" s="1"/>
  <c r="D311" i="9"/>
  <c r="E311" i="9" s="1"/>
  <c r="D618" i="9"/>
  <c r="E618" i="9" s="1"/>
  <c r="D488" i="9"/>
  <c r="E488" i="9" s="1"/>
  <c r="D581" i="9"/>
  <c r="E581" i="9" s="1"/>
  <c r="D740" i="9"/>
  <c r="E740" i="9" s="1"/>
  <c r="D868" i="9"/>
  <c r="E868" i="9" s="1"/>
  <c r="D310" i="9"/>
  <c r="E310" i="9" s="1"/>
  <c r="D380" i="9"/>
  <c r="E380" i="9" s="1"/>
  <c r="D450" i="9"/>
  <c r="E450" i="9" s="1"/>
  <c r="D417" i="9"/>
  <c r="E417" i="9" s="1"/>
  <c r="D701" i="9"/>
  <c r="E701" i="9" s="1"/>
  <c r="D904" i="9"/>
  <c r="E904" i="9" s="1"/>
  <c r="D139" i="9"/>
  <c r="E139" i="9" s="1"/>
  <c r="D343" i="9"/>
  <c r="E343" i="9" s="1"/>
  <c r="D248" i="9"/>
  <c r="E248" i="9" s="1"/>
  <c r="D191" i="9"/>
  <c r="E191" i="9" s="1"/>
  <c r="D254" i="9"/>
  <c r="E254" i="9" s="1"/>
  <c r="D814" i="9"/>
  <c r="E814" i="9" s="1"/>
  <c r="D257" i="9"/>
  <c r="E257" i="9" s="1"/>
  <c r="D395" i="9"/>
  <c r="E395" i="9" s="1"/>
  <c r="D348" i="9"/>
  <c r="E348" i="9" s="1"/>
  <c r="D460" i="9"/>
  <c r="E460" i="9" s="1"/>
  <c r="D564" i="9"/>
  <c r="E564" i="9" s="1"/>
  <c r="D373" i="9"/>
  <c r="E373" i="9" s="1"/>
  <c r="D531" i="9"/>
  <c r="E531" i="9" s="1"/>
  <c r="D565" i="9"/>
  <c r="E565" i="9" s="1"/>
  <c r="D535" i="9"/>
  <c r="E535" i="9" s="1"/>
  <c r="D156" i="9"/>
  <c r="E156" i="9" s="1"/>
  <c r="D57" i="9"/>
  <c r="E57" i="9" s="1"/>
  <c r="D484" i="9"/>
  <c r="E484" i="9" s="1"/>
  <c r="D609" i="9"/>
  <c r="E609" i="9" s="1"/>
  <c r="D402" i="9"/>
  <c r="E402" i="9" s="1"/>
  <c r="D875" i="9"/>
  <c r="E875" i="9" s="1"/>
  <c r="D703" i="9"/>
  <c r="E703" i="9" s="1"/>
  <c r="D517" i="9"/>
  <c r="E517" i="9" s="1"/>
  <c r="D368" i="9"/>
  <c r="E368" i="9" s="1"/>
  <c r="D100" i="9"/>
  <c r="E100" i="9" s="1"/>
  <c r="D292" i="9"/>
  <c r="E292" i="9" s="1"/>
  <c r="D774" i="9"/>
  <c r="E774" i="9" s="1"/>
  <c r="D696" i="9"/>
  <c r="E696" i="9" s="1"/>
  <c r="D841" i="9"/>
  <c r="E841" i="9" s="1"/>
  <c r="D89" i="9"/>
  <c r="E89" i="9" s="1"/>
  <c r="D130" i="9"/>
  <c r="E130" i="9" s="1"/>
  <c r="D572" i="9"/>
  <c r="E572" i="9" s="1"/>
  <c r="D231" i="9"/>
  <c r="E231" i="9" s="1"/>
  <c r="D821" i="9"/>
  <c r="E821" i="9" s="1"/>
  <c r="D625" i="9"/>
  <c r="E625" i="9" s="1"/>
  <c r="D921" i="9"/>
  <c r="E921" i="9" s="1"/>
  <c r="D940" i="9"/>
  <c r="E940" i="9" s="1"/>
  <c r="D780" i="9"/>
  <c r="E780" i="9" s="1"/>
  <c r="D896" i="9"/>
  <c r="E896" i="9" s="1"/>
  <c r="D633" i="9"/>
  <c r="E633" i="9" s="1"/>
  <c r="D543" i="9"/>
  <c r="E543" i="9" s="1"/>
  <c r="D631" i="9"/>
  <c r="E631" i="9" s="1"/>
  <c r="D278" i="9"/>
  <c r="E278" i="9" s="1"/>
  <c r="D58" i="9"/>
  <c r="E58" i="9" s="1"/>
  <c r="D500" i="9"/>
  <c r="E500" i="9" s="1"/>
  <c r="D174" i="9"/>
  <c r="E174" i="9" s="1"/>
  <c r="D106" i="9"/>
  <c r="E106" i="9" s="1"/>
  <c r="D630" i="9"/>
  <c r="E630" i="9" s="1"/>
  <c r="D189" i="9"/>
  <c r="E189" i="9" s="1"/>
  <c r="D331" i="9"/>
  <c r="E331" i="9" s="1"/>
  <c r="D505" i="9"/>
  <c r="E505" i="9" s="1"/>
  <c r="D642" i="9"/>
  <c r="E642" i="9" s="1"/>
  <c r="D559" i="9"/>
  <c r="E559" i="9" s="1"/>
  <c r="D812" i="9"/>
  <c r="E812" i="9" s="1"/>
  <c r="D423" i="9"/>
  <c r="E423" i="9" s="1"/>
  <c r="D689" i="9"/>
  <c r="E689" i="9" s="1"/>
  <c r="D834" i="9"/>
  <c r="E834" i="9" s="1"/>
  <c r="D880" i="9"/>
  <c r="E880" i="9" s="1"/>
  <c r="D770" i="9"/>
  <c r="E770" i="9" s="1"/>
  <c r="D464" i="9"/>
  <c r="E464" i="9" s="1"/>
  <c r="D779" i="9"/>
  <c r="E779" i="9" s="1"/>
  <c r="D486" i="9"/>
  <c r="E486" i="9" s="1"/>
  <c r="D679" i="9"/>
  <c r="E679" i="9" s="1"/>
  <c r="D326" i="9"/>
  <c r="E326" i="9" s="1"/>
  <c r="D786" i="9"/>
  <c r="E786" i="9" s="1"/>
  <c r="D344" i="9"/>
  <c r="E344" i="9" s="1"/>
  <c r="D297" i="9"/>
  <c r="E297" i="9" s="1"/>
  <c r="D211" i="9"/>
  <c r="E211" i="9" s="1"/>
  <c r="D208" i="9"/>
  <c r="E208" i="9" s="1"/>
  <c r="D298" i="9"/>
  <c r="E298" i="9" s="1"/>
  <c r="D221" i="9"/>
  <c r="E221" i="9" s="1"/>
  <c r="D103" i="9"/>
  <c r="E103" i="9" s="1"/>
  <c r="D714" i="9"/>
  <c r="E714" i="9" s="1"/>
  <c r="D291" i="9"/>
  <c r="E291" i="9" s="1"/>
  <c r="D352" i="9"/>
  <c r="E352" i="9" s="1"/>
  <c r="D886" i="9"/>
  <c r="E886" i="9" s="1"/>
  <c r="D232" i="9"/>
  <c r="E232" i="9" s="1"/>
  <c r="D555" i="9"/>
  <c r="E555" i="9" s="1"/>
  <c r="D843" i="9"/>
  <c r="E843" i="9" s="1"/>
  <c r="D802" i="9"/>
  <c r="E802" i="9" s="1"/>
  <c r="D157" i="9"/>
  <c r="E157" i="9" s="1"/>
  <c r="D94" i="9"/>
  <c r="E94" i="9" s="1"/>
  <c r="D39" i="9"/>
  <c r="E39" i="9" s="1"/>
  <c r="D568" i="9"/>
  <c r="E568" i="9" s="1"/>
  <c r="D838" i="9"/>
  <c r="E838" i="9" s="1"/>
  <c r="D685" i="9"/>
  <c r="E685" i="9" s="1"/>
  <c r="D855" i="9"/>
  <c r="E855" i="9" s="1"/>
  <c r="D119" i="9"/>
  <c r="E119" i="9" s="1"/>
  <c r="D944" i="9"/>
  <c r="E944" i="9" s="1"/>
  <c r="D239" i="9"/>
  <c r="E239" i="9" s="1"/>
  <c r="D90" i="9"/>
  <c r="E90" i="9" s="1"/>
  <c r="D127" i="9"/>
  <c r="E127" i="9" s="1"/>
  <c r="D8" i="9"/>
  <c r="E8" i="9" s="1"/>
  <c r="D59" i="9"/>
  <c r="E59" i="9" s="1"/>
  <c r="D19" i="9"/>
  <c r="E19" i="9" s="1"/>
  <c r="D397" i="9"/>
  <c r="E397" i="9" s="1"/>
  <c r="D915" i="9"/>
  <c r="E915" i="9" s="1"/>
  <c r="D808" i="9"/>
  <c r="E808" i="9" s="1"/>
  <c r="D676" i="9"/>
  <c r="E676" i="9" s="1"/>
  <c r="D577" i="9"/>
  <c r="E577" i="9" s="1"/>
  <c r="D724" i="9"/>
  <c r="E724" i="9" s="1"/>
  <c r="D481" i="9"/>
  <c r="E481" i="9" s="1"/>
  <c r="D795" i="9"/>
  <c r="E795" i="9" s="1"/>
  <c r="D912" i="9"/>
  <c r="E912" i="9" s="1"/>
  <c r="D270" i="9"/>
  <c r="E270" i="9" s="1"/>
  <c r="D436" i="9"/>
  <c r="E436" i="9" s="1"/>
  <c r="D419" i="9"/>
  <c r="E419" i="9" s="1"/>
  <c r="D923" i="9"/>
  <c r="E923" i="9" s="1"/>
  <c r="D677" i="9"/>
  <c r="E677" i="9" s="1"/>
  <c r="D155" i="9"/>
  <c r="E155" i="9" s="1"/>
  <c r="D683" i="9"/>
  <c r="E683" i="9" s="1"/>
  <c r="D22" i="9"/>
  <c r="E22" i="9" s="1"/>
  <c r="D160" i="9"/>
  <c r="E160" i="9" s="1"/>
  <c r="D285" i="9"/>
  <c r="E285" i="9" s="1"/>
  <c r="D626" i="9"/>
  <c r="E626" i="9" s="1"/>
  <c r="D296" i="9"/>
  <c r="E296" i="9" s="1"/>
  <c r="D675" i="9"/>
  <c r="E675" i="9" s="1"/>
  <c r="D819" i="9"/>
  <c r="E819" i="9" s="1"/>
  <c r="D668" i="9"/>
  <c r="E668" i="9" s="1"/>
  <c r="D478" i="9"/>
  <c r="E478" i="9" s="1"/>
  <c r="D77" i="9"/>
  <c r="E77" i="9" s="1"/>
  <c r="D330" i="9"/>
  <c r="E330" i="9" s="1"/>
  <c r="D602" i="9"/>
  <c r="E602" i="9" s="1"/>
  <c r="D584" i="9"/>
  <c r="E584" i="9" s="1"/>
  <c r="D605" i="9"/>
  <c r="E605" i="9" s="1"/>
  <c r="D712" i="9"/>
  <c r="E712" i="9" s="1"/>
  <c r="D388" i="9"/>
  <c r="E388" i="9" s="1"/>
  <c r="D620" i="9"/>
  <c r="E620" i="9" s="1"/>
  <c r="D263" i="9"/>
  <c r="E263" i="9" s="1"/>
  <c r="D594" i="9"/>
  <c r="E594" i="9" s="1"/>
  <c r="D293" i="9"/>
  <c r="E293" i="9" s="1"/>
  <c r="D936" i="9"/>
  <c r="E936" i="9" s="1"/>
  <c r="D893" i="9"/>
  <c r="E893" i="9" s="1"/>
  <c r="D545" i="9"/>
  <c r="E545" i="9" s="1"/>
  <c r="D338" i="9"/>
  <c r="E338" i="9" s="1"/>
  <c r="D610" i="9"/>
  <c r="E610" i="9" s="1"/>
  <c r="D835" i="9"/>
  <c r="E835" i="9" s="1"/>
  <c r="D723" i="9"/>
  <c r="E723" i="9" s="1"/>
  <c r="D760" i="9"/>
  <c r="E760" i="9" s="1"/>
  <c r="D864" i="9"/>
  <c r="E864" i="9" s="1"/>
  <c r="D163" i="9"/>
  <c r="E163" i="9" s="1"/>
  <c r="D255" i="9"/>
  <c r="E255" i="9" s="1"/>
  <c r="D920" i="9"/>
  <c r="E920" i="9" s="1"/>
  <c r="D148" i="9"/>
  <c r="E148" i="9" s="1"/>
  <c r="D342" i="9"/>
  <c r="E342" i="9" s="1"/>
  <c r="D706" i="9"/>
  <c r="E706" i="9" s="1"/>
  <c r="D589" i="9"/>
  <c r="E589" i="9" s="1"/>
  <c r="D833" i="9"/>
  <c r="E833" i="9" s="1"/>
  <c r="D607" i="9"/>
  <c r="E607" i="9" s="1"/>
  <c r="D332" i="9"/>
  <c r="E332" i="9" s="1"/>
  <c r="D76" i="9"/>
  <c r="E76" i="9" s="1"/>
  <c r="D901" i="9"/>
  <c r="E901" i="9" s="1"/>
  <c r="D181" i="9"/>
  <c r="E181" i="9" s="1"/>
  <c r="D913" i="9"/>
  <c r="E913" i="9" s="1"/>
  <c r="D209" i="9"/>
  <c r="E209" i="9" s="1"/>
  <c r="D363" i="9"/>
  <c r="E363" i="9" s="1"/>
  <c r="D140" i="9"/>
  <c r="E140" i="9" s="1"/>
  <c r="D346" i="9"/>
  <c r="E346" i="9" s="1"/>
  <c r="D123" i="9"/>
  <c r="E123" i="9" s="1"/>
  <c r="D483" i="9"/>
  <c r="E483" i="9" s="1"/>
  <c r="D891" i="9"/>
  <c r="E891" i="9" s="1"/>
  <c r="D801" i="9"/>
  <c r="E801" i="9" s="1"/>
  <c r="D582" i="9"/>
  <c r="E582" i="9" s="1"/>
  <c r="D167" i="9"/>
  <c r="E167" i="9" s="1"/>
  <c r="D647" i="9"/>
  <c r="E647" i="9" s="1"/>
  <c r="D947" i="9"/>
  <c r="E947" i="9" s="1"/>
  <c r="D765" i="9"/>
  <c r="E765" i="9" s="1"/>
  <c r="D141" i="9"/>
  <c r="E141" i="9" s="1"/>
  <c r="D109" i="9"/>
  <c r="E109" i="9" s="1"/>
  <c r="D180" i="9"/>
  <c r="E180" i="9" s="1"/>
  <c r="D510" i="9"/>
  <c r="E510" i="9" s="1"/>
  <c r="D356" i="9"/>
  <c r="E356" i="9" s="1"/>
  <c r="D777" i="9"/>
  <c r="E777" i="9" s="1"/>
  <c r="D21" i="9"/>
  <c r="E21" i="9" s="1"/>
  <c r="D810" i="9"/>
  <c r="E810" i="9" s="1"/>
  <c r="D726" i="9"/>
  <c r="E726" i="9" s="1"/>
  <c r="D280" i="9"/>
  <c r="E280" i="9" s="1"/>
  <c r="D533" i="9"/>
  <c r="E533" i="9" s="1"/>
  <c r="D20" i="9"/>
  <c r="E20" i="9" s="1"/>
  <c r="D482" i="9"/>
  <c r="E482" i="9" s="1"/>
  <c r="D382" i="9"/>
  <c r="E382" i="9" s="1"/>
  <c r="D199" i="9"/>
  <c r="E199" i="9" s="1"/>
  <c r="D392" i="9"/>
  <c r="E392" i="9" s="1"/>
  <c r="D260" i="9"/>
  <c r="E260" i="9" s="1"/>
  <c r="D659" i="9"/>
  <c r="E659" i="9" s="1"/>
  <c r="D70" i="9"/>
  <c r="E70" i="9" s="1"/>
  <c r="D477" i="9"/>
  <c r="E477" i="9" s="1"/>
  <c r="D796" i="9"/>
  <c r="E796" i="9" s="1"/>
  <c r="D111" i="9"/>
  <c r="E111" i="9" s="1"/>
  <c r="D347" i="9"/>
  <c r="E347" i="9" s="1"/>
  <c r="D526" i="9"/>
  <c r="E526" i="9" s="1"/>
  <c r="D91" i="9"/>
  <c r="E91" i="9" s="1"/>
  <c r="D389" i="9"/>
  <c r="E389" i="9" s="1"/>
  <c r="D365" i="9"/>
  <c r="E365" i="9" s="1"/>
  <c r="D516" i="9"/>
  <c r="E516" i="9" s="1"/>
  <c r="D53" i="9"/>
  <c r="E53" i="9" s="1"/>
  <c r="D369" i="9"/>
  <c r="E369" i="9" s="1"/>
  <c r="D396" i="9"/>
  <c r="E396" i="9" s="1"/>
  <c r="D509" i="9"/>
  <c r="E509" i="9" s="1"/>
  <c r="D772" i="9"/>
  <c r="E772" i="9" s="1"/>
  <c r="D596" i="9"/>
  <c r="E596" i="9" s="1"/>
  <c r="D790" i="9"/>
  <c r="E790" i="9" s="1"/>
  <c r="D69" i="9"/>
  <c r="E69" i="9" s="1"/>
  <c r="D329" i="9"/>
  <c r="E329" i="9" s="1"/>
  <c r="D13" i="9"/>
  <c r="E13" i="9" s="1"/>
  <c r="D816" i="9"/>
  <c r="E816" i="9" s="1"/>
  <c r="D867" i="9"/>
  <c r="E867" i="9" s="1"/>
  <c r="D653" i="9"/>
  <c r="E653" i="9" s="1"/>
  <c r="D824" i="9"/>
  <c r="E824" i="9" s="1"/>
  <c r="D758" i="9"/>
  <c r="E758" i="9" s="1"/>
  <c r="D910" i="9"/>
  <c r="E910" i="9" s="1"/>
  <c r="D503" i="9"/>
  <c r="E503" i="9" s="1"/>
  <c r="D404" i="9"/>
  <c r="E404" i="9" s="1"/>
  <c r="D663" i="9"/>
  <c r="E663" i="9" s="1"/>
  <c r="D129" i="9"/>
  <c r="E129" i="9" s="1"/>
  <c r="D95" i="9"/>
  <c r="E95" i="9" s="1"/>
  <c r="D823" i="9"/>
  <c r="E823" i="9" s="1"/>
  <c r="D831" i="9"/>
  <c r="E831" i="9" s="1"/>
  <c r="D471" i="9"/>
  <c r="E471" i="9" s="1"/>
  <c r="D411" i="9"/>
  <c r="E411" i="9" s="1"/>
  <c r="D792" i="9"/>
  <c r="E792" i="9" s="1"/>
  <c r="D830" i="9"/>
  <c r="E830" i="9" s="1"/>
  <c r="D178" i="9"/>
  <c r="E178" i="9" s="1"/>
  <c r="D112" i="9"/>
  <c r="E112" i="9" s="1"/>
  <c r="D725" i="9"/>
  <c r="E725" i="9" s="1"/>
  <c r="D879" i="9"/>
  <c r="E879" i="9" s="1"/>
  <c r="D649" i="9"/>
  <c r="E649" i="9" s="1"/>
  <c r="D519" i="9"/>
  <c r="E519" i="9" s="1"/>
  <c r="D567" i="9"/>
  <c r="E567" i="9" s="1"/>
  <c r="D604" i="9"/>
  <c r="E604" i="9" s="1"/>
  <c r="D580" i="9"/>
  <c r="E580" i="9" s="1"/>
  <c r="D597" i="9"/>
  <c r="E597" i="9" s="1"/>
  <c r="D303" i="9"/>
  <c r="E303" i="9" s="1"/>
  <c r="D7" i="9"/>
  <c r="E7" i="9" s="1"/>
  <c r="D504" i="9"/>
  <c r="E504" i="9" s="1"/>
  <c r="D301" i="9"/>
  <c r="E301" i="9" s="1"/>
  <c r="D820" i="9"/>
  <c r="E820" i="9" s="1"/>
  <c r="D251" i="9"/>
  <c r="E251" i="9" s="1"/>
  <c r="D271" i="9"/>
  <c r="E271" i="9" s="1"/>
  <c r="D822" i="9"/>
  <c r="E822" i="9" s="1"/>
  <c r="D357" i="9"/>
  <c r="E357" i="9" s="1"/>
  <c r="D200" i="9"/>
  <c r="E200" i="9" s="1"/>
  <c r="D735" i="9"/>
  <c r="E735" i="9" s="1"/>
  <c r="D857" i="9"/>
  <c r="E857" i="9" s="1"/>
  <c r="D652" i="9"/>
  <c r="E652" i="9" s="1"/>
  <c r="D398" i="9"/>
  <c r="E398" i="9" s="1"/>
  <c r="D508" i="9"/>
  <c r="E508" i="9" s="1"/>
  <c r="D743" i="9"/>
  <c r="E743" i="9" s="1"/>
  <c r="D501" i="9"/>
  <c r="E501" i="9" s="1"/>
  <c r="D323" i="9"/>
  <c r="E323" i="9" s="1"/>
  <c r="D617" i="9"/>
  <c r="E617" i="9" s="1"/>
  <c r="D656" i="9"/>
  <c r="E656" i="9" s="1"/>
  <c r="D429" i="9"/>
  <c r="E429" i="9" s="1"/>
  <c r="D158" i="9"/>
  <c r="E158" i="9" s="1"/>
  <c r="D63" i="9"/>
  <c r="E63" i="9" s="1"/>
  <c r="D354" i="9"/>
  <c r="E354" i="9" s="1"/>
  <c r="D678" i="9"/>
  <c r="E678" i="9" s="1"/>
  <c r="D473" i="9"/>
  <c r="E473" i="9" s="1"/>
  <c r="D929" i="9"/>
  <c r="E929" i="9" s="1"/>
  <c r="D183" i="9"/>
  <c r="E183" i="9" s="1"/>
  <c r="D664" i="9"/>
  <c r="E664" i="9" s="1"/>
  <c r="D238" i="9"/>
  <c r="E238" i="9" s="1"/>
  <c r="D290" i="9"/>
  <c r="E290" i="9" s="1"/>
  <c r="D474" i="9"/>
  <c r="E474" i="9" s="1"/>
  <c r="D452" i="9"/>
  <c r="E452" i="9" s="1"/>
  <c r="D164" i="9"/>
  <c r="E164" i="9" s="1"/>
  <c r="D909" i="9"/>
  <c r="E909" i="9" s="1"/>
  <c r="D530" i="9"/>
  <c r="E530" i="9" s="1"/>
  <c r="D658" i="9"/>
  <c r="E658" i="9" s="1"/>
  <c r="D273" i="9"/>
  <c r="E273" i="9" s="1"/>
  <c r="D755" i="9"/>
  <c r="E755" i="9" s="1"/>
  <c r="D518" i="9"/>
  <c r="E518" i="9" s="1"/>
  <c r="D170" i="9"/>
  <c r="E170" i="9" s="1"/>
  <c r="D177" i="9"/>
  <c r="E177" i="9" s="1"/>
  <c r="D537" i="9"/>
  <c r="E537" i="9" s="1"/>
  <c r="D43" i="9"/>
  <c r="E43" i="9" s="1"/>
  <c r="D693" i="9"/>
  <c r="E693" i="9" s="1"/>
  <c r="D844" i="9"/>
  <c r="E844" i="9" s="1"/>
  <c r="D485" i="9"/>
  <c r="E485" i="9" s="1"/>
  <c r="D455" i="9"/>
  <c r="E455" i="9" s="1"/>
  <c r="D507" i="9"/>
  <c r="E507" i="9" s="1"/>
  <c r="D872" i="9"/>
  <c r="E872" i="9" s="1"/>
  <c r="D700" i="9"/>
  <c r="E700" i="9" s="1"/>
  <c r="D794" i="9"/>
  <c r="E794" i="9" s="1"/>
  <c r="D50" i="9"/>
  <c r="E50" i="9" s="1"/>
  <c r="D665" i="9"/>
  <c r="E665" i="9" s="1"/>
  <c r="D479" i="9"/>
  <c r="E479" i="9" s="1"/>
  <c r="D205" i="9"/>
  <c r="E205" i="9" s="1"/>
  <c r="D234" i="9"/>
  <c r="E234" i="9" s="1"/>
  <c r="D797" i="9"/>
  <c r="E797" i="9" s="1"/>
  <c r="D162" i="9"/>
  <c r="E162" i="9" s="1"/>
  <c r="D807" i="9"/>
  <c r="E807" i="9" s="1"/>
  <c r="D34" i="9"/>
  <c r="E34" i="9" s="1"/>
  <c r="D759" i="9"/>
  <c r="E759" i="9" s="1"/>
  <c r="D54" i="9"/>
  <c r="E54" i="9" s="1"/>
  <c r="D264" i="9"/>
  <c r="E264" i="9" s="1"/>
  <c r="D26" i="9"/>
  <c r="E26" i="9" s="1"/>
  <c r="D573" i="9"/>
  <c r="E573" i="9" s="1"/>
  <c r="D902" i="9"/>
  <c r="E902" i="9" s="1"/>
  <c r="D383" i="9"/>
  <c r="E383" i="9" s="1"/>
  <c r="D85" i="9"/>
  <c r="E85" i="9" s="1"/>
  <c r="D636" i="9"/>
  <c r="E636" i="9" s="1"/>
  <c r="D599" i="9"/>
  <c r="E599" i="9" s="1"/>
  <c r="D454" i="9"/>
  <c r="E454" i="9" s="1"/>
  <c r="D438" i="9"/>
  <c r="E438" i="9" s="1"/>
  <c r="D548" i="9"/>
  <c r="E548" i="9" s="1"/>
  <c r="D403" i="9"/>
  <c r="E403" i="9" s="1"/>
  <c r="D697" i="9"/>
  <c r="E697" i="9" s="1"/>
  <c r="D408" i="9"/>
  <c r="E408" i="9" s="1"/>
  <c r="D657" i="9"/>
  <c r="E657" i="9" s="1"/>
  <c r="D542" i="9"/>
  <c r="E542" i="9" s="1"/>
  <c r="D341" i="9"/>
  <c r="E341" i="9" s="1"/>
  <c r="D426" i="9"/>
  <c r="E426" i="9" s="1"/>
  <c r="D858" i="9"/>
  <c r="E858" i="9" s="1"/>
  <c r="D826" i="9"/>
  <c r="E826" i="9" s="1"/>
  <c r="D869" i="9"/>
  <c r="E869" i="9" s="1"/>
  <c r="D362" i="9"/>
  <c r="E362" i="9" s="1"/>
  <c r="D195" i="9"/>
  <c r="E195" i="9" s="1"/>
  <c r="D793" i="9"/>
  <c r="E793" i="9" s="1"/>
  <c r="D469" i="9"/>
  <c r="E469" i="9" s="1"/>
  <c r="D527" i="9"/>
  <c r="E527" i="9" s="1"/>
  <c r="D942" i="9"/>
  <c r="E942" i="9" s="1"/>
  <c r="D462" i="9"/>
  <c r="E462" i="9" s="1"/>
  <c r="D613" i="9"/>
  <c r="E613" i="9" s="1"/>
  <c r="D766" i="9"/>
  <c r="E766" i="9" s="1"/>
  <c r="D551" i="9"/>
  <c r="E551" i="9" s="1"/>
  <c r="D713" i="9"/>
  <c r="E713" i="9" s="1"/>
  <c r="D736" i="9"/>
  <c r="E736" i="9" s="1"/>
  <c r="D17" i="9"/>
  <c r="E17" i="9" s="1"/>
  <c r="D702" i="9"/>
  <c r="E702" i="9" s="1"/>
  <c r="D355" i="9"/>
  <c r="E355" i="9" s="1"/>
  <c r="D847" i="9"/>
  <c r="E847" i="9" s="1"/>
  <c r="D746" i="9"/>
  <c r="E746" i="9" s="1"/>
  <c r="D93" i="9"/>
  <c r="E93" i="9" s="1"/>
  <c r="D246" i="9"/>
  <c r="E246" i="9" s="1"/>
  <c r="D751" i="9"/>
  <c r="E751" i="9" s="1"/>
  <c r="D125" i="9"/>
  <c r="E125" i="9" s="1"/>
  <c r="D905" i="9"/>
  <c r="E905" i="9" s="1"/>
  <c r="D418" i="9"/>
  <c r="E418" i="9" s="1"/>
  <c r="D144" i="9"/>
  <c r="E144" i="9" s="1"/>
  <c r="D434" i="9"/>
  <c r="E434" i="9" s="1"/>
  <c r="D86" i="9"/>
  <c r="E86" i="9" s="1"/>
  <c r="D541" i="9"/>
  <c r="E541" i="9" s="1"/>
  <c r="D662" i="9"/>
  <c r="E662" i="9" s="1"/>
  <c r="D60" i="9"/>
  <c r="E60" i="9" s="1"/>
  <c r="D197" i="9"/>
  <c r="E197" i="9" s="1"/>
  <c r="D45" i="9"/>
  <c r="E45" i="9" s="1"/>
  <c r="D224" i="9"/>
  <c r="E224" i="9" s="1"/>
  <c r="D201" i="9"/>
  <c r="E201" i="9" s="1"/>
  <c r="D744" i="9"/>
  <c r="E744" i="9" s="1"/>
  <c r="D287" i="9"/>
  <c r="E287" i="9" s="1"/>
  <c r="D210" i="9"/>
  <c r="E210" i="9" s="1"/>
  <c r="D236" i="9"/>
  <c r="E236" i="9" s="1"/>
  <c r="D105" i="9"/>
  <c r="E105" i="9" s="1"/>
  <c r="D131" i="9"/>
  <c r="E131" i="9" s="1"/>
  <c r="D317" i="9"/>
  <c r="E317" i="9" s="1"/>
  <c r="D217" i="9"/>
  <c r="E217" i="9" s="1"/>
  <c r="D803" i="9"/>
  <c r="E803" i="9" s="1"/>
  <c r="D612" i="9"/>
  <c r="E612" i="9" s="1"/>
  <c r="D622" i="9"/>
  <c r="E622" i="9" s="1"/>
  <c r="D300" i="9"/>
  <c r="E300" i="9" s="1"/>
  <c r="D40" i="9"/>
  <c r="E40" i="9" s="1"/>
  <c r="D603" i="9"/>
  <c r="E603" i="9" s="1"/>
  <c r="D87" i="9"/>
  <c r="E87" i="9" s="1"/>
  <c r="D225" i="9"/>
  <c r="E225" i="9" s="1"/>
  <c r="D32" i="9"/>
  <c r="E32" i="9" s="1"/>
  <c r="D783" i="9"/>
  <c r="E783" i="9" s="1"/>
  <c r="D561" i="9"/>
  <c r="E561" i="9" s="1"/>
  <c r="D253" i="9"/>
  <c r="E253" i="9" s="1"/>
  <c r="D104" i="9"/>
  <c r="E104" i="9" s="1"/>
  <c r="D198" i="9"/>
  <c r="E198" i="9" s="1"/>
  <c r="D335" i="9"/>
  <c r="E335" i="9" s="1"/>
  <c r="D192" i="9"/>
  <c r="E192" i="9" s="1"/>
  <c r="D707" i="9"/>
  <c r="E707" i="9" s="1"/>
  <c r="D680" i="9"/>
  <c r="E680" i="9" s="1"/>
  <c r="D124" i="9"/>
  <c r="E124" i="9" s="1"/>
  <c r="D719" i="9"/>
  <c r="E719" i="9" s="1"/>
  <c r="D113" i="9"/>
  <c r="E113" i="9" s="1"/>
  <c r="D883" i="9"/>
  <c r="E883" i="9" s="1"/>
  <c r="D463" i="9"/>
  <c r="E463" i="9" s="1"/>
  <c r="D848" i="9"/>
  <c r="E848" i="9" s="1"/>
  <c r="D453" i="9"/>
  <c r="E453" i="9" s="1"/>
  <c r="D789" i="9"/>
  <c r="E789" i="9" s="1"/>
  <c r="D628" i="9"/>
  <c r="E628" i="9" s="1"/>
  <c r="D866" i="9"/>
  <c r="E866" i="9" s="1"/>
  <c r="D387" i="9"/>
  <c r="E387" i="9" s="1"/>
  <c r="D134" i="9"/>
  <c r="E134" i="9" s="1"/>
  <c r="D378" i="9"/>
  <c r="E378" i="9" s="1"/>
  <c r="D775" i="9"/>
  <c r="E775" i="9" s="1"/>
  <c r="D64" i="9"/>
  <c r="E64" i="9" s="1"/>
  <c r="D214" i="9"/>
  <c r="E214" i="9" s="1"/>
  <c r="D110" i="9"/>
  <c r="E110" i="9" s="1"/>
  <c r="D318" i="9"/>
  <c r="E318" i="9" s="1"/>
  <c r="D126" i="9"/>
  <c r="E126" i="9" s="1"/>
  <c r="D729" i="9"/>
  <c r="E729" i="9" s="1"/>
  <c r="D302" i="9"/>
  <c r="E302" i="9" s="1"/>
  <c r="D265" i="9"/>
  <c r="E265" i="9" s="1"/>
  <c r="D720" i="9"/>
  <c r="E720" i="9" s="1"/>
  <c r="D785" i="9"/>
  <c r="E785" i="9" s="1"/>
  <c r="D684" i="9"/>
  <c r="E684" i="9" s="1"/>
  <c r="D661" i="9"/>
  <c r="E661" i="9" s="1"/>
  <c r="D799" i="9"/>
  <c r="E799" i="9" s="1"/>
  <c r="D266" i="9"/>
  <c r="E266" i="9" s="1"/>
  <c r="D377" i="9"/>
  <c r="E377" i="9" s="1"/>
  <c r="D143" i="9"/>
  <c r="E143" i="9" s="1"/>
  <c r="D159" i="9"/>
  <c r="E159" i="9" s="1"/>
  <c r="D427" i="9"/>
  <c r="E427" i="9" s="1"/>
  <c r="D928" i="9"/>
  <c r="E928" i="9" s="1"/>
  <c r="D553" i="9"/>
  <c r="E553" i="9" s="1"/>
  <c r="D557" i="9"/>
  <c r="E557" i="9" s="1"/>
  <c r="D753" i="9"/>
  <c r="E753" i="9" s="1"/>
  <c r="D240" i="9"/>
  <c r="E240" i="9" s="1"/>
  <c r="D304" i="9"/>
  <c r="E304" i="9" s="1"/>
  <c r="D888" i="9"/>
  <c r="E888" i="9" s="1"/>
  <c r="D588" i="9"/>
  <c r="E588" i="9" s="1"/>
  <c r="D457" i="9"/>
  <c r="E457" i="9" s="1"/>
  <c r="D171" i="9"/>
  <c r="E171" i="9" s="1"/>
  <c r="D494" i="9"/>
  <c r="E494" i="9" s="1"/>
  <c r="D275" i="9"/>
  <c r="E275" i="9" s="1"/>
  <c r="D673" i="9"/>
  <c r="E673" i="9" s="1"/>
  <c r="D623" i="9"/>
  <c r="E623" i="9" s="1"/>
  <c r="D405" i="9"/>
  <c r="E405" i="9" s="1"/>
  <c r="D55" i="9"/>
  <c r="E55" i="9" s="1"/>
  <c r="D122" i="9"/>
  <c r="E122" i="9" s="1"/>
  <c r="D339" i="9"/>
  <c r="E339" i="9" s="1"/>
  <c r="D196" i="9"/>
  <c r="E196" i="9" s="1"/>
  <c r="D37" i="9"/>
  <c r="E37" i="9" s="1"/>
  <c r="D487" i="9"/>
  <c r="E487" i="9" s="1"/>
  <c r="D425" i="9"/>
  <c r="E425" i="9" s="1"/>
  <c r="D46" i="9"/>
  <c r="E46" i="9" s="1"/>
  <c r="D409" i="9"/>
  <c r="E409" i="9" s="1"/>
  <c r="D279" i="9"/>
  <c r="E279" i="9" s="1"/>
  <c r="D185" i="9"/>
  <c r="E185" i="9" s="1"/>
  <c r="D692" i="9"/>
  <c r="E692" i="9" s="1"/>
  <c r="D670" i="9"/>
  <c r="E670" i="9" s="1"/>
  <c r="D925" i="9"/>
  <c r="E925" i="9" s="1"/>
  <c r="D638" i="9"/>
  <c r="E638" i="9" s="1"/>
  <c r="D787" i="9"/>
  <c r="E787" i="9" s="1"/>
  <c r="D645" i="9"/>
  <c r="E645" i="9" s="1"/>
  <c r="D133" i="9"/>
  <c r="E133" i="9" s="1"/>
  <c r="D865" i="9"/>
  <c r="E865" i="9" s="1"/>
  <c r="D308" i="9"/>
  <c r="E308" i="9" s="1"/>
  <c r="D259" i="9"/>
  <c r="E259" i="9" s="1"/>
  <c r="D116" i="9"/>
  <c r="E116" i="9" s="1"/>
  <c r="D730" i="9"/>
  <c r="E730" i="9" s="1"/>
  <c r="D242" i="9"/>
  <c r="E242" i="9" s="1"/>
  <c r="D316" i="9"/>
  <c r="E316" i="9" s="1"/>
  <c r="D151" i="9"/>
  <c r="E151" i="9" s="1"/>
  <c r="D288" i="9"/>
  <c r="E288" i="9" s="1"/>
  <c r="D261" i="9"/>
  <c r="E261" i="9" s="1"/>
  <c r="D23" i="9"/>
  <c r="E23" i="9" s="1"/>
  <c r="D439" i="9"/>
  <c r="E439" i="9" s="1"/>
  <c r="D286" i="9"/>
  <c r="E286" i="9" s="1"/>
  <c r="D492" i="9"/>
  <c r="E492" i="9" s="1"/>
  <c r="D839" i="9"/>
  <c r="E839" i="9" s="1"/>
  <c r="D118" i="9"/>
  <c r="E118" i="9" s="1"/>
  <c r="D737" i="9"/>
  <c r="E737" i="9" s="1"/>
  <c r="D384" i="9"/>
  <c r="E384" i="9" s="1"/>
  <c r="D227" i="9"/>
  <c r="E227" i="9" s="1"/>
  <c r="D173" i="9"/>
  <c r="E173" i="9" s="1"/>
  <c r="D101" i="9"/>
  <c r="E101" i="9" s="1"/>
  <c r="D524" i="9"/>
  <c r="E524" i="9" s="1"/>
  <c r="D188" i="9"/>
  <c r="E188" i="9" s="1"/>
  <c r="D842" i="9"/>
  <c r="E842" i="9" s="1"/>
  <c r="D828" i="9"/>
  <c r="E828" i="9" s="1"/>
  <c r="D92" i="9"/>
  <c r="E92" i="9" s="1"/>
  <c r="D805" i="9"/>
  <c r="E805" i="9" s="1"/>
  <c r="D767" i="9"/>
  <c r="E767" i="9" s="1"/>
  <c r="D511" i="9"/>
  <c r="E511" i="9" s="1"/>
  <c r="D461" i="9"/>
  <c r="E461" i="9" s="1"/>
  <c r="D836" i="9"/>
  <c r="E836" i="9" s="1"/>
  <c r="D44" i="9"/>
  <c r="E44" i="9" s="1"/>
  <c r="D120" i="9"/>
  <c r="E120" i="9" s="1"/>
  <c r="D299" i="9"/>
  <c r="E299" i="9" s="1"/>
  <c r="D666" i="9"/>
  <c r="E666" i="9" s="1"/>
  <c r="D244" i="9"/>
  <c r="E244" i="9" s="1"/>
  <c r="D818" i="9"/>
  <c r="E818" i="9" s="1"/>
  <c r="D416" i="9"/>
  <c r="E416" i="9" s="1"/>
  <c r="D390" i="9"/>
  <c r="E390" i="9" s="1"/>
  <c r="D386" i="9"/>
  <c r="E386" i="9" s="1"/>
  <c r="D897" i="9"/>
  <c r="E897" i="9" s="1"/>
  <c r="D97" i="9"/>
  <c r="E97" i="9" s="1"/>
  <c r="D538" i="9"/>
  <c r="E538" i="9" s="1"/>
  <c r="D552" i="9"/>
  <c r="E552" i="9" s="1"/>
  <c r="D575" i="9"/>
  <c r="E575" i="9" s="1"/>
  <c r="D370" i="9"/>
  <c r="E370" i="9" s="1"/>
  <c r="D223" i="9"/>
  <c r="E223" i="9" s="1"/>
  <c r="D576" i="9"/>
  <c r="E576" i="9" s="1"/>
  <c r="D309" i="9"/>
  <c r="E309" i="9" s="1"/>
  <c r="D608" i="9"/>
  <c r="E608" i="9" s="1"/>
  <c r="D938" i="9"/>
  <c r="E938" i="9" s="1"/>
  <c r="D235" i="9"/>
  <c r="E235" i="9" s="1"/>
  <c r="D47" i="9"/>
  <c r="E47" i="9" s="1"/>
  <c r="D262" i="9"/>
  <c r="E262" i="9" s="1"/>
  <c r="D776" i="9"/>
  <c r="E776" i="9" s="1"/>
  <c r="D445" i="9"/>
  <c r="E445" i="9" s="1"/>
  <c r="D932" i="9"/>
  <c r="E932" i="9" s="1"/>
  <c r="D272" i="9"/>
  <c r="E272" i="9" s="1"/>
  <c r="D114" i="9"/>
  <c r="E114" i="9" s="1"/>
  <c r="D521" i="9"/>
  <c r="E521" i="9" s="1"/>
  <c r="D371" i="9"/>
  <c r="E371" i="9" s="1"/>
  <c r="D586" i="9"/>
  <c r="E586" i="9" s="1"/>
  <c r="D284" i="9"/>
  <c r="E284" i="9" s="1"/>
  <c r="D590" i="9"/>
  <c r="E590" i="9" s="1"/>
  <c r="D153" i="9"/>
  <c r="E153" i="9" s="1"/>
  <c r="D333" i="9"/>
  <c r="E333" i="9" s="1"/>
  <c r="D25" i="9"/>
  <c r="E25" i="9" s="1"/>
  <c r="D506" i="9"/>
  <c r="E506" i="9" s="1"/>
  <c r="D540" i="9"/>
  <c r="E540" i="9" s="1"/>
  <c r="D99" i="9"/>
  <c r="E99" i="9" s="1"/>
  <c r="D215" i="9"/>
  <c r="E215" i="9" s="1"/>
  <c r="D876" i="9"/>
  <c r="E876" i="9" s="1"/>
  <c r="D432" i="9"/>
  <c r="E432" i="9" s="1"/>
  <c r="D96" i="9"/>
  <c r="E96" i="9" s="1"/>
  <c r="D71" i="9"/>
  <c r="E71" i="9" s="1"/>
  <c r="D615" i="9"/>
  <c r="E615" i="9" s="1"/>
  <c r="D345" i="9"/>
  <c r="E345" i="9" s="1"/>
  <c r="D522" i="9"/>
  <c r="E522" i="9" s="1"/>
  <c r="D667" i="9"/>
  <c r="E667" i="9" s="1"/>
  <c r="D81" i="9"/>
  <c r="E81" i="9" s="1"/>
  <c r="D914" i="9"/>
  <c r="E914" i="9" s="1"/>
  <c r="D421" i="9"/>
  <c r="E421" i="9" s="1"/>
  <c r="D98" i="9"/>
  <c r="E98" i="9" s="1"/>
  <c r="D934" i="9"/>
  <c r="E934" i="9" s="1"/>
  <c r="D860" i="9"/>
  <c r="E860" i="9" s="1"/>
  <c r="D716" i="9"/>
  <c r="E716" i="9" s="1"/>
  <c r="D650" i="9"/>
  <c r="E650" i="9" s="1"/>
  <c r="D237" i="9"/>
  <c r="E237" i="9" s="1"/>
  <c r="D884" i="9"/>
  <c r="E884" i="9" s="1"/>
  <c r="D890" i="9"/>
  <c r="E890" i="9" s="1"/>
  <c r="D361" i="9"/>
  <c r="E361" i="9" s="1"/>
  <c r="D757" i="9"/>
  <c r="E757" i="9" s="1"/>
  <c r="D172" i="9"/>
  <c r="E172" i="9" s="1"/>
  <c r="D51" i="9"/>
  <c r="E51" i="9" s="1"/>
  <c r="D277" i="9"/>
  <c r="E277" i="9" s="1"/>
  <c r="D686" i="9"/>
  <c r="E686" i="9" s="1"/>
  <c r="D35" i="9"/>
  <c r="E35" i="9" s="1"/>
  <c r="D502" i="9"/>
  <c r="E502" i="9" s="1"/>
  <c r="D468" i="9"/>
  <c r="E468" i="9" s="1"/>
  <c r="D529" i="9"/>
  <c r="E529" i="9" s="1"/>
  <c r="D908" i="9"/>
  <c r="E908" i="9" s="1"/>
  <c r="D186" i="9"/>
  <c r="E186" i="9" s="1"/>
  <c r="D931" i="9"/>
  <c r="E931" i="9" s="1"/>
  <c r="D846" i="9"/>
  <c r="E846" i="9" s="1"/>
  <c r="D33" i="9"/>
  <c r="E33" i="9" s="1"/>
  <c r="D593" i="9"/>
  <c r="E593" i="9" s="1"/>
  <c r="D513" i="9"/>
  <c r="E513" i="9" s="1"/>
  <c r="D856" i="9"/>
  <c r="E856" i="9" s="1"/>
  <c r="D690" i="9"/>
  <c r="E690" i="9" s="1"/>
  <c r="D669" i="9"/>
  <c r="E669" i="9" s="1"/>
  <c r="D523" i="9"/>
  <c r="E523" i="9" s="1"/>
  <c r="D431" i="9"/>
  <c r="E431" i="9" s="1"/>
  <c r="D727" i="9"/>
  <c r="E727" i="9" s="1"/>
  <c r="D340" i="9"/>
  <c r="E340" i="9" s="1"/>
  <c r="D27" i="9"/>
  <c r="E27" i="9" s="1"/>
  <c r="D359" i="9"/>
  <c r="E359" i="9" s="1"/>
  <c r="D441" i="9"/>
  <c r="E441" i="9" s="1"/>
  <c r="D320" i="9"/>
  <c r="E320" i="9" s="1"/>
  <c r="D218" i="9"/>
  <c r="E218" i="9" s="1"/>
  <c r="D406" i="9"/>
  <c r="E406" i="9" s="1"/>
  <c r="D873" i="9"/>
  <c r="E873" i="9" s="1"/>
  <c r="D749" i="9"/>
  <c r="E749" i="9" s="1"/>
  <c r="D324" i="9"/>
  <c r="E324" i="9" s="1"/>
  <c r="D442" i="9"/>
  <c r="E442" i="9" s="1"/>
  <c r="D367" i="9"/>
  <c r="E367" i="9" s="1"/>
  <c r="D853" i="9"/>
  <c r="E853" i="9" s="1"/>
  <c r="D256" i="9"/>
  <c r="E256" i="9" s="1"/>
  <c r="D115" i="9"/>
  <c r="E115" i="9" s="1"/>
  <c r="D281" i="9"/>
  <c r="E281" i="9" s="1"/>
  <c r="D764" i="9"/>
  <c r="E764" i="9" s="1"/>
  <c r="D440" i="9"/>
  <c r="E440" i="9" s="1"/>
  <c r="D898" i="9"/>
  <c r="E898" i="9" s="1"/>
  <c r="D75" i="9"/>
  <c r="E75" i="9" s="1"/>
  <c r="D444" i="9"/>
  <c r="E444" i="9" s="1"/>
  <c r="D499" i="9"/>
  <c r="E499" i="9" s="1"/>
  <c r="D353" i="9"/>
  <c r="E353" i="9" s="1"/>
  <c r="D9" i="9"/>
  <c r="E9" i="9" s="1"/>
  <c r="D871" i="9"/>
  <c r="E871" i="9" s="1"/>
  <c r="D36" i="9"/>
  <c r="E36" i="9" s="1"/>
  <c r="D718" i="9"/>
  <c r="E718" i="9" s="1"/>
  <c r="D769" i="9"/>
  <c r="E769" i="9" s="1"/>
  <c r="D919" i="9"/>
  <c r="E919" i="9" s="1"/>
  <c r="D165" i="9"/>
  <c r="E165" i="9" s="1"/>
  <c r="D456" i="9"/>
  <c r="E456" i="9" s="1"/>
  <c r="D682" i="9"/>
  <c r="E682" i="9" s="1"/>
  <c r="D226" i="9"/>
  <c r="E226" i="9" s="1"/>
  <c r="D520" i="9"/>
  <c r="E520" i="9" s="1"/>
  <c r="D550" i="9"/>
  <c r="E550" i="9" s="1"/>
  <c r="D102" i="9"/>
  <c r="E102" i="9" s="1"/>
  <c r="D72" i="9"/>
  <c r="E72" i="9" s="1"/>
  <c r="D813" i="9"/>
  <c r="E813" i="9" s="1"/>
  <c r="D806" i="9"/>
  <c r="E806" i="9" s="1"/>
  <c r="D515" i="9"/>
  <c r="E515" i="9" s="1"/>
  <c r="D247" i="9"/>
  <c r="E247" i="9" s="1"/>
  <c r="D11" i="9"/>
  <c r="E11" i="9" s="1"/>
  <c r="D710" i="9"/>
  <c r="E710" i="9" s="1"/>
  <c r="D761" i="9"/>
  <c r="E761" i="9" s="1"/>
  <c r="D67" i="9"/>
  <c r="E67" i="9" s="1"/>
  <c r="D182" i="9"/>
  <c r="E182" i="9" s="1"/>
  <c r="D258" i="9"/>
  <c r="E258" i="9" s="1"/>
  <c r="D322" i="9"/>
  <c r="E322" i="9" s="1"/>
  <c r="D381" i="9"/>
  <c r="E381" i="9" s="1"/>
  <c r="D10" i="9"/>
  <c r="E10" i="9" s="1"/>
  <c r="D458" i="9"/>
  <c r="E458" i="9" s="1"/>
  <c r="D68" i="9"/>
  <c r="E68" i="9" s="1"/>
  <c r="D319" i="9"/>
  <c r="E319" i="9" s="1"/>
  <c r="D773" i="9"/>
  <c r="E773" i="9" s="1"/>
  <c r="D138" i="9"/>
  <c r="E138" i="9" s="1"/>
  <c r="D245" i="9"/>
  <c r="E245" i="9" s="1"/>
  <c r="D655" i="9"/>
  <c r="E655" i="9" s="1"/>
  <c r="D108" i="9"/>
  <c r="E108" i="9" s="1"/>
  <c r="D222" i="9"/>
  <c r="E222" i="9" s="1"/>
  <c r="D546" i="9"/>
  <c r="E546" i="9" s="1"/>
  <c r="D491" i="9"/>
  <c r="E491" i="9" s="1"/>
  <c r="D175" i="9"/>
  <c r="E175" i="9" s="1"/>
  <c r="D42" i="9"/>
  <c r="E42" i="9" s="1"/>
  <c r="D717" i="9"/>
  <c r="E717" i="9" s="1"/>
  <c r="D539" i="9"/>
  <c r="E539" i="9" s="1"/>
  <c r="D859" i="9"/>
  <c r="E859" i="9" s="1"/>
  <c r="D681" i="9"/>
  <c r="E681" i="9" s="1"/>
  <c r="D184" i="9"/>
  <c r="E184" i="9" s="1"/>
  <c r="D327" i="9"/>
  <c r="E327" i="9" s="1"/>
  <c r="D149" i="9"/>
  <c r="E149" i="9" s="1"/>
  <c r="D283" i="9"/>
  <c r="E283" i="9" s="1"/>
  <c r="D705" i="9"/>
  <c r="E705" i="9" s="1"/>
  <c r="D83" i="9"/>
  <c r="E83" i="9" s="1"/>
  <c r="D946" i="9"/>
  <c r="E946" i="9" s="1"/>
  <c r="D641" i="9"/>
  <c r="E641" i="9" s="1"/>
  <c r="D179" i="9"/>
  <c r="E179" i="9" s="1"/>
  <c r="D78" i="9"/>
  <c r="E78" i="9" s="1"/>
  <c r="D732" i="9"/>
  <c r="E732" i="9" s="1"/>
  <c r="D166" i="9"/>
  <c r="E166" i="9" s="1"/>
  <c r="D274" i="9"/>
  <c r="E274" i="9" s="1"/>
  <c r="D107" i="9"/>
  <c r="E107" i="9" s="1"/>
  <c r="D414" i="9"/>
  <c r="E414" i="9" s="1"/>
  <c r="D768" i="9"/>
  <c r="E768" i="9" s="1"/>
  <c r="D850" i="9"/>
  <c r="E850" i="9" s="1"/>
  <c r="D379" i="9"/>
  <c r="E379" i="9" s="1"/>
  <c r="D433" i="9"/>
  <c r="E433" i="9" s="1"/>
  <c r="D877" i="9"/>
  <c r="E877" i="9" s="1"/>
  <c r="D585" i="9"/>
  <c r="E585" i="9" s="1"/>
  <c r="D190" i="9"/>
  <c r="E190" i="9" s="1"/>
  <c r="D321" i="9"/>
  <c r="E321" i="9" s="1"/>
  <c r="D595" i="9"/>
  <c r="E595" i="9" s="1"/>
  <c r="D435" i="9"/>
  <c r="E435" i="9" s="1"/>
  <c r="D798" i="9"/>
  <c r="E798" i="9" s="1"/>
  <c r="D698" i="9"/>
  <c r="E698" i="9" s="1"/>
  <c r="D606" i="9"/>
  <c r="E606" i="9" s="1"/>
  <c r="D194" i="9"/>
  <c r="E194" i="9" s="1"/>
  <c r="D295" i="9"/>
  <c r="E295" i="9" s="1"/>
  <c r="D800" i="9"/>
  <c r="E800" i="9" s="1"/>
  <c r="D187" i="9"/>
  <c r="E187" i="9" s="1"/>
  <c r="D750" i="9"/>
  <c r="E750" i="9" s="1"/>
  <c r="D88" i="9"/>
  <c r="E88" i="9" s="1"/>
  <c r="D922" i="9"/>
  <c r="E922" i="9" s="1"/>
  <c r="D583" i="9"/>
  <c r="E583" i="9" s="1"/>
  <c r="D203" i="9"/>
  <c r="E203" i="9" s="1"/>
  <c r="D424" i="9"/>
  <c r="E424" i="9" s="1"/>
  <c r="D349" i="9"/>
  <c r="E349" i="9" s="1"/>
  <c r="D825" i="9"/>
  <c r="E825" i="9" s="1"/>
  <c r="D695" i="9"/>
  <c r="E695" i="9" s="1"/>
  <c r="D829" i="9"/>
  <c r="E829" i="9" s="1"/>
  <c r="D639" i="9"/>
  <c r="E639" i="9" s="1"/>
  <c r="D560" i="9"/>
  <c r="E560" i="9" s="1"/>
  <c r="D459" i="9"/>
  <c r="E459" i="9" s="1"/>
  <c r="D731" i="9"/>
  <c r="E731" i="9" s="1"/>
  <c r="D12" i="9"/>
  <c r="E12" i="9" s="1"/>
  <c r="D643" i="9"/>
  <c r="E643" i="9" s="1"/>
  <c r="D467" i="9"/>
  <c r="E467" i="9" s="1"/>
  <c r="D282" i="9"/>
  <c r="E282" i="9" s="1"/>
  <c r="D422" i="9"/>
  <c r="E422" i="9" s="1"/>
  <c r="D472" i="9"/>
  <c r="E472" i="9" s="1"/>
  <c r="D490" i="9"/>
  <c r="E490" i="9" s="1"/>
  <c r="D924" i="9"/>
  <c r="E924" i="9" s="1"/>
  <c r="D878" i="9"/>
  <c r="E878" i="9" s="1"/>
  <c r="D674" i="9"/>
  <c r="E674" i="9" s="1"/>
  <c r="D512" i="9"/>
  <c r="E512" i="9" s="1"/>
  <c r="D305" i="9"/>
  <c r="E305" i="9" s="1"/>
  <c r="D562" i="9"/>
  <c r="E562" i="9" s="1"/>
  <c r="D937" i="9"/>
  <c r="E937" i="9" s="1"/>
  <c r="D817" i="9"/>
  <c r="E817" i="9" s="1"/>
  <c r="D306" i="9"/>
  <c r="E306" i="9" s="1"/>
  <c r="D771" i="9"/>
  <c r="E771" i="9" s="1"/>
  <c r="D763" i="9"/>
  <c r="E763" i="9" s="1"/>
  <c r="D84" i="9"/>
  <c r="E84" i="9" s="1"/>
  <c r="D827" i="9"/>
  <c r="E827" i="9" s="1"/>
  <c r="D863" i="9"/>
  <c r="E863" i="9" s="1"/>
  <c r="D881" i="9"/>
  <c r="E881" i="9" s="1"/>
  <c r="D892" i="9"/>
  <c r="E892" i="9" s="1"/>
  <c r="D276" i="9"/>
  <c r="E276" i="9" s="1"/>
  <c r="D687" i="9"/>
  <c r="E687" i="9" s="1"/>
  <c r="D376" i="9"/>
  <c r="E376" i="9" s="1"/>
  <c r="D401" i="9"/>
  <c r="E401" i="9" s="1"/>
  <c r="D31" i="9"/>
  <c r="E31" i="9" s="1"/>
  <c r="D62" i="9"/>
  <c r="E62" i="9" s="1"/>
  <c r="D691" i="9"/>
  <c r="E691" i="9" s="1"/>
  <c r="D614" i="9"/>
  <c r="E614" i="9" s="1"/>
  <c r="D233" i="9"/>
  <c r="E233" i="9" s="1"/>
  <c r="D451" i="9"/>
  <c r="E451" i="9" s="1"/>
  <c r="D169" i="9"/>
  <c r="E169" i="9" s="1"/>
  <c r="D899" i="9"/>
  <c r="E899" i="9" s="1"/>
  <c r="D837" i="9"/>
  <c r="E837" i="9" s="1"/>
  <c r="D711" i="9"/>
  <c r="E711" i="9" s="1"/>
  <c r="D882" i="9"/>
  <c r="E882" i="9" s="1"/>
  <c r="D549" i="9"/>
  <c r="E549" i="9" s="1"/>
  <c r="D849" i="9"/>
  <c r="E849" i="9" s="1"/>
  <c r="D906" i="9"/>
  <c r="E906" i="9" s="1"/>
  <c r="D336" i="9"/>
  <c r="E336" i="9" s="1"/>
  <c r="D250" i="9"/>
  <c r="E250" i="9" s="1"/>
  <c r="D781" i="9"/>
  <c r="E781" i="9" s="1"/>
  <c r="D313" i="9"/>
  <c r="E313" i="9" s="1"/>
  <c r="D709" i="9"/>
  <c r="E709" i="9" s="1"/>
  <c r="D832" i="9"/>
  <c r="E832" i="9" s="1"/>
  <c r="D437" i="9"/>
  <c r="E437" i="9" s="1"/>
  <c r="D587" i="9"/>
  <c r="E587" i="9" s="1"/>
  <c r="D569" i="9"/>
  <c r="E569" i="9" s="1"/>
  <c r="D660" i="9"/>
  <c r="E660" i="9" s="1"/>
  <c r="D399" i="9"/>
  <c r="E399" i="9" s="1"/>
  <c r="D611" i="9"/>
  <c r="E611" i="9" s="1"/>
  <c r="D840" i="9"/>
  <c r="E840" i="9" s="1"/>
  <c r="D672" i="9"/>
  <c r="E672" i="9" s="1"/>
  <c r="D598" i="9"/>
  <c r="E598" i="9" s="1"/>
  <c r="D648" i="9"/>
  <c r="E648" i="9" s="1"/>
  <c r="D918" i="9"/>
  <c r="E918" i="9" s="1"/>
  <c r="D624" i="9"/>
  <c r="E624" i="9" s="1"/>
  <c r="D495" i="9"/>
  <c r="E495" i="9" s="1"/>
  <c r="D715" i="9"/>
  <c r="E715" i="9" s="1"/>
  <c r="D748" i="9"/>
  <c r="E748" i="9" s="1"/>
  <c r="D579" i="9"/>
  <c r="E579" i="9" s="1"/>
  <c r="D911" i="9"/>
  <c r="E911" i="9" s="1"/>
  <c r="D752" i="9"/>
  <c r="E752" i="9" s="1"/>
  <c r="D470" i="9"/>
  <c r="E470" i="9" s="1"/>
  <c r="D739" i="9"/>
  <c r="E739" i="9" s="1"/>
  <c r="D845" i="9"/>
  <c r="E845" i="9" s="1"/>
  <c r="D220" i="9"/>
  <c r="E220" i="9" s="1"/>
  <c r="D206" i="9"/>
  <c r="E206" i="9" s="1"/>
  <c r="D907" i="9"/>
  <c r="E907" i="9" s="1"/>
  <c r="D465" i="9"/>
  <c r="E465" i="9" s="1"/>
  <c r="D447" i="9"/>
  <c r="E447" i="9" s="1"/>
  <c r="D496" i="9"/>
  <c r="E496" i="9" s="1"/>
  <c r="D514" i="9"/>
  <c r="E514" i="9" s="1"/>
  <c r="D788" i="9"/>
  <c r="E788" i="9" s="1"/>
  <c r="D634" i="9"/>
  <c r="E634" i="9" s="1"/>
  <c r="D804" i="9"/>
  <c r="E804" i="9" s="1"/>
  <c r="D168" i="9"/>
  <c r="E168" i="9" s="1"/>
  <c r="D289" i="9"/>
  <c r="E289" i="9" s="1"/>
  <c r="D852" i="9"/>
  <c r="E852" i="9" s="1"/>
  <c r="D449" i="9"/>
  <c r="E449" i="9" s="1"/>
  <c r="D430" i="9"/>
  <c r="E430" i="9" s="1"/>
  <c r="D351" i="9"/>
  <c r="E351" i="9" s="1"/>
  <c r="D601" i="9"/>
  <c r="E601" i="9" s="1"/>
  <c r="D448" i="9"/>
  <c r="E448" i="9" s="1"/>
  <c r="D228" i="9"/>
  <c r="E228" i="9" s="1"/>
  <c r="D5" i="9"/>
  <c r="E5" i="9" s="1"/>
  <c r="D926" i="9"/>
  <c r="E926" i="9" s="1"/>
  <c r="D939" i="9"/>
  <c r="E939" i="9" s="1"/>
  <c r="D917" i="9"/>
  <c r="E917" i="9" s="1"/>
  <c r="D745" i="9"/>
  <c r="E745" i="9" s="1"/>
  <c r="D136" i="9"/>
  <c r="E136" i="9" s="1"/>
  <c r="D708" i="9"/>
  <c r="E708" i="9" s="1"/>
  <c r="D249" i="9"/>
  <c r="E249" i="9" s="1"/>
  <c r="D854" i="9"/>
  <c r="E854" i="9" s="1"/>
  <c r="D147" i="9"/>
  <c r="E147" i="9" s="1"/>
  <c r="D48" i="9"/>
  <c r="E48" i="9" s="1"/>
  <c r="D498" i="9"/>
  <c r="E498" i="9" s="1"/>
  <c r="D616" i="9"/>
  <c r="E616" i="9" s="1"/>
  <c r="D38" i="9"/>
  <c r="E38" i="9" s="1"/>
  <c r="D489" i="9"/>
  <c r="E489" i="9" s="1"/>
  <c r="D885" i="9"/>
  <c r="E885" i="9" s="1"/>
  <c r="D204" i="9"/>
  <c r="E204" i="9" s="1"/>
  <c r="D6" i="9"/>
  <c r="E6" i="9" s="1"/>
  <c r="D229" i="9"/>
  <c r="E229" i="9" s="1"/>
  <c r="D41" i="9"/>
  <c r="E41" i="9" s="1"/>
  <c r="D14" i="9"/>
  <c r="E14" i="9" s="1"/>
  <c r="D874" i="9"/>
  <c r="E874" i="9" s="1"/>
  <c r="D66" i="9"/>
  <c r="E66" i="9" s="1"/>
  <c r="D294" i="9"/>
  <c r="E294" i="9" s="1"/>
  <c r="D784" i="9"/>
  <c r="E784" i="9" s="1"/>
  <c r="D375" i="9"/>
  <c r="E375" i="9" s="1"/>
  <c r="D525" i="9"/>
  <c r="E525" i="9" s="1"/>
  <c r="D903" i="9"/>
  <c r="E903" i="9" s="1"/>
  <c r="D16" i="9"/>
  <c r="E16" i="9" s="1"/>
  <c r="D135" i="9"/>
  <c r="E135" i="9" s="1"/>
  <c r="D428" i="9"/>
  <c r="E428" i="9" s="1"/>
  <c r="D894" i="9"/>
  <c r="E894" i="9" s="1"/>
  <c r="D207" i="9"/>
  <c r="E207" i="9" s="1"/>
  <c r="D65" i="9"/>
  <c r="E65" i="9" s="1"/>
  <c r="D945" i="9"/>
  <c r="E945" i="9" s="1"/>
  <c r="D74" i="9"/>
  <c r="E74" i="9" s="1"/>
  <c r="D927" i="9"/>
  <c r="E927" i="9" s="1"/>
  <c r="D364" i="9"/>
  <c r="E364" i="9" s="1"/>
  <c r="D393" i="9"/>
  <c r="E393" i="9" s="1"/>
  <c r="D646" i="9"/>
  <c r="E646" i="9" s="1"/>
  <c r="D337" i="9"/>
  <c r="E337" i="9" s="1"/>
  <c r="D704" i="9"/>
  <c r="E704" i="9" s="1"/>
  <c r="D29" i="9"/>
  <c r="E29" i="9" s="1"/>
  <c r="D443" i="9"/>
  <c r="E443" i="9" s="1"/>
  <c r="D728" i="9"/>
  <c r="E728" i="9" s="1"/>
  <c r="D307" i="9"/>
  <c r="E307" i="9" s="1"/>
  <c r="D851" i="9"/>
  <c r="E851" i="9" s="1"/>
  <c r="D933" i="9"/>
  <c r="E933" i="9" s="1"/>
  <c r="D889" i="9"/>
  <c r="E889" i="9" s="1"/>
  <c r="D415" i="9"/>
  <c r="E415" i="9" s="1"/>
  <c r="D943" i="9"/>
  <c r="E943" i="9" s="1"/>
  <c r="D493" i="9"/>
  <c r="E493" i="9" s="1"/>
  <c r="D176" i="9"/>
  <c r="E176" i="9" s="1"/>
  <c r="D161" i="9"/>
  <c r="E161" i="9" s="1"/>
  <c r="D137" i="9"/>
  <c r="E137" i="9" s="1"/>
  <c r="D24" i="9"/>
  <c r="E24" i="9" s="1"/>
  <c r="D328" i="9"/>
  <c r="E328" i="9" s="1"/>
  <c r="D28" i="9"/>
  <c r="E28" i="9" s="1"/>
  <c r="D466" i="9"/>
  <c r="E466" i="9" s="1"/>
  <c r="D145" i="9"/>
  <c r="E145" i="9" s="1"/>
  <c r="D117" i="9"/>
  <c r="E117" i="9" s="1"/>
  <c r="D385" i="9"/>
  <c r="E385" i="9" s="1"/>
  <c r="D756" i="9"/>
  <c r="E756" i="9" s="1"/>
  <c r="D671" i="9"/>
  <c r="E671" i="9" s="1"/>
  <c r="D815" i="9"/>
  <c r="E815" i="9" s="1"/>
  <c r="D152" i="9"/>
  <c r="E152" i="9" s="1"/>
  <c r="D475" i="9"/>
  <c r="E475" i="9" s="1"/>
  <c r="D49" i="9"/>
  <c r="E49" i="9" s="1"/>
  <c r="D267" i="9"/>
  <c r="E267" i="9" s="1"/>
  <c r="D61" i="9"/>
  <c r="E61" i="9" s="1"/>
  <c r="D556" i="9"/>
  <c r="E556" i="9" s="1"/>
  <c r="D230" i="9"/>
  <c r="E230" i="9" s="1"/>
  <c r="D391" i="9"/>
  <c r="E391" i="9" s="1"/>
  <c r="D142" i="9"/>
  <c r="E142" i="9" s="1"/>
  <c r="D895" i="9"/>
  <c r="E895" i="9" s="1"/>
  <c r="D80" i="9"/>
  <c r="E80" i="9" s="1"/>
  <c r="D15" i="9"/>
  <c r="E15" i="9" s="1"/>
  <c r="D315" i="9"/>
  <c r="E315" i="9" s="1"/>
  <c r="D654" i="9"/>
  <c r="E654" i="9" s="1"/>
  <c r="D374" i="9"/>
  <c r="E374" i="9" s="1"/>
  <c r="D570" i="9"/>
  <c r="E570" i="9" s="1"/>
  <c r="D930" i="9"/>
  <c r="E930" i="9" s="1"/>
  <c r="D722" i="9"/>
  <c r="E722" i="9" s="1"/>
  <c r="D887" i="9"/>
  <c r="E887" i="9" s="1"/>
  <c r="D536" i="9"/>
  <c r="E536" i="9" s="1"/>
  <c r="D721" i="9"/>
  <c r="E721" i="9" s="1"/>
  <c r="D252" i="9"/>
  <c r="E252" i="9" s="1"/>
  <c r="D394" i="9"/>
  <c r="E394" i="9" s="1"/>
  <c r="D747" i="9"/>
  <c r="E747" i="9" s="1"/>
  <c r="D243" i="9"/>
  <c r="E243" i="9" s="1"/>
  <c r="D694" i="9"/>
  <c r="E694" i="9" s="1"/>
  <c r="D420" i="9"/>
  <c r="E420" i="9" s="1"/>
  <c r="D870" i="9"/>
  <c r="E870" i="9" s="1"/>
  <c r="D400" i="9"/>
  <c r="E400" i="9" s="1"/>
  <c r="D619" i="9"/>
  <c r="E619" i="9" s="1"/>
  <c r="D314" i="9"/>
  <c r="E314" i="9" s="1"/>
  <c r="D213" i="9"/>
  <c r="E213" i="9" s="1"/>
  <c r="D762" i="9"/>
  <c r="E762" i="9" s="1"/>
  <c r="D563" i="9"/>
  <c r="E563" i="9" s="1"/>
  <c r="D699" i="9"/>
  <c r="E699" i="9" s="1"/>
  <c r="D358" i="9"/>
  <c r="E358" i="9" s="1"/>
  <c r="D350" i="9"/>
  <c r="E350" i="9" s="1"/>
  <c r="D547" i="9"/>
  <c r="E547" i="9" s="1"/>
  <c r="D935" i="9"/>
  <c r="E935" i="9" s="1"/>
  <c r="D360" i="9"/>
  <c r="E360" i="9" s="1"/>
  <c r="D82" i="9"/>
  <c r="E82" i="9" s="1"/>
  <c r="D121" i="9"/>
  <c r="E121" i="9" s="1"/>
  <c r="D688" i="9"/>
  <c r="E688" i="9" s="1"/>
  <c r="D202" i="9"/>
  <c r="E202" i="9" s="1"/>
  <c r="D941" i="9"/>
  <c r="E941" i="9" s="1"/>
  <c r="D741" i="9"/>
  <c r="E741" i="9" s="1"/>
  <c r="D366" i="9"/>
  <c r="E366" i="9" s="1"/>
  <c r="D900" i="9"/>
  <c r="E900" i="9" s="1"/>
  <c r="D809" i="9"/>
  <c r="E809" i="9" s="1"/>
  <c r="D312" i="9"/>
  <c r="E312" i="9" s="1"/>
  <c r="D644" i="9"/>
  <c r="E644" i="9" s="1"/>
  <c r="D79" i="9"/>
  <c r="E79" i="9" s="1"/>
  <c r="D325" i="9"/>
  <c r="E325" i="9" s="1"/>
  <c r="D544" i="9"/>
  <c r="E544" i="9" s="1"/>
  <c r="D574" i="9"/>
  <c r="E574" i="9" s="1"/>
  <c r="D862" i="9"/>
  <c r="E862" i="9" s="1"/>
  <c r="D554" i="9"/>
  <c r="E554" i="9" s="1"/>
  <c r="D738" i="9"/>
  <c r="E738" i="9" s="1"/>
  <c r="D193" i="9"/>
  <c r="E193" i="9" s="1"/>
  <c r="D413" i="9"/>
  <c r="E413" i="9" s="1"/>
  <c r="D534" i="9"/>
  <c r="E534" i="9" s="1"/>
  <c r="D591" i="9"/>
  <c r="E591" i="9" s="1"/>
  <c r="D268" i="9"/>
  <c r="E268" i="9" s="1"/>
  <c r="D476" i="9"/>
  <c r="E476" i="9" s="1"/>
  <c r="D132" i="9"/>
  <c r="E132" i="9" s="1"/>
  <c r="D52" i="9"/>
  <c r="E52" i="9" s="1"/>
  <c r="D733" i="9"/>
  <c r="E733" i="9" s="1"/>
  <c r="D778" i="9"/>
  <c r="E778" i="9" s="1"/>
  <c r="D407" i="9"/>
  <c r="E407" i="9" s="1"/>
  <c r="D571" i="9"/>
  <c r="E571" i="9" s="1"/>
  <c r="D632" i="9"/>
  <c r="E632" i="9" s="1"/>
  <c r="D219" i="9"/>
  <c r="E219" i="9" s="1"/>
  <c r="D241" i="9"/>
  <c r="E241" i="9" s="1"/>
  <c r="D558" i="9"/>
  <c r="E558" i="9" s="1"/>
  <c r="C5" i="3"/>
  <c r="C6" i="3"/>
  <c r="C7" i="3"/>
  <c r="C8" i="3"/>
  <c r="C9" i="3"/>
  <c r="C10" i="3"/>
  <c r="C11" i="3"/>
  <c r="C12" i="3"/>
  <c r="C13" i="3"/>
  <c r="C14" i="3"/>
  <c r="C15" i="3"/>
  <c r="C16" i="3"/>
  <c r="C17"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D822" i="11"/>
  <c r="D1299" i="11"/>
  <c r="D1337" i="11"/>
  <c r="D1331" i="11"/>
  <c r="D1377" i="11"/>
  <c r="D820" i="11"/>
  <c r="D1296" i="11"/>
  <c r="D1305" i="11"/>
  <c r="D819" i="11"/>
  <c r="D1396" i="11"/>
  <c r="D1298" i="11"/>
  <c r="D1326" i="11"/>
  <c r="D816" i="11"/>
  <c r="D823" i="11"/>
  <c r="D817" i="11"/>
  <c r="D1292" i="11"/>
  <c r="D740" i="11"/>
  <c r="D1426" i="11"/>
  <c r="D1297" i="11"/>
  <c r="D1314" i="11"/>
  <c r="D818" i="11"/>
  <c r="D815" i="11"/>
  <c r="D1304" i="11"/>
  <c r="D1430" i="11"/>
  <c r="D1327" i="11"/>
  <c r="D1371" i="11"/>
  <c r="D1366" i="11"/>
  <c r="D1354" i="11"/>
  <c r="D821" i="11"/>
  <c r="D1324" i="11"/>
  <c r="D1409" i="11"/>
  <c r="D1367" i="11"/>
  <c r="D1400" i="11"/>
  <c r="D1428" i="11"/>
  <c r="D1311" i="11"/>
  <c r="D1313" i="11"/>
  <c r="D1308" i="11"/>
  <c r="D1294" i="11"/>
  <c r="D1386" i="11"/>
  <c r="D1424" i="11"/>
  <c r="D1295" i="11"/>
  <c r="D1410" i="11"/>
  <c r="D1306" i="11"/>
  <c r="D1360" i="11"/>
  <c r="D1293" i="11"/>
  <c r="D1388" i="11"/>
  <c r="D1310" i="11"/>
  <c r="D1330" i="11"/>
  <c r="D83" i="11"/>
  <c r="D1309" i="11"/>
  <c r="D735" i="11"/>
  <c r="D1369" i="11"/>
  <c r="D1389" i="11"/>
  <c r="D1368" i="11"/>
  <c r="D1398" i="11"/>
  <c r="D808" i="11"/>
  <c r="D1307" i="11"/>
  <c r="D1376" i="11"/>
  <c r="D769" i="11"/>
  <c r="D1401" i="11"/>
  <c r="D811" i="11"/>
  <c r="D810" i="11"/>
  <c r="D772" i="11"/>
  <c r="D770" i="11"/>
  <c r="D768" i="11"/>
  <c r="D771" i="11"/>
  <c r="D1408" i="11"/>
  <c r="D1372" i="11"/>
  <c r="D1405" i="11"/>
  <c r="D1407" i="11"/>
  <c r="D741" i="11"/>
  <c r="D1351" i="11"/>
  <c r="D1315" i="11"/>
  <c r="D1301" i="11"/>
  <c r="D1322" i="11"/>
  <c r="D732" i="11"/>
  <c r="D1044" i="11"/>
  <c r="D1343" i="11"/>
  <c r="D731" i="11"/>
  <c r="D1282" i="11"/>
  <c r="D1043" i="11"/>
  <c r="D1041" i="11"/>
  <c r="D1325" i="11"/>
  <c r="D1312" i="11"/>
  <c r="D1328" i="11"/>
  <c r="D832" i="11"/>
  <c r="D1474" i="11"/>
  <c r="D833" i="11"/>
  <c r="D826" i="11"/>
  <c r="D1042" i="11"/>
  <c r="D1045" i="11"/>
  <c r="D737" i="11"/>
  <c r="D736" i="11"/>
  <c r="D1475" i="11"/>
  <c r="D1477" i="11"/>
  <c r="D201" i="11"/>
  <c r="D1380" i="11"/>
  <c r="D1381" i="11"/>
  <c r="D828" i="11"/>
  <c r="D1404" i="11"/>
  <c r="D1352" i="11"/>
  <c r="D738" i="11"/>
  <c r="D1476" i="11"/>
  <c r="D1473" i="11"/>
  <c r="D789" i="11"/>
  <c r="D790" i="11"/>
  <c r="D791" i="11"/>
  <c r="D792" i="11"/>
  <c r="D793" i="11"/>
  <c r="D794" i="11"/>
  <c r="D787" i="11"/>
  <c r="D774" i="11"/>
  <c r="D803" i="11"/>
  <c r="D806" i="11"/>
  <c r="D733" i="11"/>
  <c r="D779" i="11"/>
  <c r="D1399" i="11"/>
  <c r="D804" i="11"/>
  <c r="D827" i="11"/>
  <c r="D778" i="11"/>
  <c r="D802" i="11"/>
  <c r="D829" i="11"/>
  <c r="D1049" i="11"/>
  <c r="D788" i="11"/>
  <c r="D1323" i="11"/>
  <c r="D1329" i="11"/>
  <c r="D830" i="11"/>
  <c r="D831" i="11"/>
  <c r="D795" i="11"/>
  <c r="D1051" i="11"/>
  <c r="D1056" i="11"/>
  <c r="D369" i="11"/>
  <c r="D480" i="11"/>
  <c r="D1394" i="11"/>
  <c r="D1048" i="11"/>
  <c r="D1057" i="11"/>
  <c r="D1055" i="11"/>
  <c r="D1053" i="11"/>
  <c r="D602" i="11"/>
  <c r="D25" i="11"/>
  <c r="D544" i="11"/>
  <c r="D567" i="11"/>
  <c r="D809" i="11"/>
  <c r="D1423" i="11"/>
  <c r="D1425" i="11"/>
  <c r="D1052" i="11"/>
  <c r="D835" i="11"/>
  <c r="D1300" i="11"/>
  <c r="D1391" i="11"/>
  <c r="D1393" i="11"/>
  <c r="D1429" i="11"/>
  <c r="D1390" i="11"/>
  <c r="D1374" i="11"/>
  <c r="D1375" i="11"/>
  <c r="D1054" i="11"/>
  <c r="D198" i="11"/>
  <c r="D1403" i="11"/>
  <c r="D1353" i="11"/>
  <c r="D825" i="11"/>
  <c r="D202" i="11"/>
  <c r="D1058" i="11"/>
  <c r="D36" i="11"/>
  <c r="D1378" i="11"/>
  <c r="D739" i="11"/>
  <c r="D1379" i="11"/>
  <c r="D812" i="11"/>
  <c r="D1395" i="11"/>
  <c r="D697" i="11"/>
  <c r="D1060" i="11"/>
  <c r="D1059" i="11"/>
  <c r="D1046" i="11"/>
  <c r="D836" i="11"/>
  <c r="D834" i="11"/>
  <c r="D197" i="11"/>
  <c r="D783" i="11"/>
  <c r="D805" i="11"/>
  <c r="D1062" i="11"/>
  <c r="D1406" i="11"/>
  <c r="D824" i="11"/>
  <c r="D1050" i="11"/>
  <c r="D1066" i="11"/>
  <c r="D1047" i="11"/>
  <c r="D796" i="11"/>
  <c r="D575" i="11"/>
  <c r="D168" i="11"/>
  <c r="D1397" i="11"/>
  <c r="D786" i="11"/>
  <c r="D1063" i="11"/>
  <c r="D1067" i="11"/>
  <c r="D776" i="11"/>
  <c r="D698" i="11"/>
  <c r="D1065" i="11"/>
  <c r="D487" i="11"/>
  <c r="D1068" i="11"/>
  <c r="D1061" i="11"/>
  <c r="D840" i="11"/>
  <c r="D1069" i="11"/>
  <c r="D777" i="11"/>
  <c r="D644" i="11"/>
  <c r="D687" i="11"/>
  <c r="D37" i="11"/>
  <c r="D1383" i="11"/>
  <c r="D1469" i="11"/>
  <c r="D807" i="11"/>
  <c r="D797" i="11"/>
  <c r="D1071" i="11"/>
  <c r="D221" i="11"/>
  <c r="D490" i="11"/>
  <c r="D535" i="11"/>
  <c r="D686" i="11"/>
  <c r="D559" i="11"/>
  <c r="D234" i="11"/>
  <c r="D493" i="11"/>
  <c r="D231" i="11"/>
  <c r="D709" i="11"/>
  <c r="D489" i="11"/>
  <c r="D492" i="11"/>
  <c r="D479" i="11"/>
  <c r="D502" i="11"/>
  <c r="D1072" i="11"/>
  <c r="D229" i="11"/>
  <c r="D599" i="11"/>
  <c r="D547" i="11"/>
  <c r="D648" i="11"/>
  <c r="D42" i="11"/>
  <c r="D1073" i="11"/>
  <c r="D692" i="11"/>
  <c r="D348" i="11"/>
  <c r="D22" i="11"/>
  <c r="D494" i="11"/>
  <c r="D82" i="11"/>
  <c r="D153" i="11"/>
  <c r="D122" i="11"/>
  <c r="D88" i="11"/>
  <c r="D714" i="11"/>
  <c r="D555" i="11"/>
  <c r="D578" i="11"/>
  <c r="D784" i="11"/>
  <c r="D1074" i="11"/>
  <c r="D1070" i="11"/>
  <c r="D798" i="11"/>
  <c r="D785" i="11"/>
  <c r="D707" i="11"/>
  <c r="D1075" i="11"/>
  <c r="D1064" i="11"/>
  <c r="D799" i="11"/>
  <c r="D34" i="11"/>
  <c r="D1077" i="11"/>
  <c r="D1076" i="11"/>
  <c r="D41" i="11"/>
  <c r="D1078" i="11"/>
  <c r="D1079" i="11"/>
  <c r="D1080" i="11"/>
  <c r="D1083" i="11"/>
  <c r="D1081" i="11"/>
  <c r="D1082" i="11"/>
  <c r="D222" i="11"/>
  <c r="D782" i="11"/>
  <c r="D32" i="11"/>
  <c r="D539" i="11"/>
  <c r="D1084" i="11"/>
  <c r="D1088" i="11"/>
  <c r="D1087" i="11"/>
  <c r="D695" i="11"/>
  <c r="D1089" i="11"/>
  <c r="D1090" i="11"/>
  <c r="D1086" i="11"/>
  <c r="D1091" i="11"/>
  <c r="D498" i="11"/>
  <c r="D468" i="11"/>
  <c r="D50" i="11"/>
  <c r="D49" i="11"/>
  <c r="D376" i="11"/>
  <c r="D1085" i="11"/>
  <c r="D1092" i="11"/>
  <c r="D1316" i="11"/>
  <c r="D208" i="11"/>
  <c r="D205" i="11"/>
  <c r="D207" i="11"/>
  <c r="D206" i="11"/>
  <c r="D211" i="11"/>
  <c r="D209" i="11"/>
  <c r="D210" i="11"/>
  <c r="D1344" i="11"/>
  <c r="D1094" i="11"/>
  <c r="D1095" i="11"/>
  <c r="D1093" i="11"/>
  <c r="D1096" i="11"/>
  <c r="D649" i="11"/>
  <c r="D1098" i="11"/>
  <c r="D1099" i="11"/>
  <c r="D1100" i="11"/>
  <c r="D152" i="11"/>
  <c r="D1103" i="11"/>
  <c r="D1097" i="11"/>
  <c r="D1101" i="11"/>
  <c r="D1102" i="11"/>
  <c r="D1104" i="11"/>
  <c r="D1106" i="11"/>
  <c r="D1107" i="11"/>
  <c r="D1105" i="11"/>
  <c r="D230" i="11"/>
  <c r="D1109" i="11"/>
  <c r="D1112" i="11"/>
  <c r="D1113" i="11"/>
  <c r="D1108" i="11"/>
  <c r="D1110" i="11"/>
  <c r="D1111" i="11"/>
  <c r="D1116" i="11"/>
  <c r="D1115" i="11"/>
  <c r="D1117" i="11"/>
  <c r="D488" i="11"/>
  <c r="D81" i="11"/>
  <c r="D780" i="11"/>
  <c r="D1114" i="11"/>
  <c r="D1118" i="11"/>
  <c r="D781" i="11"/>
  <c r="D508" i="11"/>
  <c r="D749" i="11"/>
  <c r="D506" i="11"/>
  <c r="D505" i="11"/>
  <c r="D504" i="11"/>
  <c r="D752" i="11"/>
  <c r="D754" i="11"/>
  <c r="D746" i="11"/>
  <c r="D745" i="11"/>
  <c r="D748" i="11"/>
  <c r="D560" i="11"/>
  <c r="D744" i="11"/>
  <c r="D747" i="11"/>
  <c r="D531" i="11"/>
  <c r="D1119" i="11"/>
  <c r="D1121" i="11"/>
  <c r="D1122" i="11"/>
  <c r="D1127" i="11"/>
  <c r="D1125" i="11"/>
  <c r="D1123" i="11"/>
  <c r="D1126" i="11"/>
  <c r="D503" i="11"/>
  <c r="D513" i="11"/>
  <c r="D514" i="11"/>
  <c r="D515" i="11"/>
  <c r="D516" i="11"/>
  <c r="D517" i="11"/>
  <c r="D44" i="11"/>
  <c r="D141" i="11"/>
  <c r="D144" i="11"/>
  <c r="D720" i="11"/>
  <c r="D138" i="11"/>
  <c r="D512" i="11"/>
  <c r="D139" i="11"/>
  <c r="D247" i="11"/>
  <c r="D135" i="11"/>
  <c r="D1128" i="11"/>
  <c r="D1129" i="11"/>
  <c r="D1130" i="11"/>
  <c r="D1131" i="11"/>
  <c r="D1132" i="11"/>
  <c r="D1133" i="11"/>
  <c r="D1134" i="11"/>
  <c r="D1135" i="11"/>
  <c r="D259" i="11"/>
  <c r="D250" i="11"/>
  <c r="D45" i="11"/>
  <c r="D1136" i="11"/>
  <c r="D1137" i="11"/>
  <c r="D773" i="11"/>
  <c r="D762" i="11"/>
  <c r="D143" i="11"/>
  <c r="D699" i="11"/>
  <c r="D1139" i="11"/>
  <c r="D1138" i="11"/>
  <c r="D838" i="11"/>
  <c r="D452" i="11"/>
  <c r="D1140" i="11"/>
  <c r="D1141" i="11"/>
  <c r="D1142" i="11"/>
  <c r="D1124" i="11"/>
  <c r="D1143" i="11"/>
  <c r="D1144" i="11"/>
  <c r="D1145" i="11"/>
  <c r="D1146" i="11"/>
  <c r="D1147" i="11"/>
  <c r="D1149" i="11"/>
  <c r="D1150" i="11"/>
  <c r="D1151" i="11"/>
  <c r="D1152" i="11"/>
  <c r="D1153" i="11"/>
  <c r="D1154" i="11"/>
  <c r="D123" i="11"/>
  <c r="D1157" i="11"/>
  <c r="D1159" i="11"/>
  <c r="D1156" i="11"/>
  <c r="D715" i="11"/>
  <c r="D1160" i="11"/>
  <c r="D1158" i="11"/>
  <c r="D1161" i="11"/>
  <c r="D1148" i="11"/>
  <c r="D708" i="11"/>
  <c r="D566" i="11"/>
  <c r="D1120" i="11"/>
  <c r="D800" i="11"/>
  <c r="D137" i="11"/>
  <c r="D1162" i="11"/>
  <c r="D1155" i="11"/>
  <c r="D1165" i="11"/>
  <c r="D1166" i="11"/>
  <c r="D1168" i="11"/>
  <c r="D1167" i="11"/>
  <c r="D801" i="11"/>
  <c r="D1169" i="11"/>
  <c r="D1170" i="11"/>
  <c r="D1171" i="11"/>
  <c r="D1172" i="11"/>
  <c r="D1163" i="11"/>
  <c r="D204" i="11"/>
  <c r="D233" i="11"/>
  <c r="D1173" i="11"/>
  <c r="D1175" i="11"/>
  <c r="D1176" i="11"/>
  <c r="D1177" i="11"/>
  <c r="D1164" i="11"/>
  <c r="D1174" i="11"/>
  <c r="D694" i="11"/>
  <c r="D1179" i="11"/>
  <c r="D1178" i="11"/>
  <c r="D1180" i="11"/>
  <c r="D1181" i="11"/>
  <c r="D1182" i="11"/>
  <c r="D713" i="11"/>
  <c r="D86" i="11"/>
  <c r="D647" i="11"/>
  <c r="D764" i="11"/>
  <c r="D1184" i="11"/>
  <c r="D47" i="11"/>
  <c r="D1187" i="11"/>
  <c r="D1183" i="11"/>
  <c r="D1185" i="11"/>
  <c r="D1186" i="11"/>
  <c r="D1188" i="11"/>
  <c r="D253" i="11"/>
  <c r="D255" i="11"/>
  <c r="D256" i="11"/>
  <c r="D1189" i="11"/>
  <c r="D1190" i="11"/>
  <c r="D1192" i="11"/>
  <c r="D757" i="11"/>
  <c r="D541" i="11"/>
  <c r="D521" i="11"/>
  <c r="D524" i="11"/>
  <c r="D623" i="11"/>
  <c r="D526" i="11"/>
  <c r="D522" i="11"/>
  <c r="D622" i="11"/>
  <c r="D525" i="11"/>
  <c r="D619" i="11"/>
  <c r="D1197" i="11"/>
  <c r="D1198" i="11"/>
  <c r="D1199" i="11"/>
  <c r="D1191" i="11"/>
  <c r="D1193" i="11"/>
  <c r="D1194" i="11"/>
  <c r="D199" i="11"/>
  <c r="D1196" i="11"/>
  <c r="D1201" i="11"/>
  <c r="D1204" i="11"/>
  <c r="D1205" i="11"/>
  <c r="D1203" i="11"/>
  <c r="D1207" i="11"/>
  <c r="D257" i="11"/>
  <c r="D1206" i="11"/>
  <c r="D1202" i="11"/>
  <c r="D1208" i="11"/>
  <c r="D530" i="11"/>
  <c r="D265" i="11"/>
  <c r="D1195" i="11"/>
  <c r="D1210" i="11"/>
  <c r="D1211" i="11"/>
  <c r="D1209" i="11"/>
  <c r="D1200" i="11"/>
  <c r="D1427" i="11"/>
  <c r="D1213" i="11"/>
  <c r="D1214" i="11"/>
  <c r="D1217" i="11"/>
  <c r="D1216" i="11"/>
  <c r="D1220" i="11"/>
  <c r="D1212" i="11"/>
  <c r="D1222" i="11"/>
  <c r="D1221" i="11"/>
  <c r="D1223" i="11"/>
  <c r="D1224" i="11"/>
  <c r="D1225" i="11"/>
  <c r="D1226" i="11"/>
  <c r="D1227" i="11"/>
  <c r="D553" i="11"/>
  <c r="D1346" i="11"/>
  <c r="D1229" i="11"/>
  <c r="D1230" i="11"/>
  <c r="D1231" i="11"/>
  <c r="D1233" i="11"/>
  <c r="D1234" i="11"/>
  <c r="D1235" i="11"/>
  <c r="D1236" i="11"/>
  <c r="D1228" i="11"/>
  <c r="D1237" i="11"/>
  <c r="D1356" i="11"/>
  <c r="D1339" i="11"/>
  <c r="D1333" i="11"/>
  <c r="D1362" i="11"/>
  <c r="D1238" i="11"/>
  <c r="D1219" i="11"/>
  <c r="D1244" i="11"/>
  <c r="D1239" i="11"/>
  <c r="D1240" i="11"/>
  <c r="D1241" i="11"/>
  <c r="D1218" i="11"/>
  <c r="D1232" i="11"/>
  <c r="D1242" i="11"/>
  <c r="D1245" i="11"/>
  <c r="D1317" i="11"/>
  <c r="D1246" i="11"/>
  <c r="D1215" i="11"/>
  <c r="D126" i="11"/>
  <c r="D1243" i="11"/>
  <c r="D1247" i="11"/>
  <c r="D1248" i="11"/>
  <c r="D1249" i="11"/>
  <c r="D1250" i="11"/>
  <c r="D1251" i="11"/>
  <c r="D1253" i="11"/>
  <c r="D1254" i="11"/>
  <c r="D1255" i="11"/>
  <c r="D1258" i="11"/>
  <c r="D1290" i="11"/>
  <c r="D813" i="11"/>
  <c r="D775" i="11"/>
  <c r="D1252" i="11"/>
  <c r="D125" i="11"/>
  <c r="D761" i="11"/>
  <c r="D1259" i="11"/>
  <c r="D1285" i="11"/>
  <c r="D1260" i="11"/>
  <c r="D1257" i="11"/>
  <c r="D1382" i="11"/>
  <c r="D756" i="11"/>
  <c r="D1261" i="11"/>
  <c r="D1265" i="11"/>
  <c r="D1262" i="11"/>
  <c r="D1264" i="11"/>
  <c r="D1266" i="11"/>
  <c r="D254" i="11"/>
  <c r="D1272" i="11"/>
  <c r="D1268" i="11"/>
  <c r="D425" i="11"/>
  <c r="D1274" i="11"/>
  <c r="D1273" i="11"/>
  <c r="D1270" i="11"/>
  <c r="D1277" i="11"/>
  <c r="D1271" i="11"/>
  <c r="D1267" i="11"/>
  <c r="D1279" i="11"/>
  <c r="D1263" i="11"/>
  <c r="D841" i="11"/>
  <c r="D1275" i="11"/>
  <c r="D554" i="11"/>
  <c r="D837" i="11"/>
  <c r="D1278" i="11"/>
  <c r="D842" i="11"/>
  <c r="D1289" i="11"/>
  <c r="D844" i="11"/>
  <c r="D1281" i="11"/>
  <c r="D1280" i="11"/>
  <c r="D1276" i="11"/>
  <c r="D1284" i="11"/>
  <c r="D846" i="11"/>
  <c r="D843" i="11"/>
  <c r="D241" i="11"/>
  <c r="D845" i="11"/>
  <c r="D637" i="11"/>
  <c r="D849" i="11"/>
  <c r="D848" i="11"/>
  <c r="D665" i="11"/>
  <c r="D854" i="11"/>
  <c r="D850" i="11"/>
  <c r="D855" i="11"/>
  <c r="D847" i="11"/>
  <c r="D851" i="11"/>
  <c r="D1256" i="11"/>
  <c r="D856" i="11"/>
  <c r="D111" i="11"/>
  <c r="D859" i="11"/>
  <c r="D862" i="11"/>
  <c r="D860" i="11"/>
  <c r="D864" i="11"/>
  <c r="D865" i="11"/>
  <c r="D867" i="11"/>
  <c r="D868" i="11"/>
  <c r="D863" i="11"/>
  <c r="D870" i="11"/>
  <c r="D869" i="11"/>
  <c r="D866" i="11"/>
  <c r="D1269" i="11"/>
  <c r="D1286" i="11"/>
  <c r="D184" i="11"/>
  <c r="D858" i="11"/>
  <c r="D857" i="11"/>
  <c r="D239" i="11"/>
  <c r="D875" i="11"/>
  <c r="D68" i="11"/>
  <c r="D1288" i="11"/>
  <c r="D874" i="11"/>
  <c r="D877" i="11"/>
  <c r="D852" i="11"/>
  <c r="D879" i="11"/>
  <c r="D872" i="11"/>
  <c r="D871" i="11"/>
  <c r="D320" i="11"/>
  <c r="D880" i="11"/>
  <c r="D438" i="11"/>
  <c r="D884" i="11"/>
  <c r="D1287" i="11"/>
  <c r="D878" i="11"/>
  <c r="D1283" i="11"/>
  <c r="D885" i="11"/>
  <c r="D688" i="11"/>
  <c r="D1472" i="11"/>
  <c r="D48" i="11"/>
  <c r="D881" i="11"/>
  <c r="D882" i="11"/>
  <c r="D883" i="11"/>
  <c r="D888" i="11"/>
  <c r="D889" i="11"/>
  <c r="D890" i="11"/>
  <c r="D891" i="11"/>
  <c r="D853" i="11"/>
  <c r="D895" i="11"/>
  <c r="D887" i="11"/>
  <c r="D894" i="11"/>
  <c r="D893" i="11"/>
  <c r="D897" i="11"/>
  <c r="D886" i="11"/>
  <c r="D142" i="11"/>
  <c r="D527" i="11"/>
  <c r="D898" i="11"/>
  <c r="D876" i="11"/>
  <c r="D903" i="11"/>
  <c r="D902" i="11"/>
  <c r="D904" i="11"/>
  <c r="D899" i="11"/>
  <c r="D1373" i="11"/>
  <c r="D102" i="11"/>
  <c r="D734" i="11"/>
  <c r="D892" i="11"/>
  <c r="D1303" i="11"/>
  <c r="D873" i="11"/>
  <c r="D907" i="11"/>
  <c r="D896" i="11"/>
  <c r="D905" i="11"/>
  <c r="D910" i="11"/>
  <c r="D901" i="11"/>
  <c r="D908" i="11"/>
  <c r="D912" i="11"/>
  <c r="D916" i="11"/>
  <c r="D909" i="11"/>
  <c r="D913" i="11"/>
  <c r="D915" i="11"/>
  <c r="D911" i="11"/>
  <c r="D124" i="11"/>
  <c r="D1385" i="11"/>
  <c r="D626" i="11"/>
  <c r="D1478" i="11"/>
  <c r="D931" i="11"/>
  <c r="D1422" i="11"/>
  <c r="D930" i="11"/>
  <c r="D114" i="11"/>
  <c r="D927" i="11"/>
  <c r="D113" i="11"/>
  <c r="D926" i="11"/>
  <c r="D917" i="11"/>
  <c r="D920" i="11"/>
  <c r="D928" i="11"/>
  <c r="D922" i="11"/>
  <c r="D929" i="11"/>
  <c r="D84" i="11"/>
  <c r="D934" i="11"/>
  <c r="D936" i="11"/>
  <c r="D933" i="11"/>
  <c r="D935" i="11"/>
  <c r="D937" i="11"/>
  <c r="D938" i="11"/>
  <c r="D923" i="11"/>
  <c r="D939" i="11"/>
  <c r="D942" i="11"/>
  <c r="D943" i="11"/>
  <c r="D932" i="11"/>
  <c r="D1384" i="11"/>
  <c r="D946" i="11"/>
  <c r="D861" i="11"/>
  <c r="D1291" i="11"/>
  <c r="D940" i="11"/>
  <c r="D947" i="11"/>
  <c r="D1348" i="11"/>
  <c r="D1319" i="11"/>
  <c r="D906" i="11"/>
  <c r="D945" i="11"/>
  <c r="D950" i="11"/>
  <c r="D953" i="11"/>
  <c r="D959" i="11"/>
  <c r="D952" i="11"/>
  <c r="D955" i="11"/>
  <c r="D957" i="11"/>
  <c r="D951" i="11"/>
  <c r="D949" i="11"/>
  <c r="D944" i="11"/>
  <c r="D914" i="11"/>
  <c r="D918" i="11"/>
  <c r="D941" i="11"/>
  <c r="D962" i="11"/>
  <c r="D964" i="11"/>
  <c r="D1370" i="11"/>
  <c r="D750" i="11"/>
  <c r="D43" i="11"/>
  <c r="D965" i="11"/>
  <c r="D919" i="11"/>
  <c r="D99" i="11"/>
  <c r="D924" i="11"/>
  <c r="D925" i="11"/>
  <c r="D963" i="11"/>
  <c r="D966" i="11"/>
  <c r="D169" i="11"/>
  <c r="D189" i="11"/>
  <c r="D954" i="11"/>
  <c r="D170" i="11"/>
  <c r="D180" i="11"/>
  <c r="D329" i="11"/>
  <c r="D972" i="11"/>
  <c r="D948" i="11"/>
  <c r="D961" i="11"/>
  <c r="D967" i="11"/>
  <c r="D968" i="11"/>
  <c r="D969" i="11"/>
  <c r="D976" i="11"/>
  <c r="D960" i="11"/>
  <c r="D981" i="11"/>
  <c r="D979" i="11"/>
  <c r="D249" i="11"/>
  <c r="D921" i="11"/>
  <c r="D1302" i="11"/>
  <c r="D1392" i="11"/>
  <c r="D127" i="11"/>
  <c r="D956" i="11"/>
  <c r="D958" i="11"/>
  <c r="D983" i="11"/>
  <c r="D984" i="11"/>
  <c r="D980" i="11"/>
  <c r="D978" i="11"/>
  <c r="D973" i="11"/>
  <c r="D982" i="11"/>
  <c r="D975" i="11"/>
  <c r="D557" i="11"/>
  <c r="D181" i="11"/>
  <c r="D185" i="11"/>
  <c r="D970" i="11"/>
  <c r="D992" i="11"/>
  <c r="D977" i="11"/>
  <c r="D990" i="11"/>
  <c r="D103" i="11"/>
  <c r="D995" i="11"/>
  <c r="D989" i="11"/>
  <c r="D997" i="11"/>
  <c r="D974" i="11"/>
  <c r="D996" i="11"/>
  <c r="D991" i="11"/>
  <c r="D998" i="11"/>
  <c r="D1000" i="11"/>
  <c r="D985" i="11"/>
  <c r="D999" i="11"/>
  <c r="D136" i="11"/>
  <c r="D1001" i="11"/>
  <c r="D1005" i="11"/>
  <c r="D1011" i="11"/>
  <c r="D1012" i="11"/>
  <c r="D1010" i="11"/>
  <c r="D1015" i="11"/>
  <c r="D1008" i="11"/>
  <c r="D1007" i="11"/>
  <c r="D1004" i="11"/>
  <c r="D1014" i="11"/>
  <c r="D543" i="11"/>
  <c r="D1018" i="11"/>
  <c r="D1013" i="11"/>
  <c r="D651" i="11"/>
  <c r="D475" i="11"/>
  <c r="D1016" i="11"/>
  <c r="D986" i="11"/>
  <c r="D988" i="11"/>
  <c r="D1006" i="11"/>
  <c r="D646" i="11"/>
  <c r="D1411" i="11"/>
  <c r="D987" i="11"/>
  <c r="D993" i="11"/>
  <c r="D994" i="11"/>
  <c r="D112" i="11"/>
  <c r="D1019" i="11"/>
  <c r="D367" i="11"/>
  <c r="D1017" i="11"/>
  <c r="D971" i="11"/>
  <c r="D1003" i="11"/>
  <c r="D1002" i="11"/>
  <c r="D166" i="11"/>
  <c r="D463" i="11"/>
  <c r="D117" i="11"/>
  <c r="D322" i="11"/>
  <c r="D270" i="11"/>
  <c r="D258" i="11"/>
  <c r="D260" i="11"/>
  <c r="D1025" i="11"/>
  <c r="D1020" i="11"/>
  <c r="D1024" i="11"/>
  <c r="D193" i="11"/>
  <c r="D171" i="11"/>
  <c r="D235" i="11"/>
  <c r="D474" i="11"/>
  <c r="D1023" i="11"/>
  <c r="D1029" i="11"/>
  <c r="D1026" i="11"/>
  <c r="D639" i="11"/>
  <c r="D1030" i="11"/>
  <c r="D1031" i="11"/>
  <c r="D128" i="11"/>
  <c r="D630" i="11"/>
  <c r="D627" i="11"/>
  <c r="D635" i="11"/>
  <c r="D1028" i="11"/>
  <c r="D264" i="11"/>
  <c r="D1009" i="11"/>
  <c r="D1033" i="11"/>
  <c r="D582" i="11"/>
  <c r="D583" i="11"/>
  <c r="D585" i="11"/>
  <c r="D312" i="11"/>
  <c r="D304" i="11"/>
  <c r="D308" i="11"/>
  <c r="D1027" i="11"/>
  <c r="D244" i="11"/>
  <c r="D246" i="11"/>
  <c r="D454" i="11"/>
  <c r="D293" i="11"/>
  <c r="D310" i="11"/>
  <c r="D292" i="11"/>
  <c r="D313" i="11"/>
  <c r="D316" i="11"/>
  <c r="D1021" i="11"/>
  <c r="D1032" i="11"/>
  <c r="D178" i="11"/>
  <c r="D24" i="11"/>
  <c r="D1034" i="11"/>
  <c r="D223" i="11"/>
  <c r="D192" i="11"/>
  <c r="D133" i="11"/>
  <c r="D597" i="11"/>
  <c r="D900" i="11"/>
  <c r="D581" i="11"/>
  <c r="D227" i="11"/>
  <c r="D839" i="11"/>
  <c r="D1035" i="11"/>
  <c r="D1036" i="11"/>
  <c r="D1037" i="11"/>
  <c r="D1038" i="11"/>
  <c r="D386" i="11"/>
  <c r="D179" i="11"/>
  <c r="D118" i="11"/>
  <c r="D633" i="11"/>
  <c r="D569" i="11"/>
  <c r="D495" i="11"/>
  <c r="D131" i="11"/>
  <c r="D434" i="11"/>
  <c r="D674" i="11"/>
  <c r="D1022" i="11"/>
  <c r="D1039" i="11"/>
  <c r="D1040" i="11"/>
  <c r="D240" i="11"/>
  <c r="D383" i="11"/>
  <c r="D46" i="11"/>
  <c r="D132" i="11"/>
  <c r="D643" i="11"/>
  <c r="D631" i="11"/>
  <c r="D307" i="11"/>
  <c r="D305" i="11"/>
  <c r="D343" i="11"/>
  <c r="D295" i="11"/>
  <c r="D365" i="11"/>
  <c r="D366" i="11"/>
  <c r="D364" i="11"/>
  <c r="D349" i="11"/>
  <c r="D1320" i="11"/>
  <c r="D1335" i="11"/>
  <c r="D1358" i="11"/>
  <c r="D1349" i="11"/>
  <c r="D1341" i="11"/>
  <c r="D1364" i="11"/>
  <c r="D350" i="11"/>
  <c r="D667" i="11"/>
  <c r="D341" i="11"/>
  <c r="D451" i="11"/>
  <c r="D328" i="11"/>
  <c r="D330" i="11"/>
  <c r="D342" i="11"/>
  <c r="D344" i="11"/>
  <c r="D476" i="11"/>
  <c r="D101" i="11"/>
  <c r="D340" i="11"/>
  <c r="D300" i="11"/>
  <c r="D109" i="11"/>
  <c r="D172" i="11"/>
  <c r="D248" i="11"/>
  <c r="D303" i="11"/>
  <c r="D696" i="11"/>
  <c r="D586" i="11"/>
  <c r="D1420" i="11"/>
  <c r="D1421" i="11"/>
  <c r="D1467" i="11"/>
  <c r="D216" i="11"/>
  <c r="D187" i="11"/>
  <c r="D509" i="11"/>
  <c r="D519" i="11"/>
  <c r="D213" i="11"/>
  <c r="D655" i="11"/>
  <c r="D751" i="11"/>
  <c r="D105" i="11"/>
  <c r="D579" i="11"/>
  <c r="D577" i="11"/>
  <c r="D243" i="11"/>
  <c r="D311" i="11"/>
  <c r="D228" i="11"/>
  <c r="D271" i="11"/>
  <c r="D464" i="11"/>
  <c r="D331" i="11"/>
  <c r="D427" i="11"/>
  <c r="D387" i="11"/>
  <c r="D1412" i="11"/>
  <c r="D444" i="11"/>
  <c r="D439" i="11"/>
  <c r="D120" i="11"/>
  <c r="D301" i="11"/>
  <c r="D743" i="11"/>
  <c r="D327" i="11"/>
  <c r="D632" i="11"/>
  <c r="D628" i="11"/>
  <c r="D203" i="11"/>
  <c r="D186" i="11"/>
  <c r="D219" i="11"/>
  <c r="D146" i="11"/>
  <c r="D242" i="11"/>
  <c r="D183" i="11"/>
  <c r="D693" i="11"/>
  <c r="D96" i="11"/>
  <c r="D556" i="11"/>
  <c r="D728" i="11"/>
  <c r="D92" i="11"/>
  <c r="D94" i="11"/>
  <c r="D491" i="11"/>
  <c r="D161" i="11"/>
  <c r="D90" i="11"/>
  <c r="D78" i="11"/>
  <c r="D663" i="11"/>
  <c r="D20" i="11"/>
  <c r="D16" i="11"/>
  <c r="D684" i="11"/>
  <c r="D507" i="11"/>
  <c r="D711" i="11"/>
  <c r="D23" i="11"/>
  <c r="D106" i="11"/>
  <c r="D93" i="11"/>
  <c r="D629" i="11"/>
  <c r="D21" i="11"/>
  <c r="D616" i="11"/>
  <c r="D12" i="11"/>
  <c r="D652" i="11"/>
  <c r="D40" i="11"/>
  <c r="D6" i="11"/>
  <c r="D763" i="11"/>
  <c r="D298" i="11"/>
  <c r="D634" i="11"/>
  <c r="D191" i="11"/>
  <c r="D164" i="11"/>
  <c r="D561" i="11"/>
  <c r="D38" i="11"/>
  <c r="D14" i="11"/>
  <c r="D1350" i="11"/>
  <c r="D1336" i="11"/>
  <c r="D1359" i="11"/>
  <c r="D1342" i="11"/>
  <c r="D1365" i="11"/>
  <c r="D1321" i="11"/>
  <c r="D321" i="11"/>
  <c r="D346" i="11"/>
  <c r="D562" i="11"/>
  <c r="D603" i="11"/>
  <c r="D600" i="11"/>
  <c r="D683" i="11"/>
  <c r="D617" i="11"/>
  <c r="D129" i="11"/>
  <c r="D236" i="11"/>
  <c r="D545" i="11"/>
  <c r="D97" i="11"/>
  <c r="D670" i="11"/>
  <c r="D1413" i="11"/>
  <c r="D182" i="11"/>
  <c r="D272" i="11"/>
  <c r="D656" i="11"/>
  <c r="D428" i="11"/>
  <c r="D657" i="11"/>
  <c r="D658" i="11"/>
  <c r="D607" i="11"/>
  <c r="D440" i="11"/>
  <c r="D446" i="11"/>
  <c r="D730" i="11"/>
  <c r="D332" i="11"/>
  <c r="D388" i="11"/>
  <c r="D675" i="11"/>
  <c r="D676" i="11"/>
  <c r="D677" i="11"/>
  <c r="D309" i="11"/>
  <c r="D558" i="11"/>
  <c r="D1419" i="11"/>
  <c r="D465" i="11"/>
  <c r="D580" i="11"/>
  <c r="D576" i="11"/>
  <c r="D226" i="11"/>
  <c r="D194" i="11"/>
  <c r="D664" i="11"/>
  <c r="D435" i="11"/>
  <c r="D615" i="11"/>
  <c r="D568" i="11"/>
  <c r="D302" i="11"/>
  <c r="D564" i="11"/>
  <c r="D160" i="11"/>
  <c r="D57" i="11"/>
  <c r="D377" i="11"/>
  <c r="D237" i="11"/>
  <c r="D689" i="11"/>
  <c r="D691" i="11"/>
  <c r="D528" i="11"/>
  <c r="D636" i="11"/>
  <c r="D416" i="11"/>
  <c r="D587" i="11"/>
  <c r="D717" i="11"/>
  <c r="D549" i="11"/>
  <c r="D297" i="11"/>
  <c r="D537" i="11"/>
  <c r="D299" i="11"/>
  <c r="D100" i="11"/>
  <c r="D110" i="11"/>
  <c r="D95" i="11"/>
  <c r="D722" i="11"/>
  <c r="D753" i="11"/>
  <c r="D60" i="11"/>
  <c r="D499" i="11"/>
  <c r="D500" i="11"/>
  <c r="D29" i="11"/>
  <c r="D317" i="11"/>
  <c r="D296" i="11"/>
  <c r="D9" i="11"/>
  <c r="D306" i="11"/>
  <c r="D520" i="11"/>
  <c r="D251" i="11"/>
  <c r="D518" i="11"/>
  <c r="D457" i="11"/>
  <c r="D355" i="11"/>
  <c r="D1334" i="11"/>
  <c r="D1340" i="11"/>
  <c r="D1363" i="11"/>
  <c r="D1357" i="11"/>
  <c r="D1345" i="11"/>
  <c r="D1338" i="11"/>
  <c r="D1361" i="11"/>
  <c r="D1355" i="11"/>
  <c r="D1332" i="11"/>
  <c r="D523" i="11"/>
  <c r="D1347" i="11"/>
  <c r="D1318" i="11"/>
  <c r="D294" i="11"/>
  <c r="D473" i="11"/>
  <c r="D261" i="11"/>
  <c r="D30" i="11"/>
  <c r="D721" i="11"/>
  <c r="D719" i="11"/>
  <c r="D79" i="11"/>
  <c r="D273" i="11"/>
  <c r="D624" i="11"/>
  <c r="D625" i="11"/>
  <c r="D755" i="11"/>
  <c r="D389" i="11"/>
  <c r="D441" i="11"/>
  <c r="D659" i="11"/>
  <c r="D660" i="11"/>
  <c r="D661" i="11"/>
  <c r="D1414" i="11"/>
  <c r="D252" i="11"/>
  <c r="D28" i="11"/>
  <c r="D429" i="11"/>
  <c r="D174" i="11"/>
  <c r="D436" i="11"/>
  <c r="D447" i="11"/>
  <c r="D368" i="11"/>
  <c r="D173" i="11"/>
  <c r="D225" i="11"/>
  <c r="D335" i="11"/>
  <c r="D458" i="11"/>
  <c r="D371" i="11"/>
  <c r="D361" i="11"/>
  <c r="D224" i="11"/>
  <c r="D563" i="11"/>
  <c r="D151" i="11"/>
  <c r="D1468" i="11"/>
  <c r="D58" i="11"/>
  <c r="D61" i="11"/>
  <c r="D372" i="11"/>
  <c r="D378" i="11"/>
  <c r="D727" i="11"/>
  <c r="D718" i="11"/>
  <c r="D662" i="11"/>
  <c r="D245" i="11"/>
  <c r="D314" i="11"/>
  <c r="D384" i="11"/>
  <c r="D407" i="11"/>
  <c r="D678" i="11"/>
  <c r="D679" i="11"/>
  <c r="D680" i="11"/>
  <c r="D401" i="11"/>
  <c r="D385" i="11"/>
  <c r="D396" i="11"/>
  <c r="D399" i="11"/>
  <c r="D404" i="11"/>
  <c r="D410" i="11"/>
  <c r="D412" i="11"/>
  <c r="D418" i="11"/>
  <c r="D422" i="11"/>
  <c r="D421" i="11"/>
  <c r="D414" i="11"/>
  <c r="D413" i="11"/>
  <c r="D408" i="11"/>
  <c r="D409" i="11"/>
  <c r="D405" i="11"/>
  <c r="D417" i="11"/>
  <c r="D423" i="11"/>
  <c r="D15" i="11"/>
  <c r="D477" i="11"/>
  <c r="D536" i="11"/>
  <c r="D459" i="11"/>
  <c r="D326" i="11"/>
  <c r="D357" i="11"/>
  <c r="D469" i="11"/>
  <c r="D723" i="11"/>
  <c r="D724" i="11"/>
  <c r="D725" i="11"/>
  <c r="D726" i="11"/>
  <c r="D419" i="11"/>
  <c r="D542" i="11"/>
  <c r="D532" i="11"/>
  <c r="D39" i="11"/>
  <c r="D604" i="11"/>
  <c r="D220" i="11"/>
  <c r="D370" i="11"/>
  <c r="D598" i="11"/>
  <c r="D601" i="11"/>
  <c r="D98" i="11"/>
  <c r="D7" i="11"/>
  <c r="D588" i="11"/>
  <c r="D589" i="11"/>
  <c r="D590" i="11"/>
  <c r="D592" i="11"/>
  <c r="D548" i="11"/>
  <c r="D550" i="11"/>
  <c r="D266" i="11"/>
  <c r="D31" i="11"/>
  <c r="D33" i="11"/>
  <c r="D35" i="11"/>
  <c r="D351" i="11"/>
  <c r="D570" i="11"/>
  <c r="D281" i="11"/>
  <c r="D286" i="11"/>
  <c r="D71" i="11"/>
  <c r="D614" i="11"/>
  <c r="D77" i="11"/>
  <c r="D710" i="11"/>
  <c r="D712" i="11"/>
  <c r="D69" i="11"/>
  <c r="D274" i="11"/>
  <c r="D1415" i="11"/>
  <c r="D551" i="11"/>
  <c r="D333" i="11"/>
  <c r="D430" i="11"/>
  <c r="D359" i="11"/>
  <c r="D347" i="11"/>
  <c r="D402" i="11"/>
  <c r="D767" i="11"/>
  <c r="D448" i="11"/>
  <c r="D324" i="11"/>
  <c r="D442" i="11"/>
  <c r="D552" i="11"/>
  <c r="D466" i="11"/>
  <c r="D262" i="11"/>
  <c r="D496" i="11"/>
  <c r="D529" i="11"/>
  <c r="D338" i="11"/>
  <c r="D620" i="11"/>
  <c r="D390" i="11"/>
  <c r="D640" i="11"/>
  <c r="D760" i="11"/>
  <c r="D415" i="11"/>
  <c r="D175" i="11"/>
  <c r="D470" i="11"/>
  <c r="D460" i="11"/>
  <c r="D638" i="11"/>
  <c r="D650" i="11"/>
  <c r="D188" i="11"/>
  <c r="D147" i="11"/>
  <c r="D1431" i="11"/>
  <c r="D214" i="11"/>
  <c r="D140" i="11"/>
  <c r="D107" i="11"/>
  <c r="D1432" i="11"/>
  <c r="D59" i="11"/>
  <c r="D62" i="11"/>
  <c r="D420" i="11"/>
  <c r="D394" i="11"/>
  <c r="D397" i="11"/>
  <c r="D165" i="11"/>
  <c r="D1436" i="11"/>
  <c r="D610" i="11"/>
  <c r="D336" i="11"/>
  <c r="D163" i="11"/>
  <c r="D379" i="11"/>
  <c r="D130" i="11"/>
  <c r="D1437" i="11"/>
  <c r="D606" i="11"/>
  <c r="D167" i="11"/>
  <c r="D540" i="11"/>
  <c r="D653" i="11"/>
  <c r="D1438" i="11"/>
  <c r="D11" i="11"/>
  <c r="D1439" i="11"/>
  <c r="D119" i="11"/>
  <c r="D1440" i="11"/>
  <c r="D232" i="11"/>
  <c r="D486" i="11"/>
  <c r="D483" i="11"/>
  <c r="D484" i="11"/>
  <c r="D485" i="11"/>
  <c r="D482" i="11"/>
  <c r="D481" i="11"/>
  <c r="D277" i="11"/>
  <c r="D287" i="11"/>
  <c r="D280" i="11"/>
  <c r="D1387" i="11"/>
  <c r="D437" i="11"/>
  <c r="D1441" i="11"/>
  <c r="D565" i="11"/>
  <c r="D315" i="11"/>
  <c r="D1442" i="11"/>
  <c r="D591" i="11"/>
  <c r="D584" i="11"/>
  <c r="D501" i="11"/>
  <c r="D18" i="11"/>
  <c r="D19" i="11"/>
  <c r="D17" i="11"/>
  <c r="D1433" i="11"/>
  <c r="D91" i="11"/>
  <c r="D356" i="11"/>
  <c r="D406" i="11"/>
  <c r="D716" i="11"/>
  <c r="D1434" i="11"/>
  <c r="D89" i="11"/>
  <c r="D85" i="11"/>
  <c r="D87" i="11"/>
  <c r="D478" i="11"/>
  <c r="D1435" i="11"/>
  <c r="D510" i="11"/>
  <c r="D134" i="11"/>
  <c r="D56" i="11"/>
  <c r="D1402" i="11"/>
  <c r="D70" i="11"/>
  <c r="D72" i="11"/>
  <c r="D176" i="11"/>
  <c r="D814" i="11"/>
  <c r="D391" i="11"/>
  <c r="D443" i="11"/>
  <c r="D445" i="11"/>
  <c r="D467" i="11"/>
  <c r="D766" i="11"/>
  <c r="D742" i="11"/>
  <c r="D431" i="11"/>
  <c r="D1416" i="11"/>
  <c r="D424" i="11"/>
  <c r="D395" i="11"/>
  <c r="D398" i="11"/>
  <c r="D400" i="11"/>
  <c r="D403" i="11"/>
  <c r="D360" i="11"/>
  <c r="D325" i="11"/>
  <c r="D758" i="11"/>
  <c r="D269" i="11"/>
  <c r="D334" i="11"/>
  <c r="D339" i="11"/>
  <c r="D681" i="11"/>
  <c r="D1443" i="11"/>
  <c r="D461" i="11"/>
  <c r="D609" i="11"/>
  <c r="D1447" i="11"/>
  <c r="D1448" i="11"/>
  <c r="D621" i="11"/>
  <c r="D263" i="11"/>
  <c r="D471" i="11"/>
  <c r="D63" i="11"/>
  <c r="D373" i="11"/>
  <c r="D51" i="11"/>
  <c r="D497" i="11"/>
  <c r="D380" i="11"/>
  <c r="D1449" i="11"/>
  <c r="D641" i="11"/>
  <c r="D608" i="11"/>
  <c r="D612" i="11"/>
  <c r="D1450" i="11"/>
  <c r="D278" i="11"/>
  <c r="D1451" i="11"/>
  <c r="D594" i="11"/>
  <c r="D66" i="11"/>
  <c r="D593" i="11"/>
  <c r="D1452" i="11"/>
  <c r="D162" i="11"/>
  <c r="D1453" i="11"/>
  <c r="D284" i="11"/>
  <c r="D288" i="11"/>
  <c r="D80" i="11"/>
  <c r="D27" i="11"/>
  <c r="D1454" i="11"/>
  <c r="D1444" i="11"/>
  <c r="D613" i="11"/>
  <c r="D574" i="11"/>
  <c r="D1445" i="11"/>
  <c r="D1446" i="11"/>
  <c r="D145" i="11"/>
  <c r="D75" i="11"/>
  <c r="D1417" i="11"/>
  <c r="D362" i="11"/>
  <c r="D323" i="11"/>
  <c r="D54" i="11"/>
  <c r="D73" i="11"/>
  <c r="D729" i="11"/>
  <c r="D352" i="11"/>
  <c r="D455" i="11"/>
  <c r="D596" i="11"/>
  <c r="D1455" i="11"/>
  <c r="D337" i="11"/>
  <c r="D267" i="11"/>
  <c r="D177" i="11"/>
  <c r="D392" i="11"/>
  <c r="D432" i="11"/>
  <c r="D449" i="11"/>
  <c r="D759" i="11"/>
  <c r="D765" i="11"/>
  <c r="D511" i="11"/>
  <c r="D654" i="11"/>
  <c r="D538" i="11"/>
  <c r="D1459" i="11"/>
  <c r="D155" i="11"/>
  <c r="D157" i="11"/>
  <c r="D605" i="11"/>
  <c r="D158" i="11"/>
  <c r="D685" i="11"/>
  <c r="D472" i="11"/>
  <c r="D1460" i="11"/>
  <c r="D64" i="11"/>
  <c r="D374" i="11"/>
  <c r="D52" i="11"/>
  <c r="D381" i="11"/>
  <c r="D212" i="11"/>
  <c r="D1461" i="11"/>
  <c r="D200" i="11"/>
  <c r="D1462" i="11"/>
  <c r="D190" i="11"/>
  <c r="D682" i="11"/>
  <c r="D354" i="11"/>
  <c r="D319" i="11"/>
  <c r="D275" i="11"/>
  <c r="D673" i="11"/>
  <c r="D1463" i="11"/>
  <c r="D276" i="11"/>
  <c r="D700" i="11"/>
  <c r="D1464" i="11"/>
  <c r="D285" i="11"/>
  <c r="D358" i="11"/>
  <c r="D345" i="11"/>
  <c r="D1465" i="11"/>
  <c r="D618" i="11"/>
  <c r="D26" i="11"/>
  <c r="D1466" i="11"/>
  <c r="D115" i="11"/>
  <c r="D148" i="11"/>
  <c r="D149" i="11"/>
  <c r="D150" i="11"/>
  <c r="D702" i="11"/>
  <c r="D571" i="11"/>
  <c r="D289" i="11"/>
  <c r="D572" i="11"/>
  <c r="D290" i="11"/>
  <c r="D573" i="11"/>
  <c r="D291" i="11"/>
  <c r="D282" i="11"/>
  <c r="D318" i="11"/>
  <c r="D666" i="11"/>
  <c r="D1456" i="11"/>
  <c r="D5" i="11"/>
  <c r="D159" i="11"/>
  <c r="D13" i="11"/>
  <c r="D411" i="11"/>
  <c r="D1457" i="11"/>
  <c r="D215" i="11"/>
  <c r="D705" i="11"/>
  <c r="D706" i="11"/>
  <c r="D1458" i="11"/>
  <c r="D238" i="11"/>
  <c r="D611" i="11"/>
  <c r="D55" i="11"/>
  <c r="D74" i="11"/>
  <c r="D76" i="11"/>
  <c r="D546" i="11"/>
  <c r="D672" i="11"/>
  <c r="D363" i="11"/>
  <c r="D1418" i="11"/>
  <c r="D67" i="11"/>
  <c r="D1470" i="11"/>
  <c r="D279" i="11"/>
  <c r="D456" i="11"/>
  <c r="D450" i="11"/>
  <c r="D393" i="11"/>
  <c r="D453" i="11"/>
  <c r="D218" i="11"/>
  <c r="D217" i="11"/>
  <c r="D196" i="11"/>
  <c r="D195" i="11"/>
  <c r="D595" i="11"/>
  <c r="D353" i="11"/>
  <c r="D268" i="11"/>
  <c r="D433" i="11"/>
  <c r="D8" i="11"/>
  <c r="D10" i="11"/>
  <c r="D701" i="11"/>
  <c r="D703" i="11"/>
  <c r="D704" i="11"/>
  <c r="D642" i="11"/>
  <c r="D645" i="11"/>
  <c r="D116" i="11"/>
  <c r="D669" i="11"/>
  <c r="D668" i="11"/>
  <c r="D671" i="11"/>
  <c r="D154" i="11"/>
  <c r="D156" i="11"/>
  <c r="D533" i="11"/>
  <c r="D534" i="11"/>
  <c r="D108" i="11"/>
  <c r="D121" i="11"/>
  <c r="D690" i="11"/>
  <c r="D1471" i="11"/>
  <c r="D104" i="11"/>
  <c r="D53" i="11"/>
  <c r="D382" i="11"/>
  <c r="D65" i="11"/>
  <c r="D375" i="11"/>
  <c r="D462" i="11"/>
  <c r="D426" i="11"/>
  <c r="D283" i="11"/>
  <c r="AA464" i="13" l="1" a="1"/>
  <c r="AA464" i="13" s="1"/>
  <c r="Y465" i="13"/>
  <c r="Y457" i="13"/>
  <c r="Y449" i="13"/>
  <c r="Y417" i="13"/>
  <c r="Y409" i="13"/>
  <c r="Y401" i="13"/>
  <c r="Y393" i="13"/>
  <c r="Y385" i="13"/>
  <c r="Y329" i="13"/>
  <c r="Y321" i="13"/>
  <c r="Y305" i="13"/>
  <c r="Y297" i="13"/>
  <c r="Y289" i="13"/>
  <c r="Y281" i="13"/>
  <c r="Y273" i="13"/>
  <c r="Y265" i="13"/>
  <c r="Y257" i="13"/>
  <c r="Y249" i="13"/>
  <c r="Y177" i="13"/>
  <c r="Y169" i="13"/>
  <c r="Y161" i="13"/>
  <c r="Y153" i="13"/>
  <c r="Y145" i="13"/>
  <c r="Y137" i="13"/>
  <c r="Y129" i="13"/>
  <c r="Y121" i="13"/>
  <c r="Y113" i="13"/>
  <c r="Y73" i="13"/>
  <c r="Y65" i="13"/>
  <c r="Y57" i="13"/>
  <c r="Y49" i="13"/>
  <c r="Y163" i="13"/>
  <c r="Y123" i="13"/>
  <c r="Y441" i="13"/>
  <c r="Y433" i="13"/>
  <c r="Y425" i="13"/>
  <c r="Y377" i="13"/>
  <c r="Y369" i="13"/>
  <c r="Y361" i="13"/>
  <c r="Y353" i="13"/>
  <c r="Y345" i="13"/>
  <c r="Y337" i="13"/>
  <c r="Y313" i="13"/>
  <c r="Y241" i="13"/>
  <c r="Y233" i="13"/>
  <c r="Y225" i="13"/>
  <c r="Y217" i="13"/>
  <c r="Y209" i="13"/>
  <c r="Y201" i="13"/>
  <c r="Y193" i="13"/>
  <c r="Y185" i="13"/>
  <c r="Y371" i="13"/>
  <c r="Y243" i="13"/>
  <c r="Y104" i="13"/>
  <c r="Y3" i="13"/>
  <c r="Y355" i="13"/>
  <c r="Y227" i="13"/>
  <c r="Y82" i="13"/>
  <c r="Y467" i="13"/>
  <c r="Y339" i="13"/>
  <c r="Y211" i="13"/>
  <c r="Y451" i="13"/>
  <c r="Y323" i="13"/>
  <c r="Y195" i="13"/>
  <c r="Y40" i="13"/>
  <c r="Y435" i="13"/>
  <c r="Y307" i="13"/>
  <c r="Y179" i="13"/>
  <c r="Y18" i="13"/>
  <c r="Y419" i="13"/>
  <c r="Y291" i="13"/>
  <c r="Y403" i="13"/>
  <c r="Y275" i="13"/>
  <c r="Y105" i="13"/>
  <c r="Y97" i="13"/>
  <c r="Y89" i="13"/>
  <c r="Y81" i="13"/>
  <c r="Y41" i="13"/>
  <c r="Y33" i="13"/>
  <c r="Y25" i="13"/>
  <c r="Y17" i="13"/>
  <c r="Y220" i="13"/>
  <c r="Y228" i="13"/>
  <c r="Y236" i="13"/>
  <c r="Y244" i="13"/>
  <c r="Y252" i="13"/>
  <c r="Y260" i="13"/>
  <c r="Y268" i="13"/>
  <c r="Y276" i="13"/>
  <c r="Y284" i="13"/>
  <c r="Y292" i="13"/>
  <c r="Y300" i="13"/>
  <c r="Y308" i="13"/>
  <c r="Y316" i="13"/>
  <c r="Y324" i="13"/>
  <c r="Y332" i="13"/>
  <c r="Y340" i="13"/>
  <c r="Y348" i="13"/>
  <c r="Y356" i="13"/>
  <c r="Y364" i="13"/>
  <c r="Y372" i="13"/>
  <c r="Y380" i="13"/>
  <c r="Y388" i="13"/>
  <c r="Y396" i="13"/>
  <c r="Y404" i="13"/>
  <c r="Y412" i="13"/>
  <c r="Y420" i="13"/>
  <c r="Y428" i="13"/>
  <c r="Y436" i="13"/>
  <c r="Y444" i="13"/>
  <c r="Y452" i="13"/>
  <c r="Y460" i="13"/>
  <c r="Y468" i="13"/>
  <c r="Y29" i="13"/>
  <c r="Y37" i="13"/>
  <c r="Y45" i="13"/>
  <c r="Y53" i="13"/>
  <c r="Y61" i="13"/>
  <c r="Y69" i="13"/>
  <c r="Y77" i="13"/>
  <c r="Y85" i="13"/>
  <c r="Y93" i="13"/>
  <c r="Y101" i="13"/>
  <c r="Y109" i="13"/>
  <c r="Y117" i="13"/>
  <c r="Y125" i="13"/>
  <c r="Y133" i="13"/>
  <c r="Y141" i="13"/>
  <c r="Y149" i="13"/>
  <c r="Y157" i="13"/>
  <c r="Y165" i="13"/>
  <c r="Y173" i="13"/>
  <c r="Y181" i="13"/>
  <c r="Y189" i="13"/>
  <c r="Y197" i="13"/>
  <c r="Y205" i="13"/>
  <c r="Y213" i="13"/>
  <c r="Y221" i="13"/>
  <c r="Y229" i="13"/>
  <c r="Y237" i="13"/>
  <c r="Y245" i="13"/>
  <c r="Y253" i="13"/>
  <c r="Y261" i="13"/>
  <c r="Y269" i="13"/>
  <c r="Y277" i="13"/>
  <c r="Y285" i="13"/>
  <c r="Y293" i="13"/>
  <c r="Y301" i="13"/>
  <c r="Y309" i="13"/>
  <c r="Y317" i="13"/>
  <c r="Y325" i="13"/>
  <c r="Y333" i="13"/>
  <c r="Y341" i="13"/>
  <c r="Y349" i="13"/>
  <c r="Y357" i="13"/>
  <c r="Y365" i="13"/>
  <c r="Y373" i="13"/>
  <c r="Y381" i="13"/>
  <c r="Y389" i="13"/>
  <c r="Y397" i="13"/>
  <c r="Y405" i="13"/>
  <c r="Y413" i="13"/>
  <c r="Y421" i="13"/>
  <c r="Y429" i="13"/>
  <c r="Y437" i="13"/>
  <c r="Y445" i="13"/>
  <c r="Y453" i="13"/>
  <c r="Y461" i="13"/>
  <c r="Y14" i="13"/>
  <c r="Y22" i="13"/>
  <c r="Y30" i="13"/>
  <c r="Y38" i="13"/>
  <c r="Y46" i="13"/>
  <c r="Y54" i="13"/>
  <c r="Y62" i="13"/>
  <c r="Y70" i="13"/>
  <c r="Y78" i="13"/>
  <c r="Y86" i="13"/>
  <c r="Y94" i="13"/>
  <c r="Y102" i="13"/>
  <c r="Y110" i="13"/>
  <c r="Y118" i="13"/>
  <c r="Y126" i="13"/>
  <c r="Y134" i="13"/>
  <c r="Y142" i="13"/>
  <c r="Y150" i="13"/>
  <c r="Y223" i="13"/>
  <c r="Y231" i="13"/>
  <c r="Y239" i="13"/>
  <c r="Y247" i="13"/>
  <c r="Y255" i="13"/>
  <c r="Y263" i="13"/>
  <c r="Y271" i="13"/>
  <c r="Y279" i="13"/>
  <c r="Y287" i="13"/>
  <c r="Y295" i="13"/>
  <c r="Y303" i="13"/>
  <c r="Y311" i="13"/>
  <c r="Y319" i="13"/>
  <c r="Y327" i="13"/>
  <c r="Y335" i="13"/>
  <c r="Y343" i="13"/>
  <c r="Y351" i="13"/>
  <c r="Y359" i="13"/>
  <c r="Y367" i="13"/>
  <c r="Y375" i="13"/>
  <c r="Y383" i="13"/>
  <c r="Y391" i="13"/>
  <c r="Y399" i="13"/>
  <c r="Y407" i="13"/>
  <c r="Y415" i="13"/>
  <c r="Y423" i="13"/>
  <c r="Y431" i="13"/>
  <c r="Y439" i="13"/>
  <c r="Y447" i="13"/>
  <c r="Y455" i="13"/>
  <c r="Y463" i="13"/>
  <c r="Y9" i="13"/>
  <c r="Y466" i="13"/>
  <c r="Y450" i="13"/>
  <c r="Y434" i="13"/>
  <c r="Y418" i="13"/>
  <c r="Y402" i="13"/>
  <c r="Y386" i="13"/>
  <c r="Y370" i="13"/>
  <c r="Y354" i="13"/>
  <c r="Y338" i="13"/>
  <c r="Y322" i="13"/>
  <c r="Y306" i="13"/>
  <c r="Y290" i="13"/>
  <c r="Y274" i="13"/>
  <c r="Y258" i="13"/>
  <c r="Y242" i="13"/>
  <c r="Y226" i="13"/>
  <c r="Y210" i="13"/>
  <c r="Y194" i="13"/>
  <c r="Y178" i="13"/>
  <c r="Y162" i="13"/>
  <c r="Y144" i="13"/>
  <c r="Y122" i="13"/>
  <c r="Y99" i="13"/>
  <c r="Y80" i="13"/>
  <c r="Y58" i="13"/>
  <c r="Y35" i="13"/>
  <c r="Y16" i="13"/>
  <c r="Y2" i="13"/>
  <c r="Y4" i="13"/>
  <c r="Y464" i="13"/>
  <c r="Y448" i="13"/>
  <c r="Y432" i="13"/>
  <c r="Y416" i="13"/>
  <c r="Y400" i="13"/>
  <c r="Y384" i="13"/>
  <c r="Y368" i="13"/>
  <c r="Y352" i="13"/>
  <c r="Y336" i="13"/>
  <c r="Y320" i="13"/>
  <c r="Y304" i="13"/>
  <c r="Y288" i="13"/>
  <c r="Y272" i="13"/>
  <c r="Y256" i="13"/>
  <c r="Y240" i="13"/>
  <c r="Y224" i="13"/>
  <c r="Y208" i="13"/>
  <c r="Y192" i="13"/>
  <c r="Y176" i="13"/>
  <c r="Y160" i="13"/>
  <c r="Y139" i="13"/>
  <c r="Y120" i="13"/>
  <c r="Y98" i="13"/>
  <c r="Y75" i="13"/>
  <c r="Y56" i="13"/>
  <c r="Y34" i="13"/>
  <c r="Y11" i="13"/>
  <c r="Y462" i="13"/>
  <c r="Y446" i="13"/>
  <c r="Y430" i="13"/>
  <c r="Y414" i="13"/>
  <c r="Y398" i="13"/>
  <c r="Y382" i="13"/>
  <c r="Y366" i="13"/>
  <c r="Y350" i="13"/>
  <c r="Y334" i="13"/>
  <c r="Y318" i="13"/>
  <c r="Y302" i="13"/>
  <c r="Y286" i="13"/>
  <c r="Y270" i="13"/>
  <c r="Y254" i="13"/>
  <c r="Y238" i="13"/>
  <c r="Y222" i="13"/>
  <c r="Y206" i="13"/>
  <c r="Y190" i="13"/>
  <c r="Y174" i="13"/>
  <c r="Y158" i="13"/>
  <c r="Y138" i="13"/>
  <c r="Y115" i="13"/>
  <c r="Y96" i="13"/>
  <c r="Y74" i="13"/>
  <c r="Y51" i="13"/>
  <c r="Y32" i="13"/>
  <c r="Y10" i="13"/>
  <c r="Y459" i="13"/>
  <c r="Y443" i="13"/>
  <c r="Y427" i="13"/>
  <c r="Y411" i="13"/>
  <c r="Y395" i="13"/>
  <c r="Y379" i="13"/>
  <c r="Y363" i="13"/>
  <c r="Y347" i="13"/>
  <c r="Y331" i="13"/>
  <c r="Y315" i="13"/>
  <c r="Y299" i="13"/>
  <c r="Y283" i="13"/>
  <c r="Y267" i="13"/>
  <c r="Y251" i="13"/>
  <c r="Y235" i="13"/>
  <c r="Y219" i="13"/>
  <c r="Y203" i="13"/>
  <c r="Y187" i="13"/>
  <c r="Y171" i="13"/>
  <c r="Y155" i="13"/>
  <c r="Y136" i="13"/>
  <c r="Y114" i="13"/>
  <c r="Y91" i="13"/>
  <c r="Y72" i="13"/>
  <c r="Y50" i="13"/>
  <c r="Y27" i="13"/>
  <c r="Y8" i="13"/>
  <c r="Y458" i="13"/>
  <c r="Y442" i="13"/>
  <c r="Y426" i="13"/>
  <c r="Y410" i="13"/>
  <c r="Y394" i="13"/>
  <c r="Y378" i="13"/>
  <c r="Y362" i="13"/>
  <c r="Y346" i="13"/>
  <c r="Y330" i="13"/>
  <c r="Y314" i="13"/>
  <c r="Y298" i="13"/>
  <c r="Y282" i="13"/>
  <c r="Y266" i="13"/>
  <c r="Y250" i="13"/>
  <c r="Y234" i="13"/>
  <c r="Y218" i="13"/>
  <c r="Y202" i="13"/>
  <c r="Y186" i="13"/>
  <c r="Y170" i="13"/>
  <c r="Y154" i="13"/>
  <c r="Y131" i="13"/>
  <c r="Y112" i="13"/>
  <c r="Y90" i="13"/>
  <c r="Y67" i="13"/>
  <c r="Y48" i="13"/>
  <c r="Y26" i="13"/>
  <c r="Y456" i="13"/>
  <c r="Y440" i="13"/>
  <c r="Y424" i="13"/>
  <c r="Y408" i="13"/>
  <c r="Y392" i="13"/>
  <c r="Y376" i="13"/>
  <c r="Y360" i="13"/>
  <c r="Y344" i="13"/>
  <c r="Y328" i="13"/>
  <c r="Y312" i="13"/>
  <c r="Y296" i="13"/>
  <c r="Y280" i="13"/>
  <c r="Y264" i="13"/>
  <c r="Y248" i="13"/>
  <c r="Y232" i="13"/>
  <c r="Y216" i="13"/>
  <c r="Y200" i="13"/>
  <c r="Y184" i="13"/>
  <c r="Y168" i="13"/>
  <c r="Y152" i="13"/>
  <c r="Y130" i="13"/>
  <c r="Y107" i="13"/>
  <c r="Y88" i="13"/>
  <c r="Y66" i="13"/>
  <c r="Y43" i="13"/>
  <c r="Y24" i="13"/>
  <c r="Y454" i="13"/>
  <c r="Y438" i="13"/>
  <c r="Y422" i="13"/>
  <c r="Y406" i="13"/>
  <c r="Y390" i="13"/>
  <c r="Y374" i="13"/>
  <c r="Y358" i="13"/>
  <c r="Y342" i="13"/>
  <c r="Y326" i="13"/>
  <c r="Y310" i="13"/>
  <c r="Y294" i="13"/>
  <c r="Y278" i="13"/>
  <c r="Y262" i="13"/>
  <c r="Y246" i="13"/>
  <c r="Y230" i="13"/>
  <c r="Y214" i="13"/>
  <c r="Y198" i="13"/>
  <c r="Y182" i="13"/>
  <c r="Y166" i="13"/>
  <c r="Y147" i="13"/>
  <c r="Y128" i="13"/>
  <c r="Y106" i="13"/>
  <c r="Y83" i="13"/>
  <c r="Y64" i="13"/>
  <c r="Y42" i="13"/>
  <c r="Y19" i="13"/>
  <c r="Y215" i="13"/>
  <c r="Y207" i="13"/>
  <c r="Y199" i="13"/>
  <c r="Y191" i="13"/>
  <c r="Y183" i="13"/>
  <c r="Y175" i="13"/>
  <c r="Y167" i="13"/>
  <c r="Y159" i="13"/>
  <c r="Y151" i="13"/>
  <c r="Y143" i="13"/>
  <c r="Y135" i="13"/>
  <c r="Y127" i="13"/>
  <c r="Y119" i="13"/>
  <c r="Y111" i="13"/>
  <c r="Y103" i="13"/>
  <c r="Y95" i="13"/>
  <c r="Y87" i="13"/>
  <c r="Y79" i="13"/>
  <c r="Y71" i="13"/>
  <c r="Y63" i="13"/>
  <c r="Y55" i="13"/>
  <c r="Y47" i="13"/>
  <c r="Y39" i="13"/>
  <c r="Y31" i="13"/>
  <c r="Y23" i="13"/>
  <c r="Y15" i="13"/>
  <c r="Y21" i="13"/>
  <c r="Y13" i="13"/>
  <c r="Y212" i="13"/>
  <c r="Y204" i="13"/>
  <c r="Y196" i="13"/>
  <c r="Y188" i="13"/>
  <c r="Y180" i="13"/>
  <c r="Y172" i="13"/>
  <c r="Y164" i="13"/>
  <c r="Y156" i="13"/>
  <c r="Y148" i="13"/>
  <c r="Y140" i="13"/>
  <c r="Y132" i="13"/>
  <c r="Y124" i="13"/>
  <c r="Y116" i="13"/>
  <c r="Y108" i="13"/>
  <c r="Y100" i="13"/>
  <c r="Y92" i="13"/>
  <c r="Y84" i="13"/>
  <c r="Y76" i="13"/>
  <c r="Y68" i="13"/>
  <c r="Y60" i="13"/>
  <c r="Y52" i="13"/>
  <c r="Y44" i="13"/>
  <c r="Y36" i="13"/>
  <c r="Y28" i="13"/>
  <c r="Y20" i="13"/>
  <c r="Y12" i="13"/>
  <c r="G8" i="16" a="1"/>
  <c r="G8" i="16" s="1"/>
  <c r="F8" i="16" a="1"/>
  <c r="F8" i="16" s="1"/>
  <c r="G543" i="17" l="1"/>
  <c r="F543" i="17"/>
  <c r="G542" i="17"/>
  <c r="F542" i="17"/>
  <c r="G541" i="17"/>
  <c r="F541" i="17"/>
  <c r="G540" i="17"/>
  <c r="F540" i="17"/>
  <c r="G539" i="17"/>
  <c r="F539" i="17"/>
  <c r="G538" i="17"/>
  <c r="F538" i="17"/>
  <c r="G537" i="17"/>
  <c r="F537" i="17"/>
  <c r="G536" i="17"/>
  <c r="F536" i="17"/>
  <c r="G535" i="17"/>
  <c r="F535" i="17"/>
  <c r="G534" i="17"/>
  <c r="F534" i="17"/>
  <c r="G533" i="17"/>
  <c r="F533" i="17"/>
  <c r="G532" i="17"/>
  <c r="F532" i="17"/>
  <c r="G531" i="17"/>
  <c r="F531" i="17"/>
  <c r="G530" i="17"/>
  <c r="F530" i="17"/>
  <c r="G529" i="17"/>
  <c r="F529" i="17"/>
  <c r="G528" i="17"/>
  <c r="F528" i="17"/>
  <c r="G527" i="17"/>
  <c r="F527" i="17"/>
  <c r="G526" i="17"/>
  <c r="F526" i="17"/>
  <c r="G525" i="17"/>
  <c r="F525" i="17"/>
  <c r="G524" i="17"/>
  <c r="F524" i="17"/>
  <c r="G523" i="17"/>
  <c r="F523" i="17"/>
  <c r="G522" i="17"/>
  <c r="F522" i="17"/>
  <c r="G521" i="17"/>
  <c r="F521" i="17"/>
  <c r="G520" i="17"/>
  <c r="F520" i="17"/>
  <c r="G519" i="17"/>
  <c r="F519" i="17"/>
  <c r="G518" i="17"/>
  <c r="F518" i="17"/>
  <c r="G517" i="17"/>
  <c r="F517" i="17"/>
  <c r="G516" i="17"/>
  <c r="F516" i="17"/>
  <c r="G515" i="17"/>
  <c r="F515" i="17"/>
  <c r="G514" i="17"/>
  <c r="F514" i="17"/>
  <c r="G513" i="17"/>
  <c r="F513" i="17"/>
  <c r="G512" i="17"/>
  <c r="F512" i="17"/>
  <c r="G511" i="17"/>
  <c r="F511" i="17"/>
  <c r="G510" i="17"/>
  <c r="F510" i="17"/>
  <c r="G509" i="17"/>
  <c r="F509" i="17"/>
  <c r="G508" i="17"/>
  <c r="F508" i="17"/>
  <c r="G507" i="17"/>
  <c r="F507" i="17"/>
  <c r="G506" i="17"/>
  <c r="F506" i="17"/>
  <c r="G505" i="17"/>
  <c r="F505" i="17"/>
  <c r="G504" i="17"/>
  <c r="F504" i="17"/>
  <c r="G503" i="17"/>
  <c r="F503" i="17"/>
  <c r="G502" i="17"/>
  <c r="F502" i="17"/>
  <c r="G501" i="17"/>
  <c r="F501" i="17"/>
  <c r="G500" i="17"/>
  <c r="F500" i="17"/>
  <c r="G499" i="17"/>
  <c r="F499" i="17"/>
  <c r="G498" i="17"/>
  <c r="F498" i="17"/>
  <c r="G497" i="17"/>
  <c r="F497" i="17"/>
  <c r="E511" i="17"/>
  <c r="E515" i="17" s="1"/>
  <c r="E519" i="17" s="1"/>
  <c r="E523" i="17" s="1"/>
  <c r="E527" i="17" s="1"/>
  <c r="E531" i="17" s="1"/>
  <c r="E535" i="17" s="1"/>
  <c r="E539" i="17" s="1"/>
  <c r="E543" i="17" s="1"/>
  <c r="E507" i="17"/>
  <c r="E503" i="17"/>
  <c r="E502" i="17"/>
  <c r="E506" i="17" s="1"/>
  <c r="E510" i="17" s="1"/>
  <c r="E514" i="17" s="1"/>
  <c r="E518" i="17" s="1"/>
  <c r="E522" i="17" s="1"/>
  <c r="E526" i="17" s="1"/>
  <c r="E530" i="17" s="1"/>
  <c r="E534" i="17" s="1"/>
  <c r="E538" i="17" s="1"/>
  <c r="E542" i="17" s="1"/>
  <c r="E501" i="17"/>
  <c r="E505" i="17" s="1"/>
  <c r="E509" i="17" s="1"/>
  <c r="E513" i="17" s="1"/>
  <c r="E517" i="17" s="1"/>
  <c r="E521" i="17" s="1"/>
  <c r="E525" i="17" s="1"/>
  <c r="E529" i="17" s="1"/>
  <c r="E533" i="17" s="1"/>
  <c r="E537" i="17" s="1"/>
  <c r="E541" i="17" s="1"/>
  <c r="E500" i="17"/>
  <c r="E504" i="17" s="1"/>
  <c r="E508" i="17" s="1"/>
  <c r="E512" i="17" s="1"/>
  <c r="E516" i="17" s="1"/>
  <c r="E520" i="17" s="1"/>
  <c r="E524" i="17" s="1"/>
  <c r="E528" i="17" s="1"/>
  <c r="E532" i="17" s="1"/>
  <c r="E536" i="17" s="1"/>
  <c r="E540" i="17" s="1"/>
  <c r="F496" i="17"/>
  <c r="G496" i="17"/>
  <c r="K543" i="17"/>
  <c r="J543" i="17"/>
  <c r="K542" i="17"/>
  <c r="J542" i="17"/>
  <c r="K541" i="17"/>
  <c r="J541" i="17"/>
  <c r="K540" i="17"/>
  <c r="J540" i="17"/>
  <c r="K539" i="17"/>
  <c r="J539" i="17"/>
  <c r="K538" i="17"/>
  <c r="J538" i="17"/>
  <c r="K537" i="17"/>
  <c r="J537" i="17"/>
  <c r="K536" i="17"/>
  <c r="J536" i="17"/>
  <c r="K535" i="17"/>
  <c r="J535" i="17"/>
  <c r="K534" i="17"/>
  <c r="J534" i="17"/>
  <c r="K533" i="17"/>
  <c r="J533" i="17"/>
  <c r="K532" i="17"/>
  <c r="J532" i="17"/>
  <c r="K531" i="17"/>
  <c r="J531" i="17"/>
  <c r="K530" i="17"/>
  <c r="J530" i="17"/>
  <c r="K529" i="17"/>
  <c r="J529" i="17"/>
  <c r="K528" i="17"/>
  <c r="J528" i="17"/>
  <c r="K527" i="17"/>
  <c r="J527" i="17"/>
  <c r="K526" i="17"/>
  <c r="J526" i="17"/>
  <c r="K525" i="17"/>
  <c r="J525" i="17"/>
  <c r="K524" i="17"/>
  <c r="J524" i="17"/>
  <c r="K523" i="17"/>
  <c r="J523" i="17"/>
  <c r="K522" i="17"/>
  <c r="J522" i="17"/>
  <c r="K521" i="17"/>
  <c r="J521" i="17"/>
  <c r="K520" i="17"/>
  <c r="J520" i="17"/>
  <c r="K519" i="17"/>
  <c r="J519" i="17"/>
  <c r="K518" i="17"/>
  <c r="J518" i="17"/>
  <c r="K517" i="17"/>
  <c r="J517" i="17"/>
  <c r="K516" i="17"/>
  <c r="J516" i="17"/>
  <c r="K515" i="17"/>
  <c r="J515" i="17"/>
  <c r="K514" i="17"/>
  <c r="J514" i="17"/>
  <c r="K513" i="17"/>
  <c r="J513" i="17"/>
  <c r="K512" i="17"/>
  <c r="J512" i="17"/>
  <c r="K511" i="17"/>
  <c r="J511" i="17"/>
  <c r="K510" i="17"/>
  <c r="J510" i="17"/>
  <c r="K509" i="17"/>
  <c r="J509" i="17"/>
  <c r="K508" i="17"/>
  <c r="J508" i="17"/>
  <c r="K507" i="17"/>
  <c r="J507" i="17"/>
  <c r="K506" i="17"/>
  <c r="J506" i="17"/>
  <c r="K505" i="17"/>
  <c r="J505" i="17"/>
  <c r="K504" i="17"/>
  <c r="J504" i="17"/>
  <c r="K503" i="17"/>
  <c r="J503" i="17"/>
  <c r="K502" i="17"/>
  <c r="J502" i="17"/>
  <c r="K501" i="17"/>
  <c r="J501" i="17"/>
  <c r="K500" i="17"/>
  <c r="J500" i="17"/>
  <c r="K499" i="17"/>
  <c r="J499" i="17"/>
  <c r="K498" i="17"/>
  <c r="J498" i="17"/>
  <c r="K497" i="17"/>
  <c r="J497" i="17"/>
  <c r="K496" i="17"/>
  <c r="J496" i="17"/>
  <c r="K495" i="17"/>
  <c r="J495" i="17"/>
  <c r="G495" i="17"/>
  <c r="K494" i="17"/>
  <c r="J494" i="17"/>
  <c r="G494" i="17"/>
  <c r="K493" i="17"/>
  <c r="J493" i="17"/>
  <c r="G493" i="17"/>
  <c r="K492" i="17"/>
  <c r="J492" i="17"/>
  <c r="G492" i="17"/>
  <c r="K491" i="17"/>
  <c r="J491" i="17"/>
  <c r="G491" i="17"/>
  <c r="K490" i="17"/>
  <c r="J490" i="17"/>
  <c r="G490" i="17"/>
  <c r="K489" i="17"/>
  <c r="J489" i="17"/>
  <c r="G489" i="17"/>
  <c r="K488" i="17"/>
  <c r="J488" i="17"/>
  <c r="G488" i="17"/>
  <c r="K487" i="17"/>
  <c r="J487" i="17"/>
  <c r="G487" i="17"/>
  <c r="K486" i="17"/>
  <c r="J486" i="17"/>
  <c r="G486" i="17"/>
  <c r="K485" i="17"/>
  <c r="J485" i="17"/>
  <c r="G485" i="17"/>
  <c r="K484" i="17"/>
  <c r="J484" i="17"/>
  <c r="G484" i="17"/>
  <c r="K483" i="17"/>
  <c r="J483" i="17"/>
  <c r="G483" i="17"/>
  <c r="K482" i="17"/>
  <c r="J482" i="17"/>
  <c r="G482" i="17"/>
  <c r="K481" i="17"/>
  <c r="J481" i="17"/>
  <c r="G481" i="17"/>
  <c r="K480" i="17"/>
  <c r="J480" i="17"/>
  <c r="G480" i="17"/>
  <c r="K479" i="17"/>
  <c r="J479" i="17"/>
  <c r="G479" i="17"/>
  <c r="K478" i="17"/>
  <c r="J478" i="17"/>
  <c r="G478" i="17"/>
  <c r="K477" i="17"/>
  <c r="J477" i="17"/>
  <c r="G477" i="17"/>
  <c r="K476" i="17"/>
  <c r="J476" i="17"/>
  <c r="G476" i="17"/>
  <c r="K475" i="17"/>
  <c r="J475" i="17"/>
  <c r="G475" i="17"/>
  <c r="K474" i="17"/>
  <c r="J474" i="17"/>
  <c r="G474" i="17"/>
  <c r="K473" i="17"/>
  <c r="J473" i="17"/>
  <c r="G473" i="17"/>
  <c r="K472" i="17"/>
  <c r="J472" i="17"/>
  <c r="G472" i="17"/>
  <c r="K471" i="17"/>
  <c r="J471" i="17"/>
  <c r="G471" i="17"/>
  <c r="K470" i="17"/>
  <c r="J470" i="17"/>
  <c r="G470" i="17"/>
  <c r="K469" i="17"/>
  <c r="J469" i="17"/>
  <c r="G469" i="17"/>
  <c r="K468" i="17"/>
  <c r="J468" i="17"/>
  <c r="G468" i="17"/>
  <c r="K467" i="17"/>
  <c r="J467" i="17"/>
  <c r="G467" i="17"/>
  <c r="K466" i="17"/>
  <c r="J466" i="17"/>
  <c r="G466" i="17"/>
  <c r="K465" i="17"/>
  <c r="J465" i="17"/>
  <c r="G465" i="17"/>
  <c r="K464" i="17"/>
  <c r="J464" i="17"/>
  <c r="G464" i="17"/>
  <c r="K463" i="17"/>
  <c r="J463" i="17"/>
  <c r="G463" i="17"/>
  <c r="K462" i="17"/>
  <c r="J462" i="17"/>
  <c r="G462" i="17"/>
  <c r="K461" i="17"/>
  <c r="J461" i="17"/>
  <c r="G461" i="17"/>
  <c r="K460" i="17"/>
  <c r="J460" i="17"/>
  <c r="G460" i="17"/>
  <c r="K459" i="17"/>
  <c r="J459" i="17"/>
  <c r="G459" i="17"/>
  <c r="E459" i="17"/>
  <c r="F459" i="17" s="1"/>
  <c r="K458" i="17"/>
  <c r="J458" i="17"/>
  <c r="G458" i="17"/>
  <c r="K457" i="17"/>
  <c r="J457" i="17"/>
  <c r="G457" i="17"/>
  <c r="K456" i="17"/>
  <c r="J456" i="17"/>
  <c r="G456" i="17"/>
  <c r="E456" i="17"/>
  <c r="F456" i="17" s="1"/>
  <c r="K455" i="17"/>
  <c r="J455" i="17"/>
  <c r="G455" i="17"/>
  <c r="F455" i="17"/>
  <c r="E455" i="17"/>
  <c r="K454" i="17"/>
  <c r="J454" i="17"/>
  <c r="G454" i="17"/>
  <c r="E454" i="17"/>
  <c r="F454" i="17" s="1"/>
  <c r="K453" i="17"/>
  <c r="J453" i="17"/>
  <c r="G453" i="17"/>
  <c r="E453" i="17"/>
  <c r="E457" i="17" s="1"/>
  <c r="K452" i="17"/>
  <c r="J452" i="17"/>
  <c r="G452" i="17"/>
  <c r="E452" i="17"/>
  <c r="F452" i="17" s="1"/>
  <c r="K451" i="17"/>
  <c r="J451" i="17"/>
  <c r="G451" i="17"/>
  <c r="F451" i="17"/>
  <c r="K450" i="17"/>
  <c r="J450" i="17"/>
  <c r="G450" i="17"/>
  <c r="F450" i="17"/>
  <c r="K449" i="17"/>
  <c r="J449" i="17"/>
  <c r="G449" i="17"/>
  <c r="F449" i="17"/>
  <c r="K448" i="17"/>
  <c r="J448" i="17"/>
  <c r="G448" i="17"/>
  <c r="F448" i="17"/>
  <c r="F457" i="17" l="1"/>
  <c r="E461" i="17"/>
  <c r="E460" i="17"/>
  <c r="F453" i="17"/>
  <c r="E458" i="17"/>
  <c r="E463" i="17"/>
  <c r="E467" i="17" l="1"/>
  <c r="F463" i="17"/>
  <c r="E462" i="17"/>
  <c r="F458" i="17"/>
  <c r="E464" i="17"/>
  <c r="F460" i="17"/>
  <c r="F461" i="17"/>
  <c r="E465" i="17"/>
  <c r="E469" i="17" l="1"/>
  <c r="F465" i="17"/>
  <c r="F464" i="17"/>
  <c r="E468" i="17"/>
  <c r="F462" i="17"/>
  <c r="E466" i="17"/>
  <c r="E471" i="17"/>
  <c r="F467" i="17"/>
  <c r="F471" i="17" l="1"/>
  <c r="E475" i="17"/>
  <c r="F466" i="17"/>
  <c r="E470" i="17"/>
  <c r="F468" i="17"/>
  <c r="E472" i="17"/>
  <c r="F469" i="17"/>
  <c r="E473" i="17"/>
  <c r="F473" i="17" l="1"/>
  <c r="E477" i="17"/>
  <c r="E476" i="17"/>
  <c r="F472" i="17"/>
  <c r="E474" i="17"/>
  <c r="F470" i="17"/>
  <c r="E479" i="17"/>
  <c r="F475" i="17"/>
  <c r="E483" i="17" l="1"/>
  <c r="F479" i="17"/>
  <c r="F474" i="17"/>
  <c r="E478" i="17"/>
  <c r="F476" i="17"/>
  <c r="E480" i="17"/>
  <c r="E481" i="17"/>
  <c r="F477" i="17"/>
  <c r="E485" i="17" l="1"/>
  <c r="F481" i="17"/>
  <c r="F480" i="17"/>
  <c r="E484" i="17"/>
  <c r="F478" i="17"/>
  <c r="E482" i="17"/>
  <c r="F483" i="17"/>
  <c r="E487" i="17"/>
  <c r="E491" i="17" l="1"/>
  <c r="F487" i="17"/>
  <c r="E486" i="17"/>
  <c r="F482" i="17"/>
  <c r="E488" i="17"/>
  <c r="F484" i="17"/>
  <c r="F485" i="17"/>
  <c r="E489" i="17"/>
  <c r="E493" i="17" l="1"/>
  <c r="F493" i="17" s="1"/>
  <c r="F489" i="17"/>
  <c r="E492" i="17"/>
  <c r="F492" i="17" s="1"/>
  <c r="F488" i="17"/>
  <c r="F486" i="17"/>
  <c r="E490" i="17"/>
  <c r="E495" i="17"/>
  <c r="F495" i="17" s="1"/>
  <c r="F491" i="17"/>
  <c r="F490" i="17" l="1"/>
  <c r="E494" i="17"/>
  <c r="F494" i="17" s="1"/>
  <c r="J8" i="16" l="1" a="1"/>
  <c r="J8" i="16" s="1"/>
  <c r="I8" i="16" a="1"/>
  <c r="I8" i="16" s="1"/>
  <c r="H8" i="16" a="1"/>
  <c r="H8" i="16" s="1"/>
  <c r="C4" i="16" s="1"/>
  <c r="E8" i="16" a="1"/>
  <c r="E8" i="16" s="1"/>
  <c r="B8" i="16" a="1"/>
  <c r="B8" i="16" s="1"/>
  <c r="A8" i="16" a="1"/>
  <c r="A8" i="16" s="1"/>
  <c r="C3" i="16"/>
  <c r="D8" i="16" l="1" a="1"/>
  <c r="D8" i="16" s="1"/>
  <c r="C8" i="16" l="1" a="1"/>
  <c r="C8" i="16" s="1"/>
  <c r="Y11" i="23" l="1"/>
  <c r="Y10" i="23"/>
  <c r="Y9" i="23"/>
  <c r="T5" i="23" l="1"/>
  <c r="S7" i="23" a="1"/>
  <c r="S7" i="23" s="1"/>
  <c r="T7" i="23" s="1" a="1"/>
  <c r="T7" i="23" s="1"/>
  <c r="A1" i="20" l="1" a="1"/>
  <c r="A1" i="20" s="1"/>
  <c r="M2" i="23" a="1"/>
  <c r="M2" i="23" s="1"/>
  <c r="AJ3" i="24" a="1"/>
  <c r="AJ3" i="24" s="1"/>
  <c r="B1" i="24"/>
  <c r="C1" i="24" a="1"/>
  <c r="C1" i="24" s="1"/>
  <c r="B7" i="24" s="1" a="1"/>
  <c r="B7" i="24" s="1"/>
  <c r="B1" i="23" a="1"/>
  <c r="B1" i="23" s="1"/>
  <c r="W10" i="17"/>
  <c r="A7" i="23" a="1"/>
  <c r="A7" i="23" s="1"/>
  <c r="B1" i="20" l="1" a="1"/>
  <c r="B1" i="20" s="1"/>
  <c r="E7" i="20" s="1" a="1"/>
  <c r="E7" i="20" s="1"/>
  <c r="AI3" i="24" a="1"/>
  <c r="AI3" i="24" s="1"/>
  <c r="Q7" i="24" a="1"/>
  <c r="Q7" i="24" s="1"/>
  <c r="V7" i="24" s="1" a="1"/>
  <c r="V7" i="24" s="1"/>
  <c r="V5" i="24" s="1"/>
  <c r="C7" i="23" a="1"/>
  <c r="C7" i="23" s="1"/>
  <c r="F7" i="23" s="1" a="1"/>
  <c r="F7" i="23" s="1"/>
  <c r="D7" i="24" a="1"/>
  <c r="D7" i="24" s="1"/>
  <c r="J7" i="20" l="1" a="1"/>
  <c r="J7" i="20" s="1"/>
  <c r="J5" i="20" s="1"/>
  <c r="Q7" i="20" a="1"/>
  <c r="Q7" i="20" s="1"/>
  <c r="Q5" i="20" s="1"/>
  <c r="G7" i="20" a="1"/>
  <c r="G7" i="20" s="1"/>
  <c r="G5" i="20" s="1"/>
  <c r="F7" i="20" a="1"/>
  <c r="F7" i="20" s="1"/>
  <c r="F5" i="20" s="1"/>
  <c r="H7" i="20" a="1"/>
  <c r="H7" i="20" s="1"/>
  <c r="H5" i="20" s="1"/>
  <c r="M7" i="20" a="1"/>
  <c r="M7" i="20" s="1"/>
  <c r="M5" i="20" s="1"/>
  <c r="L7" i="20" a="1"/>
  <c r="L7" i="20" s="1"/>
  <c r="L5" i="20" s="1"/>
  <c r="K7" i="20" a="1"/>
  <c r="K7" i="20" s="1"/>
  <c r="K5" i="20" s="1"/>
  <c r="N7" i="20" a="1"/>
  <c r="N7" i="20" s="1"/>
  <c r="N5" i="20" s="1"/>
  <c r="E7" i="24" a="1"/>
  <c r="E7" i="24" s="1"/>
  <c r="AH3" i="24" a="1"/>
  <c r="AH3" i="24" s="1"/>
  <c r="J7" i="23" a="1"/>
  <c r="J7" i="23" s="1"/>
  <c r="J5" i="23" s="1"/>
  <c r="I7" i="23" a="1"/>
  <c r="I7" i="23" s="1"/>
  <c r="I5" i="23" s="1"/>
  <c r="H7" i="23" a="1"/>
  <c r="H7" i="23" s="1"/>
  <c r="H5" i="23" s="1"/>
  <c r="G7" i="23" a="1"/>
  <c r="G7" i="23" s="1"/>
  <c r="G5" i="23" s="1"/>
  <c r="B7" i="23" a="1"/>
  <c r="B7" i="23" s="1"/>
  <c r="D7" i="23" s="1" a="1"/>
  <c r="D7" i="23" s="1"/>
  <c r="D5" i="23" s="1"/>
  <c r="C7" i="24" a="1"/>
  <c r="C7" i="24" s="1"/>
  <c r="O7" i="24" l="1" a="1"/>
  <c r="O7" i="24" s="1"/>
  <c r="O5" i="24" s="1"/>
  <c r="K2" i="23"/>
  <c r="O7" i="20" a="1"/>
  <c r="O7" i="20" s="1"/>
  <c r="O5" i="20" s="1"/>
  <c r="P7" i="20" a="1"/>
  <c r="P7" i="20" s="1"/>
  <c r="P5" i="20" s="1"/>
  <c r="K7" i="24" a="1"/>
  <c r="K7" i="24" s="1"/>
  <c r="K5" i="24" s="1"/>
  <c r="J7" i="24" a="1"/>
  <c r="J7" i="24" s="1"/>
  <c r="J5" i="24" s="1"/>
  <c r="I7" i="24" a="1"/>
  <c r="I7" i="24" s="1"/>
  <c r="I5" i="24" s="1"/>
  <c r="L7" i="24" a="1"/>
  <c r="L7" i="24" s="1"/>
  <c r="L5" i="24" s="1"/>
  <c r="H7" i="24" a="1"/>
  <c r="H7" i="24" s="1"/>
  <c r="H5" i="24" s="1"/>
  <c r="F5" i="23"/>
  <c r="K7" i="23" a="1"/>
  <c r="K7" i="23" s="1"/>
  <c r="F7" i="24" a="1"/>
  <c r="F7" i="24" s="1"/>
  <c r="F5" i="24" s="1"/>
  <c r="A7" i="24" a="1"/>
  <c r="A7" i="24" s="1"/>
  <c r="K5" i="23" l="1"/>
  <c r="M7" i="23" a="1"/>
  <c r="M7" i="23" s="1"/>
  <c r="Q7" i="23" a="1"/>
  <c r="Q7" i="23" s="1"/>
  <c r="Q5" i="23" s="1"/>
  <c r="N7" i="23" a="1"/>
  <c r="N7" i="23" s="1"/>
  <c r="N5" i="23" s="1"/>
  <c r="P7" i="23" a="1"/>
  <c r="P7" i="23" s="1"/>
  <c r="P5" i="23" s="1"/>
  <c r="M7" i="24" a="1"/>
  <c r="M7" i="24" l="1"/>
  <c r="R7" i="24" s="1" a="1"/>
  <c r="R7" i="24" s="1"/>
  <c r="R5" i="24" s="1"/>
  <c r="S7" i="24" a="1"/>
  <c r="S7" i="24" s="1"/>
  <c r="S5" i="24" s="1"/>
  <c r="M5" i="24" l="1"/>
  <c r="T7" i="24" a="1"/>
  <c r="T7" i="24" s="1"/>
  <c r="T5" i="24" s="1"/>
  <c r="L399" i="17" l="1"/>
  <c r="K399" i="17" s="1"/>
  <c r="F403" i="17"/>
  <c r="F402" i="17"/>
  <c r="F401" i="17"/>
  <c r="F400" i="17"/>
  <c r="E407" i="17"/>
  <c r="E411" i="17" s="1"/>
  <c r="E415" i="17" s="1"/>
  <c r="E419" i="17" s="1"/>
  <c r="E423" i="17" s="1"/>
  <c r="E427" i="17" s="1"/>
  <c r="E431" i="17" s="1"/>
  <c r="E435" i="17" s="1"/>
  <c r="E439" i="17" s="1"/>
  <c r="E443" i="17" s="1"/>
  <c r="E447" i="17" s="1"/>
  <c r="F447" i="17" s="1"/>
  <c r="E406" i="17"/>
  <c r="E410" i="17" s="1"/>
  <c r="E414" i="17" s="1"/>
  <c r="E418" i="17" s="1"/>
  <c r="E422" i="17" s="1"/>
  <c r="E426" i="17" s="1"/>
  <c r="E430" i="17" s="1"/>
  <c r="E434" i="17" s="1"/>
  <c r="E438" i="17" s="1"/>
  <c r="E442" i="17" s="1"/>
  <c r="E446" i="17" s="1"/>
  <c r="F446" i="17" s="1"/>
  <c r="E405" i="17"/>
  <c r="F405" i="17" s="1"/>
  <c r="E404" i="17"/>
  <c r="E408" i="17" s="1"/>
  <c r="F408" i="17" s="1"/>
  <c r="K447" i="17"/>
  <c r="K446" i="17"/>
  <c r="K445" i="17"/>
  <c r="K444" i="17"/>
  <c r="K443" i="17"/>
  <c r="K442" i="17"/>
  <c r="K441" i="17"/>
  <c r="K440" i="17"/>
  <c r="K439" i="17"/>
  <c r="K438" i="17"/>
  <c r="K437" i="17"/>
  <c r="K436" i="17"/>
  <c r="K435" i="17"/>
  <c r="K434" i="17"/>
  <c r="K433" i="17"/>
  <c r="K432" i="17"/>
  <c r="K431" i="17"/>
  <c r="K430" i="17"/>
  <c r="K429" i="17"/>
  <c r="K428" i="17"/>
  <c r="K427" i="17"/>
  <c r="K426" i="17"/>
  <c r="K425" i="17"/>
  <c r="K424" i="17"/>
  <c r="K423" i="17"/>
  <c r="K422" i="17"/>
  <c r="K421" i="17"/>
  <c r="K420" i="17"/>
  <c r="K419" i="17"/>
  <c r="K418" i="17"/>
  <c r="K417" i="17"/>
  <c r="K416" i="17"/>
  <c r="K415" i="17"/>
  <c r="K414" i="17"/>
  <c r="K413" i="17"/>
  <c r="K412" i="17"/>
  <c r="K411" i="17"/>
  <c r="K410" i="17"/>
  <c r="K409" i="17"/>
  <c r="K408" i="17"/>
  <c r="K407" i="17"/>
  <c r="K406" i="17"/>
  <c r="K405" i="17"/>
  <c r="K404" i="17"/>
  <c r="K403" i="17"/>
  <c r="K402" i="17"/>
  <c r="K401" i="17"/>
  <c r="K400" i="17"/>
  <c r="J447" i="17"/>
  <c r="J446" i="17"/>
  <c r="J445" i="17"/>
  <c r="J444" i="17"/>
  <c r="J443" i="17"/>
  <c r="J442" i="17"/>
  <c r="J441" i="17"/>
  <c r="J440" i="17"/>
  <c r="J439" i="17"/>
  <c r="J438" i="17"/>
  <c r="J437" i="17"/>
  <c r="J436" i="17"/>
  <c r="J435" i="17"/>
  <c r="J434" i="17"/>
  <c r="J433" i="17"/>
  <c r="J432" i="17"/>
  <c r="J431" i="17"/>
  <c r="J430" i="17"/>
  <c r="J429" i="17"/>
  <c r="J428" i="17"/>
  <c r="J427" i="17"/>
  <c r="J426" i="17"/>
  <c r="J425" i="17"/>
  <c r="J424" i="17"/>
  <c r="J423" i="17"/>
  <c r="J422" i="17"/>
  <c r="J421" i="17"/>
  <c r="J420" i="17"/>
  <c r="J419" i="17"/>
  <c r="J418" i="17"/>
  <c r="J417" i="17"/>
  <c r="J416" i="17"/>
  <c r="J415" i="17"/>
  <c r="J414" i="17"/>
  <c r="J413" i="17"/>
  <c r="J412" i="17"/>
  <c r="J411" i="17"/>
  <c r="J410" i="17"/>
  <c r="J409" i="17"/>
  <c r="J408" i="17"/>
  <c r="J407" i="17"/>
  <c r="J406" i="17"/>
  <c r="J405" i="17"/>
  <c r="J404" i="17"/>
  <c r="J403" i="17"/>
  <c r="J402" i="17"/>
  <c r="J401" i="17"/>
  <c r="J400" i="17"/>
  <c r="G447" i="17"/>
  <c r="G446" i="17"/>
  <c r="G445" i="17"/>
  <c r="G444" i="17"/>
  <c r="G443" i="17"/>
  <c r="G442" i="17"/>
  <c r="G441" i="17"/>
  <c r="G440" i="17"/>
  <c r="G439" i="17"/>
  <c r="G438" i="17"/>
  <c r="G437" i="17"/>
  <c r="G436" i="17"/>
  <c r="G435" i="17"/>
  <c r="G434" i="17"/>
  <c r="G433" i="17"/>
  <c r="G432" i="17"/>
  <c r="G431" i="17"/>
  <c r="G430" i="17"/>
  <c r="G429" i="17"/>
  <c r="G428" i="17"/>
  <c r="G427" i="17"/>
  <c r="G426" i="17"/>
  <c r="G425" i="17"/>
  <c r="G424" i="17"/>
  <c r="G423" i="17"/>
  <c r="G422" i="17"/>
  <c r="G421" i="17"/>
  <c r="G420" i="17"/>
  <c r="G419" i="17"/>
  <c r="G418" i="17"/>
  <c r="G417" i="17"/>
  <c r="G416" i="17"/>
  <c r="G415" i="17"/>
  <c r="G414" i="17"/>
  <c r="G413" i="17"/>
  <c r="G412" i="17"/>
  <c r="G411" i="17"/>
  <c r="G410" i="17"/>
  <c r="G409" i="17"/>
  <c r="G408" i="17"/>
  <c r="G407" i="17"/>
  <c r="G406" i="17"/>
  <c r="G405" i="17"/>
  <c r="G404" i="17"/>
  <c r="G403" i="17"/>
  <c r="G402" i="17"/>
  <c r="G401" i="17"/>
  <c r="G400" i="17"/>
  <c r="F404" i="17" l="1"/>
  <c r="F406" i="17"/>
  <c r="F419" i="17"/>
  <c r="F427" i="17"/>
  <c r="F443" i="17"/>
  <c r="F414" i="17"/>
  <c r="F422" i="17"/>
  <c r="F430" i="17"/>
  <c r="F438" i="17"/>
  <c r="E412" i="17"/>
  <c r="F407" i="17"/>
  <c r="F415" i="17"/>
  <c r="F423" i="17"/>
  <c r="F431" i="17"/>
  <c r="F439" i="17"/>
  <c r="F410" i="17"/>
  <c r="F418" i="17"/>
  <c r="F426" i="17"/>
  <c r="F434" i="17"/>
  <c r="F442" i="17"/>
  <c r="F411" i="17"/>
  <c r="F435" i="17"/>
  <c r="E409" i="17"/>
  <c r="E416" i="17" l="1"/>
  <c r="F412" i="17"/>
  <c r="E413" i="17"/>
  <c r="F409" i="17"/>
  <c r="E417" i="17" l="1"/>
  <c r="F413" i="17"/>
  <c r="E420" i="17"/>
  <c r="F416" i="17"/>
  <c r="E421" i="17" l="1"/>
  <c r="F417" i="17"/>
  <c r="E424" i="17"/>
  <c r="F420" i="17"/>
  <c r="E428" i="17" l="1"/>
  <c r="F424" i="17"/>
  <c r="E425" i="17"/>
  <c r="F421" i="17"/>
  <c r="E429" i="17" l="1"/>
  <c r="F425" i="17"/>
  <c r="E432" i="17"/>
  <c r="F428" i="17"/>
  <c r="E433" i="17" l="1"/>
  <c r="F429" i="17"/>
  <c r="E436" i="17"/>
  <c r="F432" i="17"/>
  <c r="E440" i="17" l="1"/>
  <c r="F436" i="17"/>
  <c r="E437" i="17"/>
  <c r="F433" i="17"/>
  <c r="E441" i="17" l="1"/>
  <c r="F437" i="17"/>
  <c r="E444" i="17"/>
  <c r="F444" i="17" s="1"/>
  <c r="F440" i="17"/>
  <c r="E445" i="17" l="1"/>
  <c r="F445" i="17" s="1"/>
  <c r="F441" i="17"/>
  <c r="O347" i="17" l="1"/>
  <c r="O346" i="17"/>
  <c r="O345" i="17"/>
  <c r="O344" i="17"/>
  <c r="O343" i="17"/>
  <c r="O342" i="17"/>
  <c r="O341" i="17"/>
  <c r="O340" i="17"/>
  <c r="O339" i="17"/>
  <c r="O338" i="17"/>
  <c r="O337" i="17"/>
  <c r="O336" i="17"/>
  <c r="O335" i="17"/>
  <c r="O334" i="17"/>
  <c r="O333" i="17"/>
  <c r="O332" i="17"/>
  <c r="O331" i="17"/>
  <c r="O330" i="17"/>
  <c r="O329" i="17"/>
  <c r="O328" i="17"/>
  <c r="O327" i="17"/>
  <c r="O326" i="17"/>
  <c r="O325" i="17"/>
  <c r="O324" i="17"/>
  <c r="O323" i="17"/>
  <c r="O322" i="17"/>
  <c r="O321" i="17"/>
  <c r="O320" i="17"/>
  <c r="O319" i="17"/>
  <c r="O318" i="17"/>
  <c r="O317" i="17"/>
  <c r="O316" i="17"/>
  <c r="O315" i="17"/>
  <c r="O314" i="17"/>
  <c r="O313" i="17"/>
  <c r="O312" i="17"/>
  <c r="O311" i="17"/>
  <c r="O399" i="17"/>
  <c r="F1029" i="11" l="1"/>
  <c r="F1028" i="11"/>
  <c r="F1027" i="11"/>
  <c r="F1026" i="11"/>
  <c r="F1025" i="11"/>
  <c r="F1024" i="11"/>
  <c r="F1022" i="11"/>
  <c r="F1021" i="11"/>
  <c r="F1020" i="11"/>
  <c r="F1019" i="11"/>
  <c r="F1018" i="11"/>
  <c r="F1017" i="11"/>
  <c r="F1016" i="11"/>
  <c r="F1015" i="11"/>
  <c r="F1014" i="11"/>
  <c r="F1013" i="11"/>
  <c r="F1012" i="11"/>
  <c r="F1011" i="11"/>
  <c r="F1010" i="11"/>
  <c r="F1009" i="11"/>
  <c r="F1008" i="11"/>
  <c r="F1007" i="11"/>
  <c r="F1006" i="11"/>
  <c r="F1005" i="11"/>
  <c r="F1004" i="11"/>
  <c r="F1003" i="11"/>
  <c r="F1002" i="11"/>
  <c r="F1001" i="11"/>
  <c r="F1000" i="11"/>
  <c r="F999" i="11"/>
  <c r="F998" i="11"/>
  <c r="F997" i="11"/>
  <c r="F996" i="11"/>
  <c r="F995" i="11"/>
  <c r="F994" i="11"/>
  <c r="F993" i="11"/>
  <c r="F992" i="11"/>
  <c r="F22" i="1" l="1"/>
  <c r="F23" i="1"/>
  <c r="F24" i="1"/>
  <c r="D1000" i="20" l="1"/>
  <c r="R398" i="17"/>
  <c r="J398" i="17"/>
  <c r="J397" i="17"/>
  <c r="J396" i="17"/>
  <c r="F396" i="17"/>
  <c r="F397" i="17" s="1"/>
  <c r="F398" i="17" s="1"/>
  <c r="M395" i="17"/>
  <c r="R395" i="17" s="1"/>
  <c r="L395" i="17"/>
  <c r="J395" i="17"/>
  <c r="R394" i="17"/>
  <c r="J394" i="17"/>
  <c r="J393" i="17"/>
  <c r="J392" i="17"/>
  <c r="F392" i="17"/>
  <c r="F393" i="17" s="1"/>
  <c r="F394" i="17" s="1"/>
  <c r="M391" i="17"/>
  <c r="M392" i="17" s="1"/>
  <c r="L391" i="17"/>
  <c r="J391" i="17"/>
  <c r="R390" i="17"/>
  <c r="J390" i="17"/>
  <c r="J389" i="17"/>
  <c r="J388" i="17"/>
  <c r="F388" i="17"/>
  <c r="F389" i="17" s="1"/>
  <c r="F390" i="17" s="1"/>
  <c r="M387" i="17"/>
  <c r="R387" i="17" s="1"/>
  <c r="L387" i="17"/>
  <c r="J387" i="17"/>
  <c r="R386" i="17"/>
  <c r="J386" i="17"/>
  <c r="J385" i="17"/>
  <c r="J384" i="17"/>
  <c r="F384" i="17"/>
  <c r="F385" i="17" s="1"/>
  <c r="F386" i="17" s="1"/>
  <c r="M383" i="17"/>
  <c r="L384" i="17" s="1"/>
  <c r="L383" i="17"/>
  <c r="Q383" i="17" s="1"/>
  <c r="J383" i="17"/>
  <c r="R382" i="17"/>
  <c r="J382" i="17"/>
  <c r="J381" i="17"/>
  <c r="J380" i="17"/>
  <c r="F380" i="17"/>
  <c r="F381" i="17" s="1"/>
  <c r="F382" i="17" s="1"/>
  <c r="M379" i="17"/>
  <c r="R379" i="17" s="1"/>
  <c r="L379" i="17"/>
  <c r="Q379" i="17" s="1"/>
  <c r="J379" i="17"/>
  <c r="R378" i="17"/>
  <c r="J378" i="17"/>
  <c r="J377" i="17"/>
  <c r="J376" i="17"/>
  <c r="F376" i="17"/>
  <c r="F377" i="17" s="1"/>
  <c r="F378" i="17" s="1"/>
  <c r="M375" i="17"/>
  <c r="L376" i="17" s="1"/>
  <c r="L375" i="17"/>
  <c r="J375" i="17"/>
  <c r="R374" i="17"/>
  <c r="J374" i="17"/>
  <c r="J373" i="17"/>
  <c r="J372" i="17"/>
  <c r="F372" i="17"/>
  <c r="F373" i="17" s="1"/>
  <c r="F374" i="17" s="1"/>
  <c r="M371" i="17"/>
  <c r="R371" i="17" s="1"/>
  <c r="L371" i="17"/>
  <c r="J371" i="17"/>
  <c r="R370" i="17"/>
  <c r="J370" i="17"/>
  <c r="J369" i="17"/>
  <c r="J368" i="17"/>
  <c r="F368" i="17"/>
  <c r="F369" i="17" s="1"/>
  <c r="F370" i="17" s="1"/>
  <c r="M367" i="17"/>
  <c r="L368" i="17" s="1"/>
  <c r="L367" i="17"/>
  <c r="J367" i="17"/>
  <c r="R366" i="17"/>
  <c r="J366" i="17"/>
  <c r="J365" i="17"/>
  <c r="J364" i="17"/>
  <c r="F364" i="17"/>
  <c r="F365" i="17" s="1"/>
  <c r="F366" i="17" s="1"/>
  <c r="M363" i="17"/>
  <c r="R363" i="17" s="1"/>
  <c r="L363" i="17"/>
  <c r="J363" i="17"/>
  <c r="R362" i="17"/>
  <c r="J362" i="17"/>
  <c r="J361" i="17"/>
  <c r="J360" i="17"/>
  <c r="F360" i="17"/>
  <c r="F361" i="17" s="1"/>
  <c r="F362" i="17" s="1"/>
  <c r="M359" i="17"/>
  <c r="R359" i="17" s="1"/>
  <c r="L359" i="17"/>
  <c r="J359" i="17"/>
  <c r="R358" i="17"/>
  <c r="J358" i="17"/>
  <c r="J357" i="17"/>
  <c r="J356" i="17"/>
  <c r="F356" i="17"/>
  <c r="F357" i="17" s="1"/>
  <c r="F358" i="17" s="1"/>
  <c r="M355" i="17"/>
  <c r="R355" i="17" s="1"/>
  <c r="L355" i="17"/>
  <c r="J355" i="17"/>
  <c r="R354" i="17"/>
  <c r="J354" i="17"/>
  <c r="J353" i="17"/>
  <c r="J352" i="17"/>
  <c r="F352" i="17"/>
  <c r="F353" i="17" s="1"/>
  <c r="F354" i="17" s="1"/>
  <c r="M351" i="17"/>
  <c r="L352" i="17" s="1"/>
  <c r="L351" i="17"/>
  <c r="J351" i="17"/>
  <c r="R350" i="17"/>
  <c r="J350" i="17"/>
  <c r="J349" i="17"/>
  <c r="M348" i="17"/>
  <c r="L349" i="17" s="1"/>
  <c r="L348" i="17"/>
  <c r="J348" i="17"/>
  <c r="F348" i="17"/>
  <c r="F349" i="17" s="1"/>
  <c r="F350" i="17" s="1"/>
  <c r="R347" i="17"/>
  <c r="Q347" i="17"/>
  <c r="P347" i="17"/>
  <c r="K347" i="17"/>
  <c r="J347" i="17"/>
  <c r="G347" i="17"/>
  <c r="R391" i="17" l="1"/>
  <c r="O375" i="17"/>
  <c r="P375" i="17" s="1"/>
  <c r="O387" i="17"/>
  <c r="P387" i="17" s="1"/>
  <c r="O391" i="17"/>
  <c r="P391" i="17" s="1"/>
  <c r="M352" i="17"/>
  <c r="R352" i="17" s="1"/>
  <c r="K359" i="17"/>
  <c r="O359" i="17"/>
  <c r="P359" i="17" s="1"/>
  <c r="G379" i="17"/>
  <c r="O379" i="17"/>
  <c r="P379" i="17" s="1"/>
  <c r="M356" i="17"/>
  <c r="L357" i="17" s="1"/>
  <c r="G383" i="17"/>
  <c r="O383" i="17"/>
  <c r="P383" i="17" s="1"/>
  <c r="L396" i="17"/>
  <c r="M396" i="17"/>
  <c r="R396" i="17" s="1"/>
  <c r="K371" i="17"/>
  <c r="O371" i="17"/>
  <c r="P371" i="17" s="1"/>
  <c r="O395" i="17"/>
  <c r="P395" i="17" s="1"/>
  <c r="O348" i="17"/>
  <c r="P348" i="17" s="1"/>
  <c r="G363" i="17"/>
  <c r="O363" i="17"/>
  <c r="P363" i="17" s="1"/>
  <c r="G395" i="17"/>
  <c r="K351" i="17"/>
  <c r="O351" i="17"/>
  <c r="P351" i="17" s="1"/>
  <c r="L360" i="17"/>
  <c r="G360" i="17" s="1"/>
  <c r="Q363" i="17"/>
  <c r="K367" i="17"/>
  <c r="O367" i="17"/>
  <c r="P367" i="17" s="1"/>
  <c r="K355" i="17"/>
  <c r="O355" i="17"/>
  <c r="P355" i="17" s="1"/>
  <c r="R392" i="17"/>
  <c r="M393" i="17"/>
  <c r="L393" i="17"/>
  <c r="Q393" i="17" s="1"/>
  <c r="Q376" i="17"/>
  <c r="G376" i="17"/>
  <c r="R375" i="17"/>
  <c r="M376" i="17"/>
  <c r="O376" i="17" s="1"/>
  <c r="M360" i="17"/>
  <c r="Q367" i="17"/>
  <c r="L392" i="17"/>
  <c r="O392" i="17" s="1"/>
  <c r="L380" i="17"/>
  <c r="Q380" i="17" s="1"/>
  <c r="K391" i="17"/>
  <c r="Q351" i="17"/>
  <c r="M372" i="17"/>
  <c r="L373" i="17" s="1"/>
  <c r="M380" i="17"/>
  <c r="R380" i="17" s="1"/>
  <c r="Q395" i="17"/>
  <c r="G348" i="17"/>
  <c r="L364" i="17"/>
  <c r="M384" i="17"/>
  <c r="R384" i="17" s="1"/>
  <c r="M364" i="17"/>
  <c r="L365" i="17" s="1"/>
  <c r="Q365" i="17" s="1"/>
  <c r="M368" i="17"/>
  <c r="R368" i="17" s="1"/>
  <c r="K375" i="17"/>
  <c r="K387" i="17"/>
  <c r="G384" i="17"/>
  <c r="Q384" i="17"/>
  <c r="G349" i="17"/>
  <c r="Q349" i="17"/>
  <c r="G368" i="17"/>
  <c r="Q368" i="17"/>
  <c r="G352" i="17"/>
  <c r="Q352" i="17"/>
  <c r="Q348" i="17"/>
  <c r="M349" i="17"/>
  <c r="K349" i="17" s="1"/>
  <c r="G351" i="17"/>
  <c r="R351" i="17"/>
  <c r="L356" i="17"/>
  <c r="K363" i="17"/>
  <c r="G367" i="17"/>
  <c r="R367" i="17"/>
  <c r="L372" i="17"/>
  <c r="K379" i="17"/>
  <c r="R383" i="17"/>
  <c r="L388" i="17"/>
  <c r="K395" i="17"/>
  <c r="Q396" i="17"/>
  <c r="Q371" i="17"/>
  <c r="Q387" i="17"/>
  <c r="M388" i="17"/>
  <c r="G396" i="17"/>
  <c r="G355" i="17"/>
  <c r="G371" i="17"/>
  <c r="K383" i="17"/>
  <c r="G387" i="17"/>
  <c r="R348" i="17"/>
  <c r="Q355" i="17"/>
  <c r="K348" i="17"/>
  <c r="Q359" i="17"/>
  <c r="Q375" i="17"/>
  <c r="Q391" i="17"/>
  <c r="G359" i="17"/>
  <c r="G375" i="17"/>
  <c r="G391" i="17"/>
  <c r="M353" i="17" l="1"/>
  <c r="G393" i="17"/>
  <c r="K396" i="17"/>
  <c r="M397" i="17"/>
  <c r="M369" i="17"/>
  <c r="L397" i="17"/>
  <c r="K380" i="17"/>
  <c r="K392" i="17"/>
  <c r="G380" i="17"/>
  <c r="K368" i="17"/>
  <c r="K376" i="17"/>
  <c r="L369" i="17"/>
  <c r="L353" i="17"/>
  <c r="K353" i="17" s="1"/>
  <c r="O372" i="17"/>
  <c r="P372" i="17" s="1"/>
  <c r="K352" i="17"/>
  <c r="L381" i="17"/>
  <c r="G381" i="17" s="1"/>
  <c r="O368" i="17"/>
  <c r="P368" i="17" s="1"/>
  <c r="O388" i="17"/>
  <c r="P388" i="17" s="1"/>
  <c r="O356" i="17"/>
  <c r="P356" i="17" s="1"/>
  <c r="O384" i="17"/>
  <c r="P384" i="17" s="1"/>
  <c r="K364" i="17"/>
  <c r="O349" i="17"/>
  <c r="P349" i="17" s="1"/>
  <c r="M357" i="17"/>
  <c r="O357" i="17" s="1"/>
  <c r="P357" i="17" s="1"/>
  <c r="R356" i="17"/>
  <c r="O352" i="17"/>
  <c r="P352" i="17" s="1"/>
  <c r="R364" i="17"/>
  <c r="M385" i="17"/>
  <c r="R385" i="17" s="1"/>
  <c r="O393" i="17"/>
  <c r="P393" i="17" s="1"/>
  <c r="G365" i="17"/>
  <c r="M365" i="17"/>
  <c r="K365" i="17" s="1"/>
  <c r="Q364" i="17"/>
  <c r="O364" i="17"/>
  <c r="P364" i="17" s="1"/>
  <c r="O380" i="17"/>
  <c r="P380" i="17" s="1"/>
  <c r="P376" i="17"/>
  <c r="Q360" i="17"/>
  <c r="O360" i="17"/>
  <c r="P360" i="17" s="1"/>
  <c r="O396" i="17"/>
  <c r="P396" i="17" s="1"/>
  <c r="L385" i="17"/>
  <c r="Q385" i="17" s="1"/>
  <c r="Q392" i="17"/>
  <c r="P392" i="17"/>
  <c r="G392" i="17"/>
  <c r="M373" i="17"/>
  <c r="K373" i="17" s="1"/>
  <c r="R372" i="17"/>
  <c r="M381" i="17"/>
  <c r="M361" i="17"/>
  <c r="R360" i="17"/>
  <c r="L361" i="17"/>
  <c r="K360" i="17"/>
  <c r="K393" i="17"/>
  <c r="L394" i="17"/>
  <c r="O394" i="17" s="1"/>
  <c r="R393" i="17"/>
  <c r="K384" i="17"/>
  <c r="G364" i="17"/>
  <c r="M377" i="17"/>
  <c r="L377" i="17"/>
  <c r="R376" i="17"/>
  <c r="G373" i="17"/>
  <c r="Q373" i="17"/>
  <c r="R369" i="17"/>
  <c r="L370" i="17"/>
  <c r="O370" i="17" s="1"/>
  <c r="G356" i="17"/>
  <c r="Q356" i="17"/>
  <c r="K356" i="17"/>
  <c r="Q381" i="17"/>
  <c r="R388" i="17"/>
  <c r="M389" i="17"/>
  <c r="L389" i="17"/>
  <c r="G353" i="17"/>
  <c r="Q353" i="17"/>
  <c r="R397" i="17"/>
  <c r="L398" i="17"/>
  <c r="O398" i="17" s="1"/>
  <c r="G372" i="17"/>
  <c r="Q372" i="17"/>
  <c r="K372" i="17"/>
  <c r="R353" i="17"/>
  <c r="L354" i="17"/>
  <c r="O354" i="17" s="1"/>
  <c r="R349" i="17"/>
  <c r="L350" i="17"/>
  <c r="O350" i="17" s="1"/>
  <c r="Q357" i="17"/>
  <c r="G357" i="17"/>
  <c r="G388" i="17"/>
  <c r="Q388" i="17"/>
  <c r="K388" i="17"/>
  <c r="G397" i="17"/>
  <c r="Q397" i="17"/>
  <c r="J399" i="17"/>
  <c r="P399" i="17"/>
  <c r="R399" i="17"/>
  <c r="G399" i="17"/>
  <c r="Q399" i="17"/>
  <c r="K397" i="17" l="1"/>
  <c r="O369" i="17"/>
  <c r="P369" i="17" s="1"/>
  <c r="O353" i="17"/>
  <c r="P353" i="17" s="1"/>
  <c r="K369" i="17"/>
  <c r="K381" i="17"/>
  <c r="R365" i="17"/>
  <c r="K357" i="17"/>
  <c r="O397" i="17"/>
  <c r="P397" i="17" s="1"/>
  <c r="Q369" i="17"/>
  <c r="G369" i="17"/>
  <c r="O361" i="17"/>
  <c r="P361" i="17" s="1"/>
  <c r="O377" i="17"/>
  <c r="P377" i="17" s="1"/>
  <c r="O385" i="17"/>
  <c r="P385" i="17" s="1"/>
  <c r="L366" i="17"/>
  <c r="O366" i="17" s="1"/>
  <c r="P366" i="17" s="1"/>
  <c r="O365" i="17"/>
  <c r="P365" i="17" s="1"/>
  <c r="O373" i="17"/>
  <c r="P373" i="17" s="1"/>
  <c r="L386" i="17"/>
  <c r="O386" i="17" s="1"/>
  <c r="P386" i="17" s="1"/>
  <c r="K385" i="17"/>
  <c r="L358" i="17"/>
  <c r="R357" i="17"/>
  <c r="G385" i="17"/>
  <c r="L382" i="17"/>
  <c r="O382" i="17" s="1"/>
  <c r="P382" i="17" s="1"/>
  <c r="O389" i="17"/>
  <c r="P389" i="17" s="1"/>
  <c r="O381" i="17"/>
  <c r="P381" i="17" s="1"/>
  <c r="R381" i="17"/>
  <c r="G394" i="17"/>
  <c r="Q394" i="17"/>
  <c r="P394" i="17"/>
  <c r="K394" i="17"/>
  <c r="L374" i="17"/>
  <c r="O374" i="17" s="1"/>
  <c r="R373" i="17"/>
  <c r="K377" i="17"/>
  <c r="G377" i="17"/>
  <c r="Q377" i="17"/>
  <c r="R377" i="17"/>
  <c r="L378" i="17"/>
  <c r="O378" i="17" s="1"/>
  <c r="G361" i="17"/>
  <c r="Q361" i="17"/>
  <c r="K361" i="17"/>
  <c r="R361" i="17"/>
  <c r="L362" i="17"/>
  <c r="O362" i="17" s="1"/>
  <c r="P370" i="17"/>
  <c r="K370" i="17"/>
  <c r="G370" i="17"/>
  <c r="Q370" i="17"/>
  <c r="Q354" i="17"/>
  <c r="K354" i="17"/>
  <c r="G354" i="17"/>
  <c r="P354" i="17"/>
  <c r="K389" i="17"/>
  <c r="G389" i="17"/>
  <c r="Q389" i="17"/>
  <c r="L390" i="17"/>
  <c r="O390" i="17" s="1"/>
  <c r="R389" i="17"/>
  <c r="P350" i="17"/>
  <c r="K350" i="17"/>
  <c r="Q350" i="17"/>
  <c r="G350" i="17"/>
  <c r="Q398" i="17"/>
  <c r="P398" i="17"/>
  <c r="K398" i="17"/>
  <c r="G398" i="17"/>
  <c r="K366" i="17" l="1"/>
  <c r="G366" i="17"/>
  <c r="Q366" i="17"/>
  <c r="Q382" i="17"/>
  <c r="G382" i="17"/>
  <c r="K386" i="17"/>
  <c r="G386" i="17"/>
  <c r="K382" i="17"/>
  <c r="O358" i="17"/>
  <c r="P358" i="17" s="1"/>
  <c r="K358" i="17"/>
  <c r="G358" i="17"/>
  <c r="Q358" i="17"/>
  <c r="Q386" i="17"/>
  <c r="Q374" i="17"/>
  <c r="P374" i="17"/>
  <c r="K374" i="17"/>
  <c r="G374" i="17"/>
  <c r="G378" i="17"/>
  <c r="Q378" i="17"/>
  <c r="P378" i="17"/>
  <c r="K378" i="17"/>
  <c r="K362" i="17"/>
  <c r="G362" i="17"/>
  <c r="Q362" i="17"/>
  <c r="P362" i="17"/>
  <c r="K390" i="17"/>
  <c r="G390" i="17"/>
  <c r="Q390" i="17"/>
  <c r="P390" i="17"/>
  <c r="C5" i="1" l="1"/>
  <c r="K23" i="1" l="1"/>
  <c r="J23" i="1"/>
  <c r="I23" i="1"/>
  <c r="H23" i="1"/>
  <c r="G24" i="1"/>
  <c r="A114" i="17"/>
  <c r="A113" i="17"/>
  <c r="A112" i="17"/>
  <c r="A111" i="17"/>
  <c r="A110" i="17"/>
  <c r="A109" i="17"/>
  <c r="A108" i="17"/>
  <c r="A107" i="17"/>
  <c r="A106" i="17"/>
  <c r="A105" i="17"/>
  <c r="A104" i="17"/>
  <c r="A103" i="17"/>
  <c r="A102" i="17"/>
  <c r="R346" i="17"/>
  <c r="Q346" i="17"/>
  <c r="R345" i="17"/>
  <c r="Q345" i="17"/>
  <c r="R344" i="17"/>
  <c r="Q344" i="17"/>
  <c r="R343" i="17"/>
  <c r="Q343" i="17"/>
  <c r="R342" i="17"/>
  <c r="Q342" i="17"/>
  <c r="R341" i="17"/>
  <c r="Q341" i="17"/>
  <c r="R340" i="17"/>
  <c r="Q340" i="17"/>
  <c r="R339" i="17"/>
  <c r="Q339" i="17"/>
  <c r="R338" i="17"/>
  <c r="Q338" i="17"/>
  <c r="R337" i="17"/>
  <c r="Q337" i="17"/>
  <c r="R336" i="17"/>
  <c r="Q336" i="17"/>
  <c r="R335" i="17"/>
  <c r="Q335" i="17"/>
  <c r="R334" i="17"/>
  <c r="Q334" i="17"/>
  <c r="R333" i="17"/>
  <c r="Q333" i="17"/>
  <c r="R332" i="17"/>
  <c r="Q332" i="17"/>
  <c r="R331" i="17"/>
  <c r="Q331" i="17"/>
  <c r="R330" i="17"/>
  <c r="Q330" i="17"/>
  <c r="R329" i="17"/>
  <c r="Q329" i="17"/>
  <c r="R328" i="17"/>
  <c r="Q328" i="17"/>
  <c r="R327" i="17"/>
  <c r="Q327" i="17"/>
  <c r="R326" i="17"/>
  <c r="Q326" i="17"/>
  <c r="R325" i="17"/>
  <c r="Q325" i="17"/>
  <c r="R324" i="17"/>
  <c r="Q324" i="17"/>
  <c r="R323" i="17"/>
  <c r="Q323" i="17"/>
  <c r="R322" i="17"/>
  <c r="Q322" i="17"/>
  <c r="R321" i="17"/>
  <c r="Q321" i="17"/>
  <c r="R320" i="17"/>
  <c r="Q320" i="17"/>
  <c r="R319" i="17"/>
  <c r="Q319" i="17"/>
  <c r="R318" i="17"/>
  <c r="Q318" i="17"/>
  <c r="R317" i="17"/>
  <c r="Q317" i="17"/>
  <c r="R316" i="17"/>
  <c r="Q316" i="17"/>
  <c r="R315" i="17"/>
  <c r="Q315" i="17"/>
  <c r="R314" i="17"/>
  <c r="Q314" i="17"/>
  <c r="R313" i="17"/>
  <c r="Q313" i="17"/>
  <c r="R312" i="17"/>
  <c r="Q312" i="17"/>
  <c r="R311" i="17"/>
  <c r="Q311" i="17"/>
  <c r="R310" i="17"/>
  <c r="Q310" i="17"/>
  <c r="R309" i="17"/>
  <c r="Q309" i="17"/>
  <c r="R308" i="17"/>
  <c r="Q308" i="17"/>
  <c r="R307" i="17"/>
  <c r="Q307" i="17"/>
  <c r="R306" i="17"/>
  <c r="Q306" i="17"/>
  <c r="R305" i="17"/>
  <c r="Q305" i="17"/>
  <c r="R304" i="17"/>
  <c r="Q304" i="17"/>
  <c r="R303" i="17"/>
  <c r="Q303" i="17"/>
  <c r="R302" i="17"/>
  <c r="Q302" i="17"/>
  <c r="R301" i="17"/>
  <c r="Q301" i="17"/>
  <c r="R300" i="17"/>
  <c r="Q300" i="17"/>
  <c r="R299" i="17"/>
  <c r="Q299" i="17"/>
  <c r="R298" i="17"/>
  <c r="Q298" i="17"/>
  <c r="R297" i="17"/>
  <c r="Q297" i="17"/>
  <c r="R296" i="17"/>
  <c r="Q296" i="17"/>
  <c r="R295" i="17"/>
  <c r="Q295" i="17"/>
  <c r="P346" i="17"/>
  <c r="P345" i="17"/>
  <c r="P344" i="17"/>
  <c r="P343" i="17"/>
  <c r="P342" i="17"/>
  <c r="P341" i="17"/>
  <c r="P340" i="17"/>
  <c r="P339" i="17"/>
  <c r="P338" i="17"/>
  <c r="P337" i="17"/>
  <c r="P336" i="17"/>
  <c r="P335" i="17"/>
  <c r="P334" i="17"/>
  <c r="P333" i="17"/>
  <c r="P332" i="17"/>
  <c r="P331" i="17"/>
  <c r="P330" i="17"/>
  <c r="P329" i="17"/>
  <c r="P328" i="17"/>
  <c r="P327" i="17"/>
  <c r="P326" i="17"/>
  <c r="P325" i="17"/>
  <c r="P324" i="17"/>
  <c r="P323" i="17"/>
  <c r="P322" i="17"/>
  <c r="P321" i="17"/>
  <c r="P320" i="17"/>
  <c r="P319" i="17"/>
  <c r="P318" i="17"/>
  <c r="P317" i="17"/>
  <c r="P316" i="17"/>
  <c r="P315" i="17"/>
  <c r="P314" i="17"/>
  <c r="P313" i="17"/>
  <c r="P312" i="17"/>
  <c r="P311" i="17"/>
  <c r="O310" i="17"/>
  <c r="P310" i="17" s="1"/>
  <c r="O309" i="17"/>
  <c r="P309" i="17" s="1"/>
  <c r="O308" i="17"/>
  <c r="P308" i="17" s="1"/>
  <c r="O307" i="17"/>
  <c r="P307" i="17" s="1"/>
  <c r="O306" i="17"/>
  <c r="P306" i="17" s="1"/>
  <c r="O305" i="17"/>
  <c r="P305" i="17" s="1"/>
  <c r="O304" i="17"/>
  <c r="P304" i="17" s="1"/>
  <c r="O303" i="17"/>
  <c r="P303" i="17" s="1"/>
  <c r="O302" i="17"/>
  <c r="P302" i="17" s="1"/>
  <c r="O301" i="17"/>
  <c r="P301" i="17" s="1"/>
  <c r="O300" i="17"/>
  <c r="P300" i="17" s="1"/>
  <c r="O299" i="17"/>
  <c r="P299" i="17" s="1"/>
  <c r="O298" i="17"/>
  <c r="P298" i="17" s="1"/>
  <c r="O297" i="17"/>
  <c r="P297" i="17" s="1"/>
  <c r="O296" i="17"/>
  <c r="P296" i="17" s="1"/>
  <c r="O295" i="17"/>
  <c r="P295" i="17" s="1"/>
  <c r="J346" i="17"/>
  <c r="J345" i="17"/>
  <c r="J344" i="17"/>
  <c r="F344" i="17"/>
  <c r="F345" i="17" s="1"/>
  <c r="F346" i="17" s="1"/>
  <c r="J343" i="17"/>
  <c r="J342" i="17"/>
  <c r="J341" i="17"/>
  <c r="J340" i="17"/>
  <c r="F340" i="17"/>
  <c r="F341" i="17" s="1"/>
  <c r="F342" i="17" s="1"/>
  <c r="J339" i="17"/>
  <c r="J338" i="17"/>
  <c r="J337" i="17"/>
  <c r="J336" i="17"/>
  <c r="F336" i="17"/>
  <c r="F337" i="17" s="1"/>
  <c r="F338" i="17" s="1"/>
  <c r="J335" i="17"/>
  <c r="J334" i="17"/>
  <c r="J333" i="17"/>
  <c r="J332" i="17"/>
  <c r="F332" i="17"/>
  <c r="F333" i="17" s="1"/>
  <c r="F334" i="17" s="1"/>
  <c r="J331" i="17"/>
  <c r="J330" i="17"/>
  <c r="J329" i="17"/>
  <c r="J328" i="17"/>
  <c r="F328" i="17"/>
  <c r="F329" i="17" s="1"/>
  <c r="F330" i="17" s="1"/>
  <c r="J327" i="17"/>
  <c r="J326" i="17"/>
  <c r="J325" i="17"/>
  <c r="J324" i="17"/>
  <c r="F324" i="17"/>
  <c r="F325" i="17" s="1"/>
  <c r="F326" i="17" s="1"/>
  <c r="J323" i="17"/>
  <c r="J322" i="17"/>
  <c r="J321" i="17"/>
  <c r="J320" i="17"/>
  <c r="F320" i="17"/>
  <c r="F321" i="17" s="1"/>
  <c r="F322" i="17" s="1"/>
  <c r="J319" i="17"/>
  <c r="J318" i="17"/>
  <c r="J317" i="17"/>
  <c r="J316" i="17"/>
  <c r="F316" i="17"/>
  <c r="F317" i="17" s="1"/>
  <c r="F318" i="17" s="1"/>
  <c r="J315" i="17"/>
  <c r="J314" i="17"/>
  <c r="J313" i="17"/>
  <c r="J312" i="17"/>
  <c r="F312" i="17"/>
  <c r="F313" i="17" s="1"/>
  <c r="F314" i="17" s="1"/>
  <c r="J311" i="17"/>
  <c r="J310" i="17"/>
  <c r="J309" i="17"/>
  <c r="J308" i="17"/>
  <c r="F308" i="17"/>
  <c r="F309" i="17" s="1"/>
  <c r="F310" i="17" s="1"/>
  <c r="J307" i="17"/>
  <c r="J306" i="17"/>
  <c r="J305" i="17"/>
  <c r="J304" i="17"/>
  <c r="F304" i="17"/>
  <c r="F305" i="17" s="1"/>
  <c r="F306" i="17" s="1"/>
  <c r="J303" i="17"/>
  <c r="J302" i="17"/>
  <c r="J301" i="17"/>
  <c r="J300" i="17"/>
  <c r="F300" i="17"/>
  <c r="F301" i="17" s="1"/>
  <c r="F302" i="17" s="1"/>
  <c r="J299" i="17"/>
  <c r="J298" i="17"/>
  <c r="J297" i="17"/>
  <c r="J296" i="17"/>
  <c r="F296" i="17"/>
  <c r="F297" i="17" s="1"/>
  <c r="F298" i="17" s="1"/>
  <c r="J295" i="17"/>
  <c r="J294" i="17"/>
  <c r="G296" i="17" l="1"/>
  <c r="G295" i="17"/>
  <c r="G297" i="17" l="1"/>
  <c r="G298" i="17"/>
  <c r="G299" i="17" l="1"/>
  <c r="G300" i="17" l="1"/>
  <c r="G301" i="17" l="1"/>
  <c r="G302" i="17" l="1"/>
  <c r="G303" i="17" l="1"/>
  <c r="G304" i="17" l="1"/>
  <c r="G305" i="17" l="1"/>
  <c r="G306" i="17" l="1"/>
  <c r="G307" i="17" l="1"/>
  <c r="G308" i="17" l="1"/>
  <c r="G309" i="17" l="1"/>
  <c r="G310" i="17" l="1"/>
  <c r="G311" i="17" l="1"/>
  <c r="G312" i="17" l="1"/>
  <c r="G313" i="17" l="1"/>
  <c r="G314" i="17" l="1"/>
  <c r="G315" i="17" l="1"/>
  <c r="G316" i="17" l="1"/>
  <c r="G317" i="17" l="1"/>
  <c r="G318" i="17" l="1"/>
  <c r="G319" i="17" l="1"/>
  <c r="G320" i="17" l="1"/>
  <c r="G321" i="17" l="1"/>
  <c r="G322" i="17" l="1"/>
  <c r="G323" i="17" l="1"/>
  <c r="G324" i="17" l="1"/>
  <c r="G325" i="17" l="1"/>
  <c r="G326" i="17" l="1"/>
  <c r="G327" i="17" l="1"/>
  <c r="G328" i="17" l="1"/>
  <c r="G329" i="17" l="1"/>
  <c r="G330" i="17" l="1"/>
  <c r="G331" i="17" l="1"/>
  <c r="G332" i="17" l="1"/>
  <c r="G333" i="17" l="1"/>
  <c r="G334" i="17" l="1"/>
  <c r="G335" i="17" l="1"/>
  <c r="G336" i="17" l="1"/>
  <c r="G337" i="17" l="1"/>
  <c r="G338" i="17" l="1"/>
  <c r="G339" i="17" l="1"/>
  <c r="G340" i="17" l="1"/>
  <c r="G341" i="17" l="1"/>
  <c r="G342" i="17" l="1"/>
  <c r="G343" i="17" l="1"/>
  <c r="G344" i="17" l="1"/>
  <c r="G345" i="17" l="1"/>
  <c r="K346" i="17" l="1"/>
  <c r="G346" i="17"/>
  <c r="J293" i="17" l="1"/>
  <c r="J292" i="17"/>
  <c r="J291" i="17"/>
  <c r="F291" i="17"/>
  <c r="F292" i="17" s="1"/>
  <c r="F293" i="17" s="1"/>
  <c r="F294" i="17" s="1"/>
  <c r="J290" i="17"/>
  <c r="J289" i="17"/>
  <c r="J288" i="17"/>
  <c r="F288" i="17"/>
  <c r="F289" i="17" s="1"/>
  <c r="J287" i="17"/>
  <c r="F287" i="17"/>
  <c r="J286" i="17"/>
  <c r="J285" i="17"/>
  <c r="J284" i="17"/>
  <c r="J283" i="17"/>
  <c r="F283" i="17"/>
  <c r="F284" i="17" s="1"/>
  <c r="F285" i="17" s="1"/>
  <c r="J282" i="17"/>
  <c r="J281" i="17"/>
  <c r="J280" i="17"/>
  <c r="J279" i="17"/>
  <c r="F279" i="17"/>
  <c r="F280" i="17" s="1"/>
  <c r="F281" i="17" s="1"/>
  <c r="J278" i="17"/>
  <c r="J277" i="17"/>
  <c r="J276" i="17"/>
  <c r="J275" i="17"/>
  <c r="F275" i="17"/>
  <c r="F276" i="17" s="1"/>
  <c r="F277" i="17" s="1"/>
  <c r="J274" i="17"/>
  <c r="J273" i="17"/>
  <c r="J272" i="17"/>
  <c r="J271" i="17"/>
  <c r="F271" i="17"/>
  <c r="F272" i="17" s="1"/>
  <c r="F273" i="17" s="1"/>
  <c r="J270" i="17"/>
  <c r="J269" i="17"/>
  <c r="J268" i="17"/>
  <c r="J267" i="17"/>
  <c r="F267" i="17"/>
  <c r="F268" i="17" s="1"/>
  <c r="F269" i="17" s="1"/>
  <c r="J266" i="17"/>
  <c r="J265" i="17"/>
  <c r="J264" i="17"/>
  <c r="J263" i="17"/>
  <c r="F263" i="17"/>
  <c r="F264" i="17" s="1"/>
  <c r="F265" i="17" s="1"/>
  <c r="J262" i="17"/>
  <c r="J261" i="17"/>
  <c r="J260" i="17"/>
  <c r="J259" i="17"/>
  <c r="F259" i="17"/>
  <c r="F260" i="17" s="1"/>
  <c r="F261" i="17" s="1"/>
  <c r="J258" i="17"/>
  <c r="J257" i="17"/>
  <c r="J256" i="17"/>
  <c r="J255" i="17"/>
  <c r="F255" i="17"/>
  <c r="F256" i="17" s="1"/>
  <c r="F257" i="17" s="1"/>
  <c r="J254" i="17"/>
  <c r="J253" i="17"/>
  <c r="J252" i="17"/>
  <c r="J251" i="17"/>
  <c r="F251" i="17"/>
  <c r="F252" i="17" s="1"/>
  <c r="F253" i="17" s="1"/>
  <c r="J250" i="17"/>
  <c r="J249" i="17"/>
  <c r="J248" i="17"/>
  <c r="J247" i="17"/>
  <c r="F247" i="17"/>
  <c r="F248" i="17" s="1"/>
  <c r="F249" i="17" s="1"/>
  <c r="J246" i="17"/>
  <c r="J245" i="17"/>
  <c r="J244" i="17"/>
  <c r="J243" i="17"/>
  <c r="F243" i="17"/>
  <c r="F244" i="17" s="1"/>
  <c r="F245" i="17" s="1"/>
  <c r="J242" i="17"/>
  <c r="J241" i="17"/>
  <c r="J240" i="17"/>
  <c r="J239" i="17"/>
  <c r="F239" i="17"/>
  <c r="F240" i="17" s="1"/>
  <c r="F241" i="17" s="1"/>
  <c r="J238" i="17"/>
  <c r="J237" i="17"/>
  <c r="J236" i="17"/>
  <c r="J235" i="17"/>
  <c r="F235" i="17"/>
  <c r="F236" i="17" s="1"/>
  <c r="F237" i="17" s="1"/>
  <c r="J234" i="17"/>
  <c r="J233" i="17"/>
  <c r="J232" i="17"/>
  <c r="J231" i="17"/>
  <c r="F231" i="17"/>
  <c r="F232" i="17" s="1"/>
  <c r="F233" i="17" s="1"/>
  <c r="J230" i="17"/>
  <c r="J229" i="17"/>
  <c r="J228" i="17"/>
  <c r="J227" i="17"/>
  <c r="F227" i="17"/>
  <c r="F228" i="17" s="1"/>
  <c r="F229" i="17" s="1"/>
  <c r="J226" i="17"/>
  <c r="J225" i="17"/>
  <c r="J224" i="17"/>
  <c r="J223" i="17"/>
  <c r="F223" i="17"/>
  <c r="F224" i="17" s="1"/>
  <c r="F225" i="17" s="1"/>
  <c r="J222" i="17"/>
  <c r="J221" i="17"/>
  <c r="J220" i="17"/>
  <c r="J219" i="17"/>
  <c r="F219" i="17"/>
  <c r="F220" i="17" s="1"/>
  <c r="F221" i="17" s="1"/>
  <c r="J218" i="17"/>
  <c r="J217" i="17"/>
  <c r="J216" i="17"/>
  <c r="J215" i="17"/>
  <c r="F215" i="17"/>
  <c r="F216" i="17" s="1"/>
  <c r="F217" i="17" s="1"/>
  <c r="J214" i="17"/>
  <c r="J213" i="17"/>
  <c r="J212" i="17"/>
  <c r="J211" i="17"/>
  <c r="F211" i="17"/>
  <c r="F212" i="17" s="1"/>
  <c r="F213" i="17" s="1"/>
  <c r="J210" i="17"/>
  <c r="J209" i="17"/>
  <c r="J208" i="17"/>
  <c r="J207" i="17"/>
  <c r="F207" i="17"/>
  <c r="F208" i="17" s="1"/>
  <c r="F209" i="17" s="1"/>
  <c r="J206" i="17"/>
  <c r="J205" i="17"/>
  <c r="J204" i="17"/>
  <c r="J203" i="17"/>
  <c r="F203" i="17"/>
  <c r="F204" i="17" s="1"/>
  <c r="F205" i="17" s="1"/>
  <c r="J202" i="17"/>
  <c r="J201" i="17"/>
  <c r="J200" i="17"/>
  <c r="J199" i="17"/>
  <c r="F199" i="17"/>
  <c r="F200" i="17" s="1"/>
  <c r="F201" i="17" s="1"/>
  <c r="J198" i="17"/>
  <c r="J197" i="17"/>
  <c r="J196" i="17"/>
  <c r="J195" i="17"/>
  <c r="F195" i="17"/>
  <c r="F196" i="17" s="1"/>
  <c r="F197" i="17" s="1"/>
  <c r="J194" i="17"/>
  <c r="J193" i="17"/>
  <c r="J192" i="17"/>
  <c r="J191" i="17"/>
  <c r="F191" i="17"/>
  <c r="F192" i="17" s="1"/>
  <c r="F193" i="17" s="1"/>
  <c r="J190" i="17"/>
  <c r="J189" i="17"/>
  <c r="J188" i="17"/>
  <c r="J187" i="17"/>
  <c r="F187" i="17"/>
  <c r="F188" i="17" s="1"/>
  <c r="F189" i="17" s="1"/>
  <c r="J186" i="17"/>
  <c r="J185" i="17"/>
  <c r="J184" i="17"/>
  <c r="J183" i="17"/>
  <c r="F183" i="17"/>
  <c r="F184" i="17" s="1"/>
  <c r="F185" i="17" s="1"/>
  <c r="J182" i="17"/>
  <c r="L181" i="17"/>
  <c r="G181" i="17" s="1"/>
  <c r="J181" i="17"/>
  <c r="R180" i="17"/>
  <c r="J180" i="17"/>
  <c r="J179" i="17"/>
  <c r="J178" i="17"/>
  <c r="F178" i="17"/>
  <c r="F179" i="17" s="1"/>
  <c r="F180" i="17" s="1"/>
  <c r="M177" i="17"/>
  <c r="M178" i="17" s="1"/>
  <c r="L177" i="17"/>
  <c r="Q177" i="17" s="1"/>
  <c r="J177" i="17"/>
  <c r="R176" i="17"/>
  <c r="J176" i="17"/>
  <c r="J175" i="17"/>
  <c r="M174" i="17"/>
  <c r="M175" i="17" s="1"/>
  <c r="L174" i="17"/>
  <c r="Q174" i="17" s="1"/>
  <c r="J174" i="17"/>
  <c r="F174" i="17"/>
  <c r="F175" i="17" s="1"/>
  <c r="F176" i="17" s="1"/>
  <c r="R173" i="17"/>
  <c r="L173" i="17"/>
  <c r="O173" i="17" s="1"/>
  <c r="P173" i="17" s="1"/>
  <c r="J173" i="17"/>
  <c r="R172" i="17"/>
  <c r="J172" i="17"/>
  <c r="J171" i="17"/>
  <c r="M170" i="17"/>
  <c r="R170" i="17" s="1"/>
  <c r="L170" i="17"/>
  <c r="Q170" i="17" s="1"/>
  <c r="J170" i="17"/>
  <c r="F170" i="17"/>
  <c r="F171" i="17" s="1"/>
  <c r="F172" i="17" s="1"/>
  <c r="R169" i="17"/>
  <c r="L169" i="17"/>
  <c r="Q169" i="17" s="1"/>
  <c r="J169" i="17"/>
  <c r="R168" i="17"/>
  <c r="J168" i="17"/>
  <c r="J167" i="17"/>
  <c r="M166" i="17"/>
  <c r="L167" i="17" s="1"/>
  <c r="L166" i="17"/>
  <c r="G166" i="17" s="1"/>
  <c r="J166" i="17"/>
  <c r="F166" i="17"/>
  <c r="F167" i="17" s="1"/>
  <c r="F168" i="17" s="1"/>
  <c r="R165" i="17"/>
  <c r="L165" i="17"/>
  <c r="G165" i="17" s="1"/>
  <c r="J165" i="17"/>
  <c r="R164" i="17"/>
  <c r="J164" i="17"/>
  <c r="J163" i="17"/>
  <c r="M162" i="17"/>
  <c r="R162" i="17" s="1"/>
  <c r="L162" i="17"/>
  <c r="G162" i="17" s="1"/>
  <c r="J162" i="17"/>
  <c r="F162" i="17"/>
  <c r="F163" i="17" s="1"/>
  <c r="F164" i="17" s="1"/>
  <c r="R161" i="17"/>
  <c r="L161" i="17"/>
  <c r="G161" i="17" s="1"/>
  <c r="J161" i="17"/>
  <c r="R160" i="17"/>
  <c r="J160" i="17"/>
  <c r="J159" i="17"/>
  <c r="M158" i="17"/>
  <c r="L159" i="17" s="1"/>
  <c r="L158" i="17"/>
  <c r="J158" i="17"/>
  <c r="F158" i="17"/>
  <c r="F159" i="17" s="1"/>
  <c r="F160" i="17" s="1"/>
  <c r="R157" i="17"/>
  <c r="L157" i="17"/>
  <c r="Q157" i="17" s="1"/>
  <c r="J157" i="17"/>
  <c r="R156" i="17"/>
  <c r="J156" i="17"/>
  <c r="J155" i="17"/>
  <c r="J154" i="17"/>
  <c r="F154" i="17"/>
  <c r="F155" i="17" s="1"/>
  <c r="F156" i="17" s="1"/>
  <c r="M153" i="17"/>
  <c r="L154" i="17" s="1"/>
  <c r="L153" i="17"/>
  <c r="Q153" i="17" s="1"/>
  <c r="J153" i="17"/>
  <c r="R152" i="17"/>
  <c r="J152" i="17"/>
  <c r="J151" i="17"/>
  <c r="M150" i="17"/>
  <c r="M151" i="17" s="1"/>
  <c r="L150" i="17"/>
  <c r="G150" i="17" s="1"/>
  <c r="J150" i="17"/>
  <c r="F150" i="17"/>
  <c r="F151" i="17" s="1"/>
  <c r="F152" i="17" s="1"/>
  <c r="R149" i="17"/>
  <c r="L149" i="17"/>
  <c r="Q149" i="17" s="1"/>
  <c r="J149" i="17"/>
  <c r="R148" i="17"/>
  <c r="J148" i="17"/>
  <c r="J147" i="17"/>
  <c r="M146" i="17"/>
  <c r="L147" i="17" s="1"/>
  <c r="L146" i="17"/>
  <c r="Q146" i="17" s="1"/>
  <c r="J146" i="17"/>
  <c r="F146" i="17"/>
  <c r="F147" i="17" s="1"/>
  <c r="F148" i="17" s="1"/>
  <c r="R145" i="17"/>
  <c r="L145" i="17"/>
  <c r="Q145" i="17" s="1"/>
  <c r="J145" i="17"/>
  <c r="R144" i="17"/>
  <c r="J144" i="17"/>
  <c r="J143" i="17"/>
  <c r="M142" i="17"/>
  <c r="R142" i="17" s="1"/>
  <c r="L142" i="17"/>
  <c r="Q142" i="17" s="1"/>
  <c r="J142" i="17"/>
  <c r="F142" i="17"/>
  <c r="F143" i="17" s="1"/>
  <c r="F144" i="17" s="1"/>
  <c r="R141" i="17"/>
  <c r="L141" i="17"/>
  <c r="Q141" i="17" s="1"/>
  <c r="J141" i="17"/>
  <c r="R140" i="17"/>
  <c r="J140" i="17"/>
  <c r="J139" i="17"/>
  <c r="M138" i="17"/>
  <c r="L139" i="17" s="1"/>
  <c r="L138" i="17"/>
  <c r="J138" i="17"/>
  <c r="F138" i="17"/>
  <c r="F139" i="17" s="1"/>
  <c r="F140" i="17" s="1"/>
  <c r="R137" i="17"/>
  <c r="L137" i="17"/>
  <c r="J137" i="17"/>
  <c r="R136" i="17"/>
  <c r="J136" i="17"/>
  <c r="J135" i="17"/>
  <c r="M134" i="17"/>
  <c r="L135" i="17" s="1"/>
  <c r="L134" i="17"/>
  <c r="G134" i="17" s="1"/>
  <c r="J134" i="17"/>
  <c r="F134" i="17"/>
  <c r="F135" i="17" s="1"/>
  <c r="F136" i="17" s="1"/>
  <c r="R133" i="17"/>
  <c r="L133" i="17"/>
  <c r="G133" i="17" s="1"/>
  <c r="J133" i="17"/>
  <c r="R132" i="17"/>
  <c r="J132" i="17"/>
  <c r="J131" i="17"/>
  <c r="P130" i="17"/>
  <c r="M130" i="17"/>
  <c r="L131" i="17" s="1"/>
  <c r="L130" i="17"/>
  <c r="Q130" i="17" s="1"/>
  <c r="J130" i="17"/>
  <c r="F130" i="17"/>
  <c r="F131" i="17" s="1"/>
  <c r="F132" i="17" s="1"/>
  <c r="R129" i="17"/>
  <c r="L129" i="17"/>
  <c r="G129" i="17" s="1"/>
  <c r="J129" i="17"/>
  <c r="R128" i="17"/>
  <c r="J128" i="17"/>
  <c r="P127" i="17"/>
  <c r="J127" i="17"/>
  <c r="M126" i="17"/>
  <c r="M127" i="17" s="1"/>
  <c r="L126" i="17"/>
  <c r="Q126" i="17" s="1"/>
  <c r="J126" i="17"/>
  <c r="F126" i="17"/>
  <c r="F127" i="17" s="1"/>
  <c r="F128" i="17" s="1"/>
  <c r="R125" i="17"/>
  <c r="L125" i="17"/>
  <c r="Q125" i="17" s="1"/>
  <c r="J125" i="17"/>
  <c r="J124" i="17"/>
  <c r="J123" i="17"/>
  <c r="M122" i="17"/>
  <c r="L123" i="17" s="1"/>
  <c r="L122" i="17"/>
  <c r="J122" i="17"/>
  <c r="L121" i="17"/>
  <c r="O121" i="17" s="1"/>
  <c r="J121" i="17"/>
  <c r="O120" i="17"/>
  <c r="J120" i="17"/>
  <c r="O119" i="17"/>
  <c r="J119" i="17"/>
  <c r="O118" i="17"/>
  <c r="J118" i="17"/>
  <c r="O117" i="17"/>
  <c r="J117" i="17"/>
  <c r="O116" i="17"/>
  <c r="J116" i="17"/>
  <c r="O115" i="17"/>
  <c r="J115" i="17"/>
  <c r="O114" i="17"/>
  <c r="J114" i="17"/>
  <c r="O113" i="17"/>
  <c r="J113" i="17"/>
  <c r="O112" i="17"/>
  <c r="J112" i="17"/>
  <c r="O111" i="17"/>
  <c r="J111" i="17"/>
  <c r="O110" i="17"/>
  <c r="J110" i="17"/>
  <c r="O109" i="17"/>
  <c r="J109" i="17"/>
  <c r="J108" i="17"/>
  <c r="J107" i="17"/>
  <c r="J106" i="17"/>
  <c r="J105" i="17"/>
  <c r="J104" i="17"/>
  <c r="J103" i="17"/>
  <c r="J102" i="17"/>
  <c r="J101" i="17"/>
  <c r="A101" i="17"/>
  <c r="J100" i="17"/>
  <c r="A100" i="17"/>
  <c r="J99" i="17"/>
  <c r="A99" i="17"/>
  <c r="J98" i="17"/>
  <c r="A98" i="17"/>
  <c r="J97" i="17"/>
  <c r="A97" i="17"/>
  <c r="J96" i="17"/>
  <c r="A96" i="17"/>
  <c r="J95" i="17"/>
  <c r="A95" i="17"/>
  <c r="J94" i="17"/>
  <c r="A94" i="17"/>
  <c r="J93" i="17"/>
  <c r="A93" i="17"/>
  <c r="J92" i="17"/>
  <c r="A92" i="17"/>
  <c r="J91" i="17"/>
  <c r="A91" i="17"/>
  <c r="K90" i="17"/>
  <c r="J90" i="17"/>
  <c r="A90" i="17"/>
  <c r="K89" i="17"/>
  <c r="J89" i="17"/>
  <c r="A89" i="17"/>
  <c r="K88" i="17"/>
  <c r="J88" i="17"/>
  <c r="A88" i="17"/>
  <c r="J87" i="17"/>
  <c r="A87" i="17"/>
  <c r="J86" i="17"/>
  <c r="A86" i="17"/>
  <c r="J85" i="17"/>
  <c r="A85" i="17"/>
  <c r="J84" i="17"/>
  <c r="A84" i="17"/>
  <c r="J83" i="17"/>
  <c r="A83" i="17"/>
  <c r="J82" i="17"/>
  <c r="A82" i="17"/>
  <c r="J81" i="17"/>
  <c r="A81" i="17"/>
  <c r="J80" i="17"/>
  <c r="A80" i="17"/>
  <c r="J79" i="17"/>
  <c r="A79" i="17"/>
  <c r="J78" i="17"/>
  <c r="A78" i="17"/>
  <c r="J77" i="17"/>
  <c r="A77" i="17"/>
  <c r="J76" i="17"/>
  <c r="A76" i="17"/>
  <c r="J75" i="17"/>
  <c r="A75" i="17"/>
  <c r="J74" i="17"/>
  <c r="A74" i="17"/>
  <c r="J73" i="17"/>
  <c r="J72" i="17"/>
  <c r="J71" i="17"/>
  <c r="J70" i="17"/>
  <c r="J69" i="17"/>
  <c r="G153" i="17" l="1"/>
  <c r="M154" i="17"/>
  <c r="L155" i="17" s="1"/>
  <c r="O161" i="17"/>
  <c r="P161" i="17" s="1"/>
  <c r="O158" i="17"/>
  <c r="P158" i="17" s="1"/>
  <c r="M181" i="17"/>
  <c r="R181" i="17" s="1"/>
  <c r="G174" i="17"/>
  <c r="O133" i="17"/>
  <c r="P133" i="17" s="1"/>
  <c r="R150" i="17"/>
  <c r="G170" i="17"/>
  <c r="R146" i="17"/>
  <c r="O126" i="17"/>
  <c r="P126" i="17" s="1"/>
  <c r="Q173" i="17"/>
  <c r="L178" i="17"/>
  <c r="G178" i="17" s="1"/>
  <c r="Q181" i="17"/>
  <c r="O142" i="17"/>
  <c r="P142" i="17" s="1"/>
  <c r="G125" i="17"/>
  <c r="Q129" i="17"/>
  <c r="M131" i="17"/>
  <c r="R131" i="17" s="1"/>
  <c r="G141" i="17"/>
  <c r="G149" i="17"/>
  <c r="O125" i="17"/>
  <c r="O141" i="17"/>
  <c r="P141" i="17" s="1"/>
  <c r="O149" i="17"/>
  <c r="P149" i="17" s="1"/>
  <c r="R177" i="17"/>
  <c r="O122" i="17"/>
  <c r="L128" i="17"/>
  <c r="Q128" i="17" s="1"/>
  <c r="R127" i="17"/>
  <c r="Q158" i="17"/>
  <c r="R126" i="17"/>
  <c r="G130" i="17"/>
  <c r="M139" i="17"/>
  <c r="R139" i="17" s="1"/>
  <c r="O153" i="17"/>
  <c r="P153" i="17" s="1"/>
  <c r="Q150" i="17"/>
  <c r="L175" i="17"/>
  <c r="M123" i="17"/>
  <c r="L124" i="17" s="1"/>
  <c r="O124" i="17" s="1"/>
  <c r="L127" i="17"/>
  <c r="Q127" i="17" s="1"/>
  <c r="G146" i="17"/>
  <c r="M147" i="17"/>
  <c r="O147" i="17" s="1"/>
  <c r="P147" i="17" s="1"/>
  <c r="G158" i="17"/>
  <c r="M159" i="17"/>
  <c r="R159" i="17" s="1"/>
  <c r="G126" i="17"/>
  <c r="O129" i="17"/>
  <c r="P129" i="17" s="1"/>
  <c r="G142" i="17"/>
  <c r="G157" i="17"/>
  <c r="G169" i="17"/>
  <c r="K181" i="17"/>
  <c r="G173" i="17"/>
  <c r="R138" i="17"/>
  <c r="G145" i="17"/>
  <c r="G177" i="17"/>
  <c r="O146" i="17"/>
  <c r="P146" i="17" s="1"/>
  <c r="R154" i="17"/>
  <c r="O157" i="17"/>
  <c r="P157" i="17" s="1"/>
  <c r="O169" i="17"/>
  <c r="P169" i="17" s="1"/>
  <c r="O170" i="17"/>
  <c r="P170" i="17" s="1"/>
  <c r="R174" i="17"/>
  <c r="G139" i="17"/>
  <c r="Q139" i="17"/>
  <c r="Q147" i="17"/>
  <c r="G147" i="17"/>
  <c r="G155" i="17"/>
  <c r="Q155" i="17"/>
  <c r="G159" i="17"/>
  <c r="Q159" i="17"/>
  <c r="L176" i="17"/>
  <c r="R175" i="17"/>
  <c r="G138" i="17"/>
  <c r="Q138" i="17"/>
  <c r="O138" i="17"/>
  <c r="P138" i="17" s="1"/>
  <c r="G137" i="17"/>
  <c r="Q137" i="17"/>
  <c r="O137" i="17"/>
  <c r="P137" i="17" s="1"/>
  <c r="G167" i="17"/>
  <c r="Q167" i="17"/>
  <c r="G135" i="17"/>
  <c r="Q135" i="17"/>
  <c r="R134" i="17"/>
  <c r="M135" i="17"/>
  <c r="O135" i="17" s="1"/>
  <c r="P135" i="17" s="1"/>
  <c r="L152" i="17"/>
  <c r="R151" i="17"/>
  <c r="M179" i="17"/>
  <c r="R178" i="17"/>
  <c r="L179" i="17"/>
  <c r="O128" i="17"/>
  <c r="G128" i="17"/>
  <c r="G131" i="17"/>
  <c r="Q131" i="17"/>
  <c r="O131" i="17"/>
  <c r="P131" i="17" s="1"/>
  <c r="O154" i="17"/>
  <c r="P154" i="17" s="1"/>
  <c r="G154" i="17"/>
  <c r="Q154" i="17"/>
  <c r="O175" i="17"/>
  <c r="P175" i="17" s="1"/>
  <c r="L163" i="17"/>
  <c r="M167" i="17"/>
  <c r="O167" i="17" s="1"/>
  <c r="P167" i="17" s="1"/>
  <c r="O134" i="17"/>
  <c r="P134" i="17" s="1"/>
  <c r="R153" i="17"/>
  <c r="O162" i="17"/>
  <c r="P162" i="17" s="1"/>
  <c r="M163" i="17"/>
  <c r="O165" i="17"/>
  <c r="P165" i="17" s="1"/>
  <c r="O166" i="17"/>
  <c r="P166" i="17" s="1"/>
  <c r="G127" i="17"/>
  <c r="R130" i="17"/>
  <c r="Q133" i="17"/>
  <c r="Q161" i="17"/>
  <c r="O178" i="17"/>
  <c r="P178" i="17" s="1"/>
  <c r="L182" i="17"/>
  <c r="L143" i="17"/>
  <c r="P125" i="17"/>
  <c r="Q134" i="17"/>
  <c r="M143" i="17"/>
  <c r="O145" i="17"/>
  <c r="P145" i="17" s="1"/>
  <c r="R158" i="17"/>
  <c r="Q162" i="17"/>
  <c r="Q165" i="17"/>
  <c r="Q166" i="17"/>
  <c r="O181" i="17"/>
  <c r="P181" i="17" s="1"/>
  <c r="M182" i="17"/>
  <c r="L151" i="17"/>
  <c r="R166" i="17"/>
  <c r="O177" i="17"/>
  <c r="P177" i="17" s="1"/>
  <c r="O150" i="17"/>
  <c r="P150" i="17" s="1"/>
  <c r="Q178" i="17"/>
  <c r="L171" i="17"/>
  <c r="O174" i="17"/>
  <c r="P174" i="17" s="1"/>
  <c r="M171" i="17"/>
  <c r="L160" i="17" l="1"/>
  <c r="M155" i="17"/>
  <c r="R155" i="17" s="1"/>
  <c r="L132" i="17"/>
  <c r="O139" i="17"/>
  <c r="P139" i="17" s="1"/>
  <c r="L140" i="17"/>
  <c r="O140" i="17" s="1"/>
  <c r="P140" i="17" s="1"/>
  <c r="L148" i="17"/>
  <c r="R147" i="17"/>
  <c r="O159" i="17"/>
  <c r="P159" i="17" s="1"/>
  <c r="Q175" i="17"/>
  <c r="G175" i="17"/>
  <c r="O123" i="17"/>
  <c r="G160" i="17"/>
  <c r="Q160" i="17"/>
  <c r="O160" i="17"/>
  <c r="P160" i="17" s="1"/>
  <c r="Q140" i="17"/>
  <c r="R163" i="17"/>
  <c r="L164" i="17"/>
  <c r="P128" i="17"/>
  <c r="O152" i="17"/>
  <c r="P152" i="17" s="1"/>
  <c r="G152" i="17"/>
  <c r="Q152" i="17"/>
  <c r="Q171" i="17"/>
  <c r="G171" i="17"/>
  <c r="O171" i="17"/>
  <c r="P171" i="17" s="1"/>
  <c r="Q179" i="17"/>
  <c r="O179" i="17"/>
  <c r="P179" i="17" s="1"/>
  <c r="G179" i="17"/>
  <c r="R135" i="17"/>
  <c r="L136" i="17"/>
  <c r="R182" i="17"/>
  <c r="M183" i="17"/>
  <c r="L183" i="17"/>
  <c r="L172" i="17"/>
  <c r="R171" i="17"/>
  <c r="G182" i="17"/>
  <c r="Q182" i="17"/>
  <c r="O182" i="17"/>
  <c r="P182" i="17" s="1"/>
  <c r="Q143" i="17"/>
  <c r="O143" i="17"/>
  <c r="P143" i="17" s="1"/>
  <c r="G143" i="17"/>
  <c r="L180" i="17"/>
  <c r="R179" i="17"/>
  <c r="R167" i="17"/>
  <c r="L168" i="17"/>
  <c r="Q176" i="17"/>
  <c r="O176" i="17"/>
  <c r="P176" i="17" s="1"/>
  <c r="G176" i="17"/>
  <c r="O151" i="17"/>
  <c r="P151" i="17" s="1"/>
  <c r="G151" i="17"/>
  <c r="Q151" i="17"/>
  <c r="G163" i="17"/>
  <c r="Q163" i="17"/>
  <c r="O163" i="17"/>
  <c r="P163" i="17" s="1"/>
  <c r="G132" i="17"/>
  <c r="Q132" i="17"/>
  <c r="O132" i="17"/>
  <c r="R143" i="17"/>
  <c r="L144" i="17"/>
  <c r="L156" i="17" l="1"/>
  <c r="O155" i="17"/>
  <c r="P155" i="17" s="1"/>
  <c r="G140" i="17"/>
  <c r="G148" i="17"/>
  <c r="Q148" i="17"/>
  <c r="O148" i="17"/>
  <c r="P148" i="17" s="1"/>
  <c r="G164" i="17"/>
  <c r="Q164" i="17"/>
  <c r="O164" i="17"/>
  <c r="P164" i="17" s="1"/>
  <c r="G136" i="17"/>
  <c r="Q136" i="17"/>
  <c r="O136" i="17"/>
  <c r="P136" i="17" s="1"/>
  <c r="G168" i="17"/>
  <c r="Q168" i="17"/>
  <c r="O168" i="17"/>
  <c r="P168" i="17" s="1"/>
  <c r="Q144" i="17"/>
  <c r="O144" i="17"/>
  <c r="P144" i="17" s="1"/>
  <c r="G144" i="17"/>
  <c r="P132" i="17"/>
  <c r="Q180" i="17"/>
  <c r="O180" i="17"/>
  <c r="P180" i="17" s="1"/>
  <c r="G180" i="17"/>
  <c r="Q172" i="17"/>
  <c r="O172" i="17"/>
  <c r="P172" i="17" s="1"/>
  <c r="G172" i="17"/>
  <c r="Q183" i="17"/>
  <c r="O183" i="17"/>
  <c r="P183" i="17" s="1"/>
  <c r="G183" i="17"/>
  <c r="R183" i="17"/>
  <c r="M184" i="17"/>
  <c r="L184" i="17"/>
  <c r="O156" i="17" l="1"/>
  <c r="P156" i="17" s="1"/>
  <c r="G156" i="17"/>
  <c r="Q156" i="17"/>
  <c r="U128" i="17"/>
  <c r="M185" i="17"/>
  <c r="L185" i="17"/>
  <c r="R184" i="17"/>
  <c r="U126" i="17"/>
  <c r="U129" i="17"/>
  <c r="O184" i="17"/>
  <c r="P184" i="17" s="1"/>
  <c r="Q184" i="17"/>
  <c r="G184" i="17"/>
  <c r="U130" i="17"/>
  <c r="U125" i="17"/>
  <c r="U127" i="17"/>
  <c r="Q121" i="17"/>
  <c r="R121" i="17" s="1"/>
  <c r="Q185" i="17" l="1"/>
  <c r="O185" i="17"/>
  <c r="P185" i="17" s="1"/>
  <c r="G185" i="17"/>
  <c r="M186" i="17"/>
  <c r="L186" i="17"/>
  <c r="R185" i="17"/>
  <c r="G186" i="17" l="1"/>
  <c r="Q186" i="17"/>
  <c r="O186" i="17"/>
  <c r="P186" i="17" s="1"/>
  <c r="L187" i="17"/>
  <c r="R186" i="17"/>
  <c r="M187" i="17"/>
  <c r="R187" i="17" l="1"/>
  <c r="L188" i="17"/>
  <c r="M188" i="17"/>
  <c r="G187" i="17"/>
  <c r="Q187" i="17"/>
  <c r="O187" i="17"/>
  <c r="P187" i="17" s="1"/>
  <c r="R188" i="17" l="1"/>
  <c r="M189" i="17"/>
  <c r="L189" i="17"/>
  <c r="Q188" i="17"/>
  <c r="O188" i="17"/>
  <c r="P188" i="17" s="1"/>
  <c r="G188" i="17"/>
  <c r="O189" i="17" l="1"/>
  <c r="P189" i="17" s="1"/>
  <c r="Q189" i="17"/>
  <c r="G189" i="17"/>
  <c r="M190" i="17"/>
  <c r="L190" i="17"/>
  <c r="R189" i="17"/>
  <c r="L191" i="17" l="1"/>
  <c r="R190" i="17"/>
  <c r="M191" i="17"/>
  <c r="O190" i="17"/>
  <c r="P190" i="17" s="1"/>
  <c r="Q190" i="17"/>
  <c r="G190" i="17"/>
  <c r="G191" i="17" l="1"/>
  <c r="Q191" i="17"/>
  <c r="O191" i="17"/>
  <c r="P191" i="17" s="1"/>
  <c r="R191" i="17"/>
  <c r="M192" i="17"/>
  <c r="L192" i="17"/>
  <c r="G192" i="17" l="1"/>
  <c r="Q192" i="17"/>
  <c r="O192" i="17"/>
  <c r="P192" i="17" s="1"/>
  <c r="R192" i="17"/>
  <c r="M193" i="17"/>
  <c r="L193" i="17"/>
  <c r="Q193" i="17" l="1"/>
  <c r="O193" i="17"/>
  <c r="P193" i="17" s="1"/>
  <c r="G193" i="17"/>
  <c r="M194" i="17"/>
  <c r="L194" i="17"/>
  <c r="R193" i="17"/>
  <c r="O194" i="17" l="1"/>
  <c r="P194" i="17" s="1"/>
  <c r="G194" i="17"/>
  <c r="Q194" i="17"/>
  <c r="M195" i="17"/>
  <c r="L195" i="17"/>
  <c r="R194" i="17"/>
  <c r="R195" i="17" l="1"/>
  <c r="M196" i="17"/>
  <c r="L196" i="17"/>
  <c r="G195" i="17"/>
  <c r="Q195" i="17"/>
  <c r="O195" i="17"/>
  <c r="P195" i="17" s="1"/>
  <c r="R196" i="17" l="1"/>
  <c r="M197" i="17"/>
  <c r="L197" i="17"/>
  <c r="G196" i="17"/>
  <c r="Q196" i="17"/>
  <c r="O196" i="17"/>
  <c r="P196" i="17" s="1"/>
  <c r="Q197" i="17" l="1"/>
  <c r="O197" i="17"/>
  <c r="P197" i="17" s="1"/>
  <c r="G197" i="17"/>
  <c r="R197" i="17"/>
  <c r="M198" i="17"/>
  <c r="L198" i="17"/>
  <c r="Q198" i="17" l="1"/>
  <c r="O198" i="17"/>
  <c r="P198" i="17" s="1"/>
  <c r="G198" i="17"/>
  <c r="M199" i="17"/>
  <c r="L199" i="17"/>
  <c r="R198" i="17"/>
  <c r="O199" i="17" l="1"/>
  <c r="P199" i="17" s="1"/>
  <c r="G199" i="17"/>
  <c r="Q199" i="17"/>
  <c r="L200" i="17"/>
  <c r="R199" i="17"/>
  <c r="M200" i="17"/>
  <c r="G200" i="17" l="1"/>
  <c r="Q200" i="17"/>
  <c r="O200" i="17"/>
  <c r="P200" i="17" s="1"/>
  <c r="R200" i="17"/>
  <c r="M201" i="17"/>
  <c r="L201" i="17"/>
  <c r="G201" i="17" l="1"/>
  <c r="Q201" i="17"/>
  <c r="O201" i="17"/>
  <c r="P201" i="17" s="1"/>
  <c r="R201" i="17"/>
  <c r="M202" i="17"/>
  <c r="L202" i="17"/>
  <c r="G202" i="17" l="1"/>
  <c r="Q202" i="17"/>
  <c r="O202" i="17"/>
  <c r="P202" i="17" s="1"/>
  <c r="R202" i="17"/>
  <c r="M203" i="17"/>
  <c r="L203" i="17"/>
  <c r="Q203" i="17" l="1"/>
  <c r="O203" i="17"/>
  <c r="P203" i="17" s="1"/>
  <c r="G203" i="17"/>
  <c r="M204" i="17"/>
  <c r="L204" i="17"/>
  <c r="R203" i="17"/>
  <c r="O204" i="17" l="1"/>
  <c r="P204" i="17" s="1"/>
  <c r="G204" i="17"/>
  <c r="Q204" i="17"/>
  <c r="R204" i="17"/>
  <c r="M205" i="17"/>
  <c r="L205" i="17"/>
  <c r="M206" i="17" l="1"/>
  <c r="L206" i="17"/>
  <c r="R205" i="17"/>
  <c r="O205" i="17"/>
  <c r="P205" i="17" s="1"/>
  <c r="G205" i="17"/>
  <c r="Q205" i="17"/>
  <c r="O206" i="17" l="1"/>
  <c r="P206" i="17" s="1"/>
  <c r="G206" i="17"/>
  <c r="Q206" i="17"/>
  <c r="L207" i="17"/>
  <c r="M207" i="17"/>
  <c r="R206" i="17"/>
  <c r="M208" i="17" l="1"/>
  <c r="L208" i="17"/>
  <c r="R207" i="17"/>
  <c r="Q207" i="17"/>
  <c r="O207" i="17"/>
  <c r="P207" i="17" s="1"/>
  <c r="G207" i="17"/>
  <c r="G208" i="17" l="1"/>
  <c r="O208" i="17"/>
  <c r="P208" i="17" s="1"/>
  <c r="Q208" i="17"/>
  <c r="L209" i="17"/>
  <c r="M209" i="17"/>
  <c r="R208" i="17"/>
  <c r="M210" i="17" l="1"/>
  <c r="L210" i="17"/>
  <c r="R209" i="17"/>
  <c r="Q209" i="17"/>
  <c r="O209" i="17"/>
  <c r="P209" i="17" s="1"/>
  <c r="G209" i="17"/>
  <c r="Q210" i="17" l="1"/>
  <c r="O210" i="17"/>
  <c r="P210" i="17" s="1"/>
  <c r="G210" i="17"/>
  <c r="M211" i="17"/>
  <c r="L211" i="17"/>
  <c r="R210" i="17"/>
  <c r="R211" i="17" l="1"/>
  <c r="M212" i="17"/>
  <c r="L212" i="17"/>
  <c r="O211" i="17"/>
  <c r="P211" i="17" s="1"/>
  <c r="G211" i="17"/>
  <c r="Q211" i="17"/>
  <c r="O212" i="17" l="1"/>
  <c r="P212" i="17" s="1"/>
  <c r="G212" i="17"/>
  <c r="Q212" i="17"/>
  <c r="M213" i="17"/>
  <c r="L213" i="17"/>
  <c r="R212" i="17"/>
  <c r="O213" i="17" l="1"/>
  <c r="P213" i="17" s="1"/>
  <c r="G213" i="17"/>
  <c r="Q213" i="17"/>
  <c r="R213" i="17"/>
  <c r="L214" i="17"/>
  <c r="M214" i="17"/>
  <c r="R214" i="17" l="1"/>
  <c r="M215" i="17"/>
  <c r="L215" i="17"/>
  <c r="Q214" i="17"/>
  <c r="O214" i="17"/>
  <c r="P214" i="17" s="1"/>
  <c r="G214" i="17"/>
  <c r="O215" i="17" l="1"/>
  <c r="P215" i="17" s="1"/>
  <c r="G215" i="17"/>
  <c r="Q215" i="17"/>
  <c r="L216" i="17"/>
  <c r="R215" i="17"/>
  <c r="M216" i="17"/>
  <c r="R216" i="17" l="1"/>
  <c r="M217" i="17"/>
  <c r="L217" i="17"/>
  <c r="Q216" i="17"/>
  <c r="O216" i="17"/>
  <c r="P216" i="17" s="1"/>
  <c r="G216" i="17"/>
  <c r="M218" i="17" l="1"/>
  <c r="R217" i="17"/>
  <c r="L218" i="17"/>
  <c r="G217" i="17"/>
  <c r="O217" i="17"/>
  <c r="P217" i="17" s="1"/>
  <c r="Q217" i="17"/>
  <c r="R218" i="17" l="1"/>
  <c r="M219" i="17"/>
  <c r="L219" i="17"/>
  <c r="Q218" i="17"/>
  <c r="O218" i="17"/>
  <c r="P218" i="17" s="1"/>
  <c r="G218" i="17"/>
  <c r="Q219" i="17" l="1"/>
  <c r="O219" i="17"/>
  <c r="P219" i="17" s="1"/>
  <c r="G219" i="17"/>
  <c r="M220" i="17"/>
  <c r="R219" i="17"/>
  <c r="L220" i="17"/>
  <c r="Q220" i="17" l="1"/>
  <c r="O220" i="17"/>
  <c r="P220" i="17" s="1"/>
  <c r="G220" i="17"/>
  <c r="R220" i="17"/>
  <c r="M221" i="17"/>
  <c r="L221" i="17"/>
  <c r="R221" i="17" l="1"/>
  <c r="M222" i="17"/>
  <c r="L222" i="17"/>
  <c r="Q221" i="17"/>
  <c r="O221" i="17"/>
  <c r="P221" i="17" s="1"/>
  <c r="G221" i="17"/>
  <c r="G222" i="17" l="1"/>
  <c r="O222" i="17"/>
  <c r="P222" i="17" s="1"/>
  <c r="Q222" i="17"/>
  <c r="L223" i="17"/>
  <c r="R222" i="17"/>
  <c r="M223" i="17"/>
  <c r="R223" i="17" l="1"/>
  <c r="M224" i="17"/>
  <c r="L224" i="17"/>
  <c r="Q223" i="17"/>
  <c r="O223" i="17"/>
  <c r="P223" i="17" s="1"/>
  <c r="G223" i="17"/>
  <c r="O224" i="17" l="1"/>
  <c r="P224" i="17" s="1"/>
  <c r="G224" i="17"/>
  <c r="Q224" i="17"/>
  <c r="L225" i="17"/>
  <c r="R224" i="17"/>
  <c r="M225" i="17"/>
  <c r="R225" i="17" l="1"/>
  <c r="M226" i="17"/>
  <c r="L226" i="17"/>
  <c r="Q225" i="17"/>
  <c r="O225" i="17"/>
  <c r="P225" i="17" s="1"/>
  <c r="G225" i="17"/>
  <c r="Q226" i="17" l="1"/>
  <c r="O226" i="17"/>
  <c r="P226" i="17" s="1"/>
  <c r="G226" i="17"/>
  <c r="M227" i="17"/>
  <c r="R226" i="17"/>
  <c r="L227" i="17"/>
  <c r="Q227" i="17" l="1"/>
  <c r="O227" i="17"/>
  <c r="P227" i="17" s="1"/>
  <c r="G227" i="17"/>
  <c r="R227" i="17"/>
  <c r="M228" i="17"/>
  <c r="L228" i="17"/>
  <c r="Q228" i="17" l="1"/>
  <c r="O228" i="17"/>
  <c r="P228" i="17" s="1"/>
  <c r="G228" i="17"/>
  <c r="L229" i="17"/>
  <c r="R228" i="17"/>
  <c r="M229" i="17"/>
  <c r="M230" i="17" l="1"/>
  <c r="L230" i="17"/>
  <c r="R229" i="17"/>
  <c r="Q229" i="17"/>
  <c r="O229" i="17"/>
  <c r="P229" i="17" s="1"/>
  <c r="G229" i="17"/>
  <c r="G230" i="17" l="1"/>
  <c r="Q230" i="17"/>
  <c r="O230" i="17"/>
  <c r="P230" i="17" s="1"/>
  <c r="M231" i="17"/>
  <c r="R230" i="17"/>
  <c r="L231" i="17"/>
  <c r="Q231" i="17" l="1"/>
  <c r="O231" i="17"/>
  <c r="P231" i="17" s="1"/>
  <c r="G231" i="17"/>
  <c r="R231" i="17"/>
  <c r="M232" i="17"/>
  <c r="L232" i="17"/>
  <c r="O232" i="17" l="1"/>
  <c r="P232" i="17" s="1"/>
  <c r="Q232" i="17"/>
  <c r="G232" i="17"/>
  <c r="M233" i="17"/>
  <c r="L233" i="17"/>
  <c r="R232" i="17"/>
  <c r="Q233" i="17" l="1"/>
  <c r="O233" i="17"/>
  <c r="P233" i="17" s="1"/>
  <c r="G233" i="17"/>
  <c r="L234" i="17"/>
  <c r="R233" i="17"/>
  <c r="M234" i="17"/>
  <c r="L235" i="17" l="1"/>
  <c r="R234" i="17"/>
  <c r="M235" i="17"/>
  <c r="Q234" i="17"/>
  <c r="G234" i="17"/>
  <c r="O234" i="17"/>
  <c r="P234" i="17" s="1"/>
  <c r="R235" i="17" l="1"/>
  <c r="L236" i="17"/>
  <c r="M236" i="17"/>
  <c r="G235" i="17"/>
  <c r="O235" i="17"/>
  <c r="P235" i="17" s="1"/>
  <c r="Q235" i="17"/>
  <c r="M237" i="17" l="1"/>
  <c r="R236" i="17"/>
  <c r="L237" i="17"/>
  <c r="Q236" i="17"/>
  <c r="G236" i="17"/>
  <c r="O236" i="17"/>
  <c r="P236" i="17" s="1"/>
  <c r="O237" i="17" l="1"/>
  <c r="P237" i="17" s="1"/>
  <c r="G237" i="17"/>
  <c r="Q237" i="17"/>
  <c r="M238" i="17"/>
  <c r="L238" i="17"/>
  <c r="R237" i="17"/>
  <c r="O238" i="17" l="1"/>
  <c r="P238" i="17" s="1"/>
  <c r="Q238" i="17"/>
  <c r="G238" i="17"/>
  <c r="R238" i="17"/>
  <c r="L239" i="17"/>
  <c r="M239" i="17"/>
  <c r="G239" i="17" l="1"/>
  <c r="Q239" i="17"/>
  <c r="O239" i="17"/>
  <c r="P239" i="17" s="1"/>
  <c r="M240" i="17"/>
  <c r="L240" i="17"/>
  <c r="R239" i="17"/>
  <c r="Q240" i="17" l="1"/>
  <c r="G240" i="17"/>
  <c r="O240" i="17"/>
  <c r="P240" i="17" s="1"/>
  <c r="R240" i="17"/>
  <c r="M241" i="17"/>
  <c r="L241" i="17"/>
  <c r="O241" i="17" l="1"/>
  <c r="P241" i="17" s="1"/>
  <c r="Q241" i="17"/>
  <c r="G241" i="17"/>
  <c r="M242" i="17"/>
  <c r="R241" i="17"/>
  <c r="L242" i="17"/>
  <c r="O242" i="17" l="1"/>
  <c r="P242" i="17" s="1"/>
  <c r="G242" i="17"/>
  <c r="Q242" i="17"/>
  <c r="L243" i="17"/>
  <c r="M243" i="17"/>
  <c r="R242" i="17"/>
  <c r="M244" i="17" l="1"/>
  <c r="L244" i="17"/>
  <c r="R243" i="17"/>
  <c r="Q243" i="17"/>
  <c r="G243" i="17"/>
  <c r="O243" i="17"/>
  <c r="P243" i="17" s="1"/>
  <c r="R244" i="17" l="1"/>
  <c r="L245" i="17"/>
  <c r="M245" i="17"/>
  <c r="G244" i="17"/>
  <c r="O244" i="17"/>
  <c r="P244" i="17" s="1"/>
  <c r="Q244" i="17"/>
  <c r="R245" i="17" l="1"/>
  <c r="M246" i="17"/>
  <c r="L246" i="17"/>
  <c r="Q245" i="17"/>
  <c r="O245" i="17"/>
  <c r="P245" i="17" s="1"/>
  <c r="G245" i="17"/>
  <c r="M247" i="17" l="1"/>
  <c r="L247" i="17"/>
  <c r="R246" i="17"/>
  <c r="O246" i="17"/>
  <c r="P246" i="17" s="1"/>
  <c r="Q246" i="17"/>
  <c r="G246" i="17"/>
  <c r="O247" i="17" l="1"/>
  <c r="P247" i="17" s="1"/>
  <c r="G247" i="17"/>
  <c r="Q247" i="17"/>
  <c r="R247" i="17"/>
  <c r="L248" i="17"/>
  <c r="M248" i="17"/>
  <c r="M249" i="17" l="1"/>
  <c r="L249" i="17"/>
  <c r="R248" i="17"/>
  <c r="G248" i="17"/>
  <c r="Q248" i="17"/>
  <c r="O248" i="17"/>
  <c r="P248" i="17" s="1"/>
  <c r="Q249" i="17" l="1"/>
  <c r="G249" i="17"/>
  <c r="O249" i="17"/>
  <c r="P249" i="17" s="1"/>
  <c r="R249" i="17"/>
  <c r="L250" i="17"/>
  <c r="M250" i="17"/>
  <c r="M251" i="17" l="1"/>
  <c r="R250" i="17"/>
  <c r="L251" i="17"/>
  <c r="Q250" i="17"/>
  <c r="G250" i="17"/>
  <c r="O250" i="17"/>
  <c r="P250" i="17" s="1"/>
  <c r="O251" i="17" l="1"/>
  <c r="P251" i="17" s="1"/>
  <c r="G251" i="17"/>
  <c r="Q251" i="17"/>
  <c r="L252" i="17"/>
  <c r="M252" i="17"/>
  <c r="R251" i="17"/>
  <c r="R252" i="17" l="1"/>
  <c r="M253" i="17"/>
  <c r="L253" i="17"/>
  <c r="Q252" i="17"/>
  <c r="O252" i="17"/>
  <c r="P252" i="17" s="1"/>
  <c r="G252" i="17"/>
  <c r="R253" i="17" l="1"/>
  <c r="M254" i="17"/>
  <c r="L254" i="17"/>
  <c r="G253" i="17"/>
  <c r="O253" i="17"/>
  <c r="P253" i="17" s="1"/>
  <c r="Q253" i="17"/>
  <c r="R254" i="17" l="1"/>
  <c r="L255" i="17"/>
  <c r="M255" i="17"/>
  <c r="Q254" i="17"/>
  <c r="G254" i="17"/>
  <c r="O254" i="17"/>
  <c r="P254" i="17" s="1"/>
  <c r="O255" i="17" l="1"/>
  <c r="P255" i="17" s="1"/>
  <c r="Q255" i="17"/>
  <c r="G255" i="17"/>
  <c r="M256" i="17"/>
  <c r="L256" i="17"/>
  <c r="R255" i="17"/>
  <c r="O256" i="17" l="1"/>
  <c r="P256" i="17" s="1"/>
  <c r="Q256" i="17"/>
  <c r="G256" i="17"/>
  <c r="R256" i="17"/>
  <c r="L257" i="17"/>
  <c r="M257" i="17"/>
  <c r="R257" i="17" l="1"/>
  <c r="M258" i="17"/>
  <c r="L258" i="17"/>
  <c r="G257" i="17"/>
  <c r="Q257" i="17"/>
  <c r="O257" i="17"/>
  <c r="P257" i="17" s="1"/>
  <c r="G258" i="17" l="1"/>
  <c r="O258" i="17"/>
  <c r="P258" i="17" s="1"/>
  <c r="Q258" i="17"/>
  <c r="R258" i="17"/>
  <c r="L259" i="17"/>
  <c r="M259" i="17"/>
  <c r="C1" i="20" a="1"/>
  <c r="C1" i="20" l="1"/>
  <c r="S1" i="20" s="1" a="1"/>
  <c r="M260" i="17"/>
  <c r="R259" i="17"/>
  <c r="L260" i="17"/>
  <c r="Q259" i="17"/>
  <c r="G259" i="17"/>
  <c r="O259" i="17"/>
  <c r="P259" i="17" s="1"/>
  <c r="S1" i="20" l="1"/>
  <c r="O260" i="17"/>
  <c r="P260" i="17" s="1"/>
  <c r="G260" i="17"/>
  <c r="Q260" i="17"/>
  <c r="L261" i="17"/>
  <c r="M261" i="17"/>
  <c r="R260" i="17"/>
  <c r="L262" i="17" l="1"/>
  <c r="R261" i="17"/>
  <c r="M262" i="17"/>
  <c r="Q261" i="17"/>
  <c r="O261" i="17"/>
  <c r="P261" i="17" s="1"/>
  <c r="G261" i="17"/>
  <c r="M263" i="17" l="1"/>
  <c r="R262" i="17"/>
  <c r="L263" i="17"/>
  <c r="G262" i="17"/>
  <c r="Q262" i="17"/>
  <c r="O262" i="17"/>
  <c r="P262" i="17" s="1"/>
  <c r="Q263" i="17" l="1"/>
  <c r="G263" i="17"/>
  <c r="O263" i="17"/>
  <c r="P263" i="17" s="1"/>
  <c r="R263" i="17"/>
  <c r="L264" i="17"/>
  <c r="M264" i="17"/>
  <c r="O264" i="17" l="1"/>
  <c r="P264" i="17" s="1"/>
  <c r="Q264" i="17"/>
  <c r="G264" i="17"/>
  <c r="L265" i="17"/>
  <c r="M265" i="17"/>
  <c r="R264" i="17"/>
  <c r="L266" i="17" l="1"/>
  <c r="M266" i="17"/>
  <c r="R265" i="17"/>
  <c r="Q265" i="17"/>
  <c r="O265" i="17"/>
  <c r="P265" i="17" s="1"/>
  <c r="G265" i="17"/>
  <c r="L267" i="17" l="1"/>
  <c r="R266" i="17"/>
  <c r="M267" i="17"/>
  <c r="G266" i="17"/>
  <c r="O266" i="17"/>
  <c r="P266" i="17" s="1"/>
  <c r="Q266" i="17"/>
  <c r="M268" i="17" l="1"/>
  <c r="R267" i="17"/>
  <c r="L268" i="17"/>
  <c r="Q267" i="17"/>
  <c r="O267" i="17"/>
  <c r="P267" i="17" s="1"/>
  <c r="G267" i="17"/>
  <c r="O268" i="17" l="1"/>
  <c r="P268" i="17" s="1"/>
  <c r="G268" i="17"/>
  <c r="Q268" i="17"/>
  <c r="L269" i="17"/>
  <c r="R268" i="17"/>
  <c r="M269" i="17"/>
  <c r="Q269" i="17" l="1"/>
  <c r="O269" i="17"/>
  <c r="P269" i="17" s="1"/>
  <c r="G269" i="17"/>
  <c r="L270" i="17"/>
  <c r="R269" i="17"/>
  <c r="M270" i="17"/>
  <c r="M271" i="17" l="1"/>
  <c r="L271" i="17"/>
  <c r="R270" i="17"/>
  <c r="G270" i="17"/>
  <c r="O270" i="17"/>
  <c r="P270" i="17" s="1"/>
  <c r="Q270" i="17"/>
  <c r="Q271" i="17" l="1"/>
  <c r="G271" i="17"/>
  <c r="O271" i="17"/>
  <c r="P271" i="17" s="1"/>
  <c r="R271" i="17"/>
  <c r="M272" i="17"/>
  <c r="L272" i="17"/>
  <c r="O272" i="17" l="1"/>
  <c r="P272" i="17" s="1"/>
  <c r="G272" i="17"/>
  <c r="Q272" i="17"/>
  <c r="M273" i="17"/>
  <c r="L273" i="17"/>
  <c r="R272" i="17"/>
  <c r="Q273" i="17" l="1"/>
  <c r="O273" i="17"/>
  <c r="P273" i="17" s="1"/>
  <c r="G273" i="17"/>
  <c r="L274" i="17"/>
  <c r="R273" i="17"/>
  <c r="M274" i="17"/>
  <c r="M275" i="17" l="1"/>
  <c r="R274" i="17"/>
  <c r="L275" i="17"/>
  <c r="Q274" i="17"/>
  <c r="O274" i="17"/>
  <c r="P274" i="17" s="1"/>
  <c r="G274" i="17"/>
  <c r="G275" i="17" l="1"/>
  <c r="O275" i="17"/>
  <c r="P275" i="17" s="1"/>
  <c r="Q275" i="17"/>
  <c r="R275" i="17"/>
  <c r="L276" i="17"/>
  <c r="M276" i="17"/>
  <c r="M277" i="17" l="1"/>
  <c r="R276" i="17"/>
  <c r="L277" i="17"/>
  <c r="Q276" i="17"/>
  <c r="O276" i="17"/>
  <c r="P276" i="17" s="1"/>
  <c r="G276" i="17"/>
  <c r="O277" i="17" l="1"/>
  <c r="P277" i="17" s="1"/>
  <c r="G277" i="17"/>
  <c r="Q277" i="17"/>
  <c r="M278" i="17"/>
  <c r="L278" i="17"/>
  <c r="R277" i="17"/>
  <c r="R278" i="17" l="1"/>
  <c r="M279" i="17"/>
  <c r="L279" i="17"/>
  <c r="Q278" i="17"/>
  <c r="O278" i="17"/>
  <c r="P278" i="17" s="1"/>
  <c r="G278" i="17"/>
  <c r="M280" i="17" l="1"/>
  <c r="L280" i="17"/>
  <c r="R279" i="17"/>
  <c r="G279" i="17"/>
  <c r="O279" i="17"/>
  <c r="P279" i="17" s="1"/>
  <c r="Q279" i="17"/>
  <c r="Q280" i="17" l="1"/>
  <c r="G280" i="17"/>
  <c r="O280" i="17"/>
  <c r="P280" i="17" s="1"/>
  <c r="R280" i="17"/>
  <c r="M281" i="17"/>
  <c r="L281" i="17"/>
  <c r="O281" i="17" l="1"/>
  <c r="P281" i="17" s="1"/>
  <c r="G281" i="17"/>
  <c r="Q281" i="17"/>
  <c r="M282" i="17"/>
  <c r="R281" i="17"/>
  <c r="L282" i="17"/>
  <c r="O282" i="17" l="1"/>
  <c r="P282" i="17" s="1"/>
  <c r="G282" i="17"/>
  <c r="Q282" i="17"/>
  <c r="L283" i="17"/>
  <c r="R282" i="17"/>
  <c r="M283" i="17"/>
  <c r="M284" i="17" l="1"/>
  <c r="L284" i="17"/>
  <c r="R283" i="17"/>
  <c r="Q283" i="17"/>
  <c r="O283" i="17"/>
  <c r="P283" i="17" s="1"/>
  <c r="G283" i="17"/>
  <c r="G284" i="17" l="1"/>
  <c r="O284" i="17"/>
  <c r="P284" i="17" s="1"/>
  <c r="Q284" i="17"/>
  <c r="R284" i="17"/>
  <c r="L285" i="17"/>
  <c r="M285" i="17"/>
  <c r="R285" i="17" l="1"/>
  <c r="M286" i="17"/>
  <c r="L286" i="17"/>
  <c r="Q285" i="17"/>
  <c r="G285" i="17"/>
  <c r="O285" i="17"/>
  <c r="P285" i="17" s="1"/>
  <c r="M287" i="17" l="1"/>
  <c r="L287" i="17"/>
  <c r="R286" i="17"/>
  <c r="O286" i="17"/>
  <c r="P286" i="17" s="1"/>
  <c r="G286" i="17"/>
  <c r="Q286" i="17"/>
  <c r="Q287" i="17" l="1"/>
  <c r="O287" i="17"/>
  <c r="P287" i="17" s="1"/>
  <c r="G287" i="17"/>
  <c r="R287" i="17"/>
  <c r="M288" i="17"/>
  <c r="L288" i="17"/>
  <c r="M289" i="17" l="1"/>
  <c r="L289" i="17"/>
  <c r="R288" i="17"/>
  <c r="G288" i="17"/>
  <c r="Q288" i="17"/>
  <c r="O288" i="17"/>
  <c r="P288" i="17" s="1"/>
  <c r="Q289" i="17" l="1"/>
  <c r="O289" i="17"/>
  <c r="P289" i="17" s="1"/>
  <c r="G289" i="17"/>
  <c r="R289" i="17"/>
  <c r="M290" i="17"/>
  <c r="L290" i="17"/>
  <c r="Q290" i="17" l="1"/>
  <c r="O290" i="17"/>
  <c r="P290" i="17" s="1"/>
  <c r="G290" i="17"/>
  <c r="M291" i="17"/>
  <c r="L291" i="17"/>
  <c r="R290" i="17"/>
  <c r="O291" i="17" l="1"/>
  <c r="P291" i="17" s="1"/>
  <c r="G291" i="17"/>
  <c r="Q291" i="17"/>
  <c r="L292" i="17"/>
  <c r="R291" i="17"/>
  <c r="M292" i="17"/>
  <c r="R292" i="17" l="1"/>
  <c r="M293" i="17"/>
  <c r="L293" i="17"/>
  <c r="G292" i="17"/>
  <c r="Q292" i="17"/>
  <c r="O292" i="17"/>
  <c r="P292" i="17" s="1"/>
  <c r="R293" i="17" l="1"/>
  <c r="M294" i="17"/>
  <c r="R294" i="17" s="1"/>
  <c r="L294" i="17"/>
  <c r="G293" i="17"/>
  <c r="Q293" i="17"/>
  <c r="O293" i="17"/>
  <c r="P293" i="17" s="1"/>
  <c r="O294" i="17" l="1"/>
  <c r="P294" i="17" s="1"/>
  <c r="G294" i="17"/>
  <c r="Q294" i="17"/>
  <c r="C21" i="10" l="1"/>
  <c r="C20" i="10"/>
  <c r="C19" i="10"/>
  <c r="C18" i="10"/>
  <c r="C17" i="10"/>
  <c r="C16" i="10"/>
  <c r="C15" i="10"/>
  <c r="C14" i="10"/>
  <c r="C13" i="10"/>
  <c r="C12" i="10"/>
  <c r="C11" i="10"/>
  <c r="C10" i="10"/>
  <c r="C7" i="10"/>
  <c r="C6" i="10"/>
  <c r="C5" i="10"/>
  <c r="C4" i="10"/>
  <c r="C3" i="10"/>
  <c r="A45" i="10"/>
  <c r="A7" i="10"/>
  <c r="A6" i="10"/>
  <c r="A5" i="10"/>
  <c r="C6" i="1" l="1"/>
  <c r="B6" i="1" s="1"/>
  <c r="B5" i="1"/>
  <c r="A5" i="1" l="1"/>
  <c r="A33" i="10" l="1"/>
  <c r="Y23" i="1"/>
  <c r="X23" i="1"/>
  <c r="W23" i="1"/>
  <c r="V23" i="1"/>
  <c r="U23" i="1"/>
  <c r="T23" i="1"/>
  <c r="S23" i="1"/>
  <c r="R23" i="1"/>
  <c r="Q23" i="1"/>
  <c r="P23" i="1"/>
  <c r="O23" i="1"/>
  <c r="N23" i="1"/>
  <c r="M23" i="1"/>
  <c r="L23" i="1"/>
  <c r="G23" i="1"/>
  <c r="Y24" i="1"/>
  <c r="X24" i="1"/>
  <c r="W24" i="1"/>
  <c r="V24" i="1"/>
  <c r="U24" i="1"/>
  <c r="T24" i="1"/>
  <c r="S24" i="1"/>
  <c r="R24" i="1"/>
  <c r="Q24" i="1"/>
  <c r="P24" i="1"/>
  <c r="O24" i="1"/>
  <c r="N24" i="1"/>
  <c r="M24" i="1"/>
  <c r="L24" i="1"/>
  <c r="K24" i="1"/>
  <c r="J24" i="1"/>
  <c r="I24" i="1"/>
  <c r="H24" i="1"/>
  <c r="Y22" i="1"/>
  <c r="X22" i="1"/>
  <c r="W22" i="1"/>
  <c r="V22" i="1"/>
  <c r="U22" i="1"/>
  <c r="T22" i="1"/>
  <c r="S22" i="1"/>
  <c r="R22" i="1"/>
  <c r="Q22" i="1"/>
  <c r="P22" i="1"/>
  <c r="O22" i="1"/>
  <c r="N22" i="1"/>
  <c r="M22" i="1"/>
  <c r="L22" i="1"/>
  <c r="K22" i="1"/>
  <c r="J22" i="1"/>
  <c r="H22" i="1"/>
  <c r="G22" i="1"/>
  <c r="A30" i="10"/>
  <c r="A29" i="10"/>
  <c r="A28" i="10"/>
  <c r="A27" i="10"/>
  <c r="A26" i="10"/>
  <c r="A25" i="10"/>
  <c r="A24" i="10"/>
  <c r="A23" i="10"/>
  <c r="A21" i="10"/>
  <c r="A19" i="10"/>
  <c r="A17" i="10"/>
  <c r="A15" i="10"/>
  <c r="A14" i="10"/>
  <c r="A12" i="10"/>
  <c r="A11" i="10"/>
  <c r="A3" i="10"/>
  <c r="A1" i="10"/>
  <c r="B19" i="1"/>
  <c r="B18" i="1"/>
  <c r="B17" i="1"/>
  <c r="B16" i="1"/>
  <c r="C19" i="1"/>
  <c r="C18" i="1"/>
  <c r="C17" i="1"/>
  <c r="C16" i="1"/>
  <c r="C15" i="1"/>
  <c r="C12" i="1"/>
  <c r="C11" i="1"/>
  <c r="C10" i="1"/>
  <c r="C9" i="1"/>
  <c r="B15" i="1"/>
  <c r="B12" i="1"/>
  <c r="B11" i="1"/>
  <c r="B10" i="1"/>
  <c r="B9" i="1"/>
  <c r="B4" i="1"/>
  <c r="B3" i="1"/>
  <c r="A18" i="1" l="1"/>
  <c r="A38" i="10" s="1"/>
  <c r="A46" i="10"/>
  <c r="A19" i="1"/>
  <c r="A39" i="10" s="1"/>
  <c r="A12" i="1"/>
  <c r="A42" i="10" s="1"/>
  <c r="A3" i="1"/>
  <c r="A32" i="10" s="1"/>
  <c r="A17" i="1"/>
  <c r="A37" i="10" s="1"/>
  <c r="A16" i="1"/>
  <c r="A36" i="10" s="1"/>
  <c r="A15" i="1"/>
  <c r="A35" i="10" s="1"/>
  <c r="B22" i="1"/>
  <c r="A9" i="1" s="1"/>
  <c r="A43" i="10" s="1"/>
  <c r="B24" i="1"/>
  <c r="B23" i="1"/>
  <c r="C23" i="1"/>
  <c r="C24" i="1"/>
  <c r="A23" i="1" l="1"/>
  <c r="A24" i="1" s="1"/>
  <c r="A41" i="10" s="1"/>
  <c r="A51" i="10"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8494DF0-ADE3-4AA1-AA1B-B0E877B72063}" name="Consulta desde Proyectos" type="1" refreshedVersion="8" background="1" saveData="1">
    <dbPr connection="pwd=Sigesread007***;dsn=proyectos;database=proyectos_siges;Server=localhost;uid=sigesread;port=7000;UID=sigesread;" command="select PRYGTid, PRYGTcodigo, PRYGTdescripcion from PRYGrupoTrabajo"/>
  </connection>
  <connection id="2" xr16:uid="{E12048A4-CD57-4B27-9944-59F3E118AE3B}" name="Consulta desde Proyectos1" type="1" refreshedVersion="8" background="1" saveData="1">
    <dbPr connection="pwd=Sigesread007***;dsn=proyectos;database=proyectos_siges;Server=localhost;uid=sigesread;port=7000;UID=sigesread;" command="SELECT PRYIdentificacion.PRYItipo, PRYIdentificacion.PRYIdescripcion_x000d__x000a_FROM proyectos_siges.dbo.PRYIdentificacion PRYIdentificacion"/>
  </connection>
  <connection id="3" xr16:uid="{62BDDEB3-3F5E-46E7-B723-2518F3C80B89}" name="Consulta desde Proyectos2" type="1" refreshedVersion="8" background="1" saveData="1">
    <dbPr connection="pwd=Sigesread007***;dsn=proyectos;database=proyectos_siges;Server=localhost;uid=sigesread;port=7000;UID=sigesread;" command="SELECT PRYContratos.PRYCcodigo, PRYContratos.PRYCdescripcion, PRYContratos.PRYCfechaIni, PRYContratos.PRYCfechaFin_x000d__x000a_FROM proyectos_siges.dbo.PRYContratos PRYContratos"/>
  </connection>
  <connection id="4" xr16:uid="{64AA8E56-CEE3-42DF-A097-92CD3FD1E352}" name="Consulta desde Proyectos3" type="1" refreshedVersion="8" background="1" saveData="1">
    <dbPr connection="pwd=Sigesread007***;dsn=proyectos;database=proyectos_siges;Server=localhost;uid=sigesread;port=7000;UID=sigesread;" command="SELECT PRYTipoAreaRespons.PRYTcodigo, PRYTipoAreaRespons.PRYTdescripcion_x000d__x000a_FROM proyectos_siges.dbo.PRYTipoAreaRespons PRYTipoAreaRespons"/>
  </connection>
  <connection id="5" xr16:uid="{03642960-E0E2-4300-AF9C-5964A6B6D7A9}" name="Consulta desde Proyectos4" type="1" refreshedVersion="8" background="1" saveData="1">
    <dbPr connection="pwd=Sigesread007***;dsn=proyectos;database=proyectos_siges;Server=localhost;uid=sigesread;port=7000;UID=sigesread;" command="SELECT PRYEspecialidad.PRYEcodigo, PRYEspecialidad.PRYEdescripcion_x000d__x000a_FROM proyectos_siges.dbo.PRYEspecialidad PRYEspecialidad"/>
  </connection>
  <connection id="6" xr16:uid="{ECA8F337-B17A-43D8-B221-9B3A14BBB938}" name="Consulta desde Proyectos5" type="1" refreshedVersion="8" background="1" saveData="1">
    <dbPr connection="pwd=Sigesread007***;dsn=proyectos;database=proyectos_siges;Server=localhost;uid=sigesread;port=7000;UID=sigesread;" command="SELECT PRYUsuarios.Usulogin, PRYUsuarios.Usunombre, PRYUsuarios.PRYUcosto_x000d__x000a_FROM proyectos_siges.dbo.PRYUsuarios PRYUsuarios"/>
  </connection>
  <connection id="7" xr16:uid="{A192D6C1-FC70-48BD-B303-041879575BC9}" name="Consulta desde Proyectos6" type="1" refreshedVersion="8" background="1" saveData="1">
    <dbPr connection="pwd=Sigesread007***;dsn=proyectos;database=proyectos_siges;Server=localhost;uid=sigesread;port=7000;UID=sigesread;" command="SELECT PRYproyecto.PRYid, PRYproyecto.PRYcodigo, PRYproyecto.PRYdescripcion_x000d__x000a_FROM proyectos_siges.dbo.PRYproyecto PRYproyecto"/>
  </connection>
  <connection id="8" xr16:uid="{D04F60FF-C2BB-422C-9168-3B7825D849FA}" name="Consulta desde Proyectos7" type="1" refreshedVersion="8" background="1" saveData="1">
    <dbPr connection="pwd=Sigesread007***;dsn=proyectos;database=proyectos_siges;Server=localhost;uid=sigesread;port=7000;UID=sigesread;" command="Select DISTINCT  ra.PRYItipo, ra.PRYInumero  , tt.PRYTcodigo , pp.PRYcodigo, pp.PRYdescripcion , ap.PRYAcodigo, ap.PRYAdescripcion, ap.PRYAnivel, ap.PRYApath  , ra.PRYRAid   , case when ap.PRYAid = aa.PRYAid then  ee.PRYEcodigo end as PRYEcodigo  , case when ap.PRYAid = aa.PRYAid then  ee.PRYEdescripcion end as PRYEdescripcion   , case when ap.PRYAid = aa.PRYAid then  uu.Usulogin end as Usulogin  , case when ap.PRYAid = aa.PRYAid then  uu.Usunombre end as Usunombre   , case when ap.PRYAid = aa.PRYAid then  ra.PRYRAfecha end as PRYRAfecha   , case when ap.PRYAid = aa.PRYAid then case when datalength(ra.PRYRAcomentario)&lt;=512 then ra.PRYRAcomentario else substring (ra.PRYRAcomentario, 1, 509)  +  '...' end end as PRYRAcomentario  , case when ap.PRYAid = aa.PRYAid then  ra.PRYRAhoras end as PRYRAhoras   from PRYReporteActividad ra inner join PRYReporteControl rc on rc.PRYRCid = ra.PRYRCid inner join PRYActividad aa on aa.PRYAid = ra.PRYAid inner join PRYproyecto pp on pp.PRYid = aa.PRYid inner join PRYTipoAreaRespons tt on tt.PRYTid = pp.PRYTid inner join PRYActividad ap on aa.PRYid=ap.PRYid and aa.PRYApath like ap.PRYApath + '%' inner join PRYEspecialidad ee on ee.PRYEid = ra.PRYEid inner join PRYUsuarios uu on uu.Usucodigo = rc.Usucodigo   where PRYRAfecha between '2026-04-01 00:00:00' and '2026-04-30 23:59:59' and ra.PRYCcerrado = 0 and rc.PRYRCestado = 1   and pp.PRYcodigo in ( '095-202-RDIG', '151-400-RGT2.0', '579-203-REDIMED', '095-192-RGT', '151-350-NV.OP.SWAT', '095-400-INS-REG ')        order by tt.PRYTcodigo, pp.PRYcodigo, ap.PRYApath, ee.PRYEcodigo, uu.Usulogin, ra.PRYRAfecha"/>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<sst xmlns="http://schemas.openxmlformats.org/spreadsheetml/2006/main" count="13348" uniqueCount="7790">
  <si>
    <t>Id. (Identificador o Clasificador)</t>
  </si>
  <si>
    <t>Fecha Inicio:</t>
  </si>
  <si>
    <t>Fecha Fin:</t>
  </si>
  <si>
    <t>Grupo Trabajo:</t>
  </si>
  <si>
    <t>Tipo Clasificación:</t>
  </si>
  <si>
    <t>Código de Tarea:</t>
  </si>
  <si>
    <t>Tipo Horas:</t>
  </si>
  <si>
    <t>Facturable:</t>
  </si>
  <si>
    <t>Contrato</t>
  </si>
  <si>
    <t>Area Respon</t>
  </si>
  <si>
    <t>Proyecto</t>
  </si>
  <si>
    <t>Especialidad</t>
  </si>
  <si>
    <t>Usuario</t>
  </si>
  <si>
    <t>Estructura del Reporte</t>
  </si>
  <si>
    <t>Tipo Horas</t>
  </si>
  <si>
    <t>Código</t>
  </si>
  <si>
    <t>Descripción</t>
  </si>
  <si>
    <t>select * from PRYUsuarios</t>
  </si>
  <si>
    <t>select * from PRYEspecialidad</t>
  </si>
  <si>
    <t>select * from PRYTipoAreaRespons</t>
  </si>
  <si>
    <t>select * from PRYContratos</t>
  </si>
  <si>
    <t>select * from PRYIdentificacion</t>
  </si>
  <si>
    <t>select * from PRYGrupoTrabajo</t>
  </si>
  <si>
    <t>select PRYItipo, PRYIdescripcion from PRYIdentificacion</t>
  </si>
  <si>
    <t>select PRYCcodigo, PRYCdescripcion, PRYCfechaIni, PRYCfechaFin from PRYContratos</t>
  </si>
  <si>
    <t>select PRYTcodigo, PRYTdescripcion from PRYTipoAreaRespons</t>
  </si>
  <si>
    <t>select PRYEcodigo, PRYEdescripcion from PRYEspecialidad</t>
  </si>
  <si>
    <t>select Usulogin, Usunombre, PRYUcosto from PRYUsuarios</t>
  </si>
  <si>
    <t>Ok</t>
  </si>
  <si>
    <t>Variable</t>
  </si>
  <si>
    <t>Catálogo, Pendiente</t>
  </si>
  <si>
    <t>Horas Totales Invertidas</t>
  </si>
  <si>
    <t>Horas Permitidas</t>
  </si>
  <si>
    <t>Horas No Permitidas</t>
  </si>
  <si>
    <t>Tipo Tareas</t>
  </si>
  <si>
    <t>Tareas Facturables</t>
  </si>
  <si>
    <t>Tareas No Facturables</t>
  </si>
  <si>
    <t>PRYGTcodigo</t>
  </si>
  <si>
    <t>PRYGTdescripcion</t>
  </si>
  <si>
    <t>ADMS</t>
  </si>
  <si>
    <t>Responsables de Area</t>
  </si>
  <si>
    <t>SIF.PRG</t>
  </si>
  <si>
    <t>Programadores para SIF</t>
  </si>
  <si>
    <t>RH.PRG</t>
  </si>
  <si>
    <t>Programadores para RH</t>
  </si>
  <si>
    <t>RH.CON</t>
  </si>
  <si>
    <t>Consultores para RH</t>
  </si>
  <si>
    <t>SOP.ST</t>
  </si>
  <si>
    <t>Equipo Soporte Técnico</t>
  </si>
  <si>
    <t>QA</t>
  </si>
  <si>
    <t>Grupo de Aseguramiento de la Calidad</t>
  </si>
  <si>
    <t>INC-BRM</t>
  </si>
  <si>
    <t>Incidentes de BRM</t>
  </si>
  <si>
    <t>INC-INT</t>
  </si>
  <si>
    <t>Incidentes de Integración</t>
  </si>
  <si>
    <t>INC-MZ</t>
  </si>
  <si>
    <t>Incidentes de MZ</t>
  </si>
  <si>
    <t>INC-IX</t>
  </si>
  <si>
    <t>Incidentes de Interconexión</t>
  </si>
  <si>
    <t>INC-BD</t>
  </si>
  <si>
    <t>Incidentes de Base de Datos</t>
  </si>
  <si>
    <t>GD.DES</t>
  </si>
  <si>
    <t>Desarrolladores GD</t>
  </si>
  <si>
    <t>GD.AN</t>
  </si>
  <si>
    <t>Analistas GD</t>
  </si>
  <si>
    <t>PMO</t>
  </si>
  <si>
    <t>Equipo - PMO</t>
  </si>
  <si>
    <t>MED</t>
  </si>
  <si>
    <t>Grupo de Mediación</t>
  </si>
  <si>
    <t>CONC</t>
  </si>
  <si>
    <t>Grupo de Interconexión Concilia-Optima</t>
  </si>
  <si>
    <t>CF-42</t>
  </si>
  <si>
    <t>VENTAS</t>
  </si>
  <si>
    <t>GD.PRUEBAS</t>
  </si>
  <si>
    <t>Pruebas Gobierno Digital</t>
  </si>
  <si>
    <t>SO.GNR</t>
  </si>
  <si>
    <t>Grupo de Gestión de Nuevos Requerimiento</t>
  </si>
  <si>
    <t>SO.TC</t>
  </si>
  <si>
    <t>Transferencia de conocimiento</t>
  </si>
  <si>
    <t>GD.MS</t>
  </si>
  <si>
    <t>Gobierno digital Regístrelo</t>
  </si>
  <si>
    <t>MW.INFRA</t>
  </si>
  <si>
    <t>Middleware Infraestructura</t>
  </si>
  <si>
    <t>ICE.OPI</t>
  </si>
  <si>
    <t>Infraestructura Integración</t>
  </si>
  <si>
    <t>SOP-AIA</t>
  </si>
  <si>
    <t>Soporte  AIA</t>
  </si>
  <si>
    <t>SOP-ATV</t>
  </si>
  <si>
    <t>Soporte  ATV</t>
  </si>
  <si>
    <t>SOP-BRM</t>
  </si>
  <si>
    <t>Soporte BRM Y BO</t>
  </si>
  <si>
    <t>CF-2301</t>
  </si>
  <si>
    <t>DESARROLLO - SIF</t>
  </si>
  <si>
    <t>CF-11</t>
  </si>
  <si>
    <t>Servicios Generales</t>
  </si>
  <si>
    <t>CF-12</t>
  </si>
  <si>
    <t>Financiero Contable</t>
  </si>
  <si>
    <t>CF-28</t>
  </si>
  <si>
    <t>SOSTENIBILIDAD</t>
  </si>
  <si>
    <t>CF-251</t>
  </si>
  <si>
    <t>CF-26</t>
  </si>
  <si>
    <t>PMO Corporativa</t>
  </si>
  <si>
    <t>CF-2702</t>
  </si>
  <si>
    <t>Infraestructura Middleware (BRM)</t>
  </si>
  <si>
    <t>CF-31</t>
  </si>
  <si>
    <t>CF-2808</t>
  </si>
  <si>
    <t>GESTION SERVICIO AL CLIENTE</t>
  </si>
  <si>
    <t>CF-24</t>
  </si>
  <si>
    <t>LABS</t>
  </si>
  <si>
    <t>CF-2801</t>
  </si>
  <si>
    <t>CONCILIA Y OPTIMA</t>
  </si>
  <si>
    <t>AH.ML</t>
  </si>
  <si>
    <t>AH Bimbo - Multilenguaj</t>
  </si>
  <si>
    <t>AH.EMP</t>
  </si>
  <si>
    <t>Empleados de Application Hosting</t>
  </si>
  <si>
    <t>AH.BIMBO</t>
  </si>
  <si>
    <t>Bimbo APH</t>
  </si>
  <si>
    <t>AH.PMI</t>
  </si>
  <si>
    <t>Pemex Internacional APH</t>
  </si>
  <si>
    <t>AH.LDCOM</t>
  </si>
  <si>
    <t>LD Com APH</t>
  </si>
  <si>
    <t>AH.FA COF</t>
  </si>
  <si>
    <t>Farmacias del Ahorro COFACH</t>
  </si>
  <si>
    <t>AH.CONSUL</t>
  </si>
  <si>
    <t>Consultoría APH</t>
  </si>
  <si>
    <t>AH.BI/TV</t>
  </si>
  <si>
    <t>Business Intelligence / Televisa  APH</t>
  </si>
  <si>
    <t>AH.SIF</t>
  </si>
  <si>
    <t>SOIN SIF</t>
  </si>
  <si>
    <t>AH.SAPIENS</t>
  </si>
  <si>
    <t>Sapiens APH</t>
  </si>
  <si>
    <t>AH.TELE</t>
  </si>
  <si>
    <t>Televisa APH</t>
  </si>
  <si>
    <t>AH.PIAM</t>
  </si>
  <si>
    <t>Proyecto Piam y soporte</t>
  </si>
  <si>
    <t>SOP-CORP</t>
  </si>
  <si>
    <t>Soporte Portal Corporativo</t>
  </si>
  <si>
    <t>SOP-CRM</t>
  </si>
  <si>
    <t>Soporte CRM</t>
  </si>
  <si>
    <t>SOP-CONCI</t>
  </si>
  <si>
    <t>SOPORTE CONCILIA Y OPTIMA</t>
  </si>
  <si>
    <t>AH.PMI.CON</t>
  </si>
  <si>
    <t>Consultor Funcional PMI</t>
  </si>
  <si>
    <t>AH.CO.DES</t>
  </si>
  <si>
    <t>Desarrollo consultoría</t>
  </si>
  <si>
    <t>AH.PMI.LID</t>
  </si>
  <si>
    <t>Líder Proyecto PMI</t>
  </si>
  <si>
    <t>AH.PMI.SOP</t>
  </si>
  <si>
    <t>Soporte PMI</t>
  </si>
  <si>
    <t>CF-13</t>
  </si>
  <si>
    <t>CF-14</t>
  </si>
  <si>
    <t>SOPORTE TECNICO INTERNO</t>
  </si>
  <si>
    <t>CF-21</t>
  </si>
  <si>
    <t>BUSINESS INTELLIGENCE - BI</t>
  </si>
  <si>
    <t>CF-2302</t>
  </si>
  <si>
    <t>IMPLEMENTACION SIF</t>
  </si>
  <si>
    <t>CF-2802</t>
  </si>
  <si>
    <t>CRM</t>
  </si>
  <si>
    <t>CF-2803</t>
  </si>
  <si>
    <t>ATV</t>
  </si>
  <si>
    <t>CF-2804</t>
  </si>
  <si>
    <t>AIA E INTERFACES BATCH</t>
  </si>
  <si>
    <t>CF-2805</t>
  </si>
  <si>
    <t>ARQUITECTURA GLOBAL</t>
  </si>
  <si>
    <t>CF-2806</t>
  </si>
  <si>
    <t>BRM</t>
  </si>
  <si>
    <t>RELEASE MANAGEMENT</t>
  </si>
  <si>
    <t>CF-2810</t>
  </si>
  <si>
    <t>GESTION DE NEGOCIO</t>
  </si>
  <si>
    <t>CF-2902</t>
  </si>
  <si>
    <t>CONTRALORIA DE OPERACIONES</t>
  </si>
  <si>
    <t>CF-2901</t>
  </si>
  <si>
    <t>GERENCIA DE OPERACIONES</t>
  </si>
  <si>
    <t>CF-2811</t>
  </si>
  <si>
    <t>PORTAL CORPORATIVO</t>
  </si>
  <si>
    <t>GRUPO-A.O.</t>
  </si>
  <si>
    <t>Grupo Administracion Operaciones y Contr</t>
  </si>
  <si>
    <t>MX-ERP</t>
  </si>
  <si>
    <t>Grupo de Consultores del ERP México</t>
  </si>
  <si>
    <t>APH.RRS</t>
  </si>
  <si>
    <t>Consultoria RRS</t>
  </si>
  <si>
    <t>CF-43</t>
  </si>
  <si>
    <t>GESTION DE NUEVOS NEGOCIOS</t>
  </si>
  <si>
    <t>AH.GBX</t>
  </si>
  <si>
    <t>Grupo Reportes tzyk</t>
  </si>
  <si>
    <t>GB-680</t>
  </si>
  <si>
    <t>Grupo ecuador</t>
  </si>
  <si>
    <t>MDC2-DES</t>
  </si>
  <si>
    <t>Modelo distribución comercial Desarrollo</t>
  </si>
  <si>
    <t>SOS.VIG</t>
  </si>
  <si>
    <t>Vigencia Técnologica</t>
  </si>
  <si>
    <t>INTEROP</t>
  </si>
  <si>
    <t>Equipo de  Interoperabilidad 2019</t>
  </si>
  <si>
    <t>CF-2904</t>
  </si>
  <si>
    <t>INNOVACION</t>
  </si>
  <si>
    <t>CF-2903</t>
  </si>
  <si>
    <t>SOPORTE TECNICO - SAP-SYBASE</t>
  </si>
  <si>
    <t>CF-2203</t>
  </si>
  <si>
    <t>SOPORTE - ERP</t>
  </si>
  <si>
    <t>SOS.ACUM</t>
  </si>
  <si>
    <t>Equipo de Sostenibilidad (acumulado)</t>
  </si>
  <si>
    <t>AH.INTEGRA</t>
  </si>
  <si>
    <t>INTEGRA DEV ML3</t>
  </si>
  <si>
    <t>BI</t>
  </si>
  <si>
    <t>Equipo de BI</t>
  </si>
  <si>
    <t>INFRA</t>
  </si>
  <si>
    <t>Equipo de Infraestructura</t>
  </si>
  <si>
    <t>PRACT</t>
  </si>
  <si>
    <t>Grupo de Practicantes</t>
  </si>
  <si>
    <t>COSTA RICA</t>
  </si>
  <si>
    <t>PLANILLA DE COSTA RICA</t>
  </si>
  <si>
    <t>Homb</t>
  </si>
  <si>
    <t>Grupo Hombres SOIN</t>
  </si>
  <si>
    <t>MUJER</t>
  </si>
  <si>
    <t>Grupo Mujeres  SOIN</t>
  </si>
  <si>
    <t>SOS.LABS</t>
  </si>
  <si>
    <t>Sostenibilidad - labs</t>
  </si>
  <si>
    <t>SIF-SAPIEN</t>
  </si>
  <si>
    <t>REPORTE DE TAREAS</t>
  </si>
  <si>
    <t>MX</t>
  </si>
  <si>
    <t>MEXICO</t>
  </si>
  <si>
    <t>SIGES</t>
  </si>
  <si>
    <t>SALUD</t>
  </si>
  <si>
    <t>GRUPO SALUD</t>
  </si>
  <si>
    <t>RRHH</t>
  </si>
  <si>
    <t>Equipo Desarrollo Organizacional</t>
  </si>
  <si>
    <t>CF-15</t>
  </si>
  <si>
    <t>Diseño Gráfico</t>
  </si>
  <si>
    <t>CF-27</t>
  </si>
  <si>
    <t>Infraestructura</t>
  </si>
  <si>
    <t>CF-280</t>
  </si>
  <si>
    <t>Sostenibilidad Operativa</t>
  </si>
  <si>
    <t>CF-2201</t>
  </si>
  <si>
    <t>CF-2202</t>
  </si>
  <si>
    <t>Implementación - ERP</t>
  </si>
  <si>
    <t>CF-2701</t>
  </si>
  <si>
    <t>Equipo Soin Labs</t>
  </si>
  <si>
    <t>DIS. GRAF</t>
  </si>
  <si>
    <t>Equipo Diseño gráfico</t>
  </si>
  <si>
    <t>CF-241</t>
  </si>
  <si>
    <t>TAPP</t>
  </si>
  <si>
    <t>ADED</t>
  </si>
  <si>
    <t>Equipo eSalud-Labs Adscripción CCSS</t>
  </si>
  <si>
    <t>SIFF</t>
  </si>
  <si>
    <t>Equipo eSalud-Labs SIFF Móvil CCSS</t>
  </si>
  <si>
    <t>CF-2812</t>
  </si>
  <si>
    <t>inactivo por el momento 3-ene-2019</t>
  </si>
  <si>
    <t>GD_SOPCE</t>
  </si>
  <si>
    <t>Soporte a CrearEmpresa</t>
  </si>
  <si>
    <t>GD.SOPMS</t>
  </si>
  <si>
    <t>Soporte a Registrelo</t>
  </si>
  <si>
    <t>BI.BCR</t>
  </si>
  <si>
    <t>EQUIPO DEL BI PARA EL BCR</t>
  </si>
  <si>
    <t>281</t>
  </si>
  <si>
    <t>Convergente</t>
  </si>
  <si>
    <t>OCA</t>
  </si>
  <si>
    <t>Equipo de Ocarine</t>
  </si>
  <si>
    <t>ACCESS</t>
  </si>
  <si>
    <t>Equipo iConnect Access</t>
  </si>
  <si>
    <t>CF-23</t>
  </si>
  <si>
    <t>Equipo T.S.A.</t>
  </si>
  <si>
    <t>QA-FITO</t>
  </si>
  <si>
    <t>QA FITOSANILARIO</t>
  </si>
  <si>
    <t>TEM</t>
  </si>
  <si>
    <t>TEMPORAL</t>
  </si>
  <si>
    <t>INTER2017</t>
  </si>
  <si>
    <t>Equipo de  Interoperabilidad - 2017</t>
  </si>
  <si>
    <t>SOP-INTERN</t>
  </si>
  <si>
    <t>EQUIPO SOPORTE INTERNO</t>
  </si>
  <si>
    <t>SOS.OPERAT</t>
  </si>
  <si>
    <t>SOSTENIBILIDAD OPERATIVA</t>
  </si>
  <si>
    <t>SIN-REP</t>
  </si>
  <si>
    <t>COLABORADORES SIN REPORTE</t>
  </si>
  <si>
    <t>TSA</t>
  </si>
  <si>
    <t>CF-30</t>
  </si>
  <si>
    <t>Salud</t>
  </si>
  <si>
    <t>SP-INT-TEC</t>
  </si>
  <si>
    <t>Grupo Soporte Interno y Técnico</t>
  </si>
  <si>
    <t>CONV.EXTRA</t>
  </si>
  <si>
    <t>CONVERGENCIA EXTRAS</t>
  </si>
  <si>
    <t>VOLT.SOIN</t>
  </si>
  <si>
    <t>VOLUNTARIADO SOIN</t>
  </si>
  <si>
    <t>ISO-9001</t>
  </si>
  <si>
    <t>EQUIPO BASE ISO 9001</t>
  </si>
  <si>
    <t>SM</t>
  </si>
  <si>
    <t>SENIOR MANAGER Y OTROS</t>
  </si>
  <si>
    <t>PRYItipo</t>
  </si>
  <si>
    <t>PRYIdescripcion</t>
  </si>
  <si>
    <t>01</t>
  </si>
  <si>
    <t>SPRINT-SSIF</t>
  </si>
  <si>
    <t>1S</t>
  </si>
  <si>
    <t>REQ.Mov. CCSS</t>
  </si>
  <si>
    <t>AA</t>
  </si>
  <si>
    <t>Area SOIN</t>
  </si>
  <si>
    <t>AN</t>
  </si>
  <si>
    <t>Area de Negocio</t>
  </si>
  <si>
    <t>B2</t>
  </si>
  <si>
    <t>Boleta NCP2</t>
  </si>
  <si>
    <t>BN</t>
  </si>
  <si>
    <t>Boleta NCP1</t>
  </si>
  <si>
    <t>BT</t>
  </si>
  <si>
    <t>Boleta Trabajo</t>
  </si>
  <si>
    <t>CE</t>
  </si>
  <si>
    <t>CLTE-ERP</t>
  </si>
  <si>
    <t>CI</t>
  </si>
  <si>
    <t>CLIENTE  I/S</t>
  </si>
  <si>
    <t>CL</t>
  </si>
  <si>
    <t>Nombre del clie</t>
  </si>
  <si>
    <t>CP</t>
  </si>
  <si>
    <t>PROSPECTACION</t>
  </si>
  <si>
    <t>CS</t>
  </si>
  <si>
    <t>CTE-SOPORTE</t>
  </si>
  <si>
    <t>CT</t>
  </si>
  <si>
    <t xml:space="preserve"> CLT-INTEROP</t>
  </si>
  <si>
    <t>CV</t>
  </si>
  <si>
    <t>Para Venta</t>
  </si>
  <si>
    <t>DE</t>
  </si>
  <si>
    <t>DESARROLLO</t>
  </si>
  <si>
    <t>DG</t>
  </si>
  <si>
    <t>EF</t>
  </si>
  <si>
    <t>SPRINT FARMACIA</t>
  </si>
  <si>
    <t>ET</t>
  </si>
  <si>
    <t>ENTREGABLE</t>
  </si>
  <si>
    <t>FC</t>
  </si>
  <si>
    <t>FACTURABLE</t>
  </si>
  <si>
    <t>FO</t>
  </si>
  <si>
    <t>Folio Ticket</t>
  </si>
  <si>
    <t>HI</t>
  </si>
  <si>
    <t>IC</t>
  </si>
  <si>
    <t>ICE-OT</t>
  </si>
  <si>
    <t>ID</t>
  </si>
  <si>
    <t>TPO-INC-PR-RL</t>
  </si>
  <si>
    <t>IE</t>
  </si>
  <si>
    <t>IN</t>
  </si>
  <si>
    <t>IP</t>
  </si>
  <si>
    <t>INCAPACIDAD</t>
  </si>
  <si>
    <t>IS</t>
  </si>
  <si>
    <t>Incidencia-SIF</t>
  </si>
  <si>
    <t>JI</t>
  </si>
  <si>
    <t>#  JIRA</t>
  </si>
  <si>
    <t>LV</t>
  </si>
  <si>
    <t>NL</t>
  </si>
  <si>
    <t>NO LABORABLE</t>
  </si>
  <si>
    <t>PR</t>
  </si>
  <si>
    <t>Proyectos de BI</t>
  </si>
  <si>
    <t>PS</t>
  </si>
  <si>
    <t>Proyectos SOIN</t>
  </si>
  <si>
    <t>PV</t>
  </si>
  <si>
    <t>PROVEEDOR</t>
  </si>
  <si>
    <t>RF</t>
  </si>
  <si>
    <t>RFC</t>
  </si>
  <si>
    <t>RL</t>
  </si>
  <si>
    <t>Release</t>
  </si>
  <si>
    <t>RP</t>
  </si>
  <si>
    <t>REPROCESO</t>
  </si>
  <si>
    <t>RQ</t>
  </si>
  <si>
    <t>Requerimiento</t>
  </si>
  <si>
    <t>S2</t>
  </si>
  <si>
    <t>SPRINT REC.DIG</t>
  </si>
  <si>
    <t>S3</t>
  </si>
  <si>
    <t>SPRINT TAPP</t>
  </si>
  <si>
    <t>S4</t>
  </si>
  <si>
    <t>SPRINT TEDX</t>
  </si>
  <si>
    <t>SA</t>
  </si>
  <si>
    <t>SPRINT CITAS</t>
  </si>
  <si>
    <t>SE</t>
  </si>
  <si>
    <t>Severidad</t>
  </si>
  <si>
    <t>SL</t>
  </si>
  <si>
    <t>SPRINT-TSA</t>
  </si>
  <si>
    <t>SP</t>
  </si>
  <si>
    <t>SPRINT</t>
  </si>
  <si>
    <t>SS</t>
  </si>
  <si>
    <t>TC</t>
  </si>
  <si>
    <t>Plan TC</t>
  </si>
  <si>
    <t>TK</t>
  </si>
  <si>
    <t xml:space="preserve"> No. Ticket</t>
  </si>
  <si>
    <t>TO</t>
  </si>
  <si>
    <t>TPO de TC</t>
  </si>
  <si>
    <t>TP</t>
  </si>
  <si>
    <t>TPO</t>
  </si>
  <si>
    <t>VT</t>
  </si>
  <si>
    <t>CLIENTE VTA</t>
  </si>
  <si>
    <t>PRYCcodigo</t>
  </si>
  <si>
    <t>PRYCdescripcion</t>
  </si>
  <si>
    <t>PRYCfechaIni</t>
  </si>
  <si>
    <t>PRYCfechaFin</t>
  </si>
  <si>
    <t>ICE.VF</t>
  </si>
  <si>
    <t>Vertical de facturación</t>
  </si>
  <si>
    <t>ICE.SO</t>
  </si>
  <si>
    <t>Sostenibilidad</t>
  </si>
  <si>
    <t>ICE.IN</t>
  </si>
  <si>
    <t>ICE.SC</t>
  </si>
  <si>
    <t>ICE sin contrato</t>
  </si>
  <si>
    <t>2013CD-000859</t>
  </si>
  <si>
    <t>Soporte operativo del middleware de la Solución de Facturación</t>
  </si>
  <si>
    <t>2013CD-000930</t>
  </si>
  <si>
    <t>Soporte operativo para la capa de integración de servicios BSS</t>
  </si>
  <si>
    <t>AC-013-14</t>
  </si>
  <si>
    <t>ERP en la Nube 911</t>
  </si>
  <si>
    <t>CSP-04-2014</t>
  </si>
  <si>
    <t>Contratación de Serv. Prof. para la Implem. Mód.  de  Cont. y Presup - CTP</t>
  </si>
  <si>
    <t>I61-110-013</t>
  </si>
  <si>
    <t>Derivado de la propuesta con número de SADE 5753 - GB-668</t>
  </si>
  <si>
    <t>I61-110-012</t>
  </si>
  <si>
    <t>FA.COFASH</t>
  </si>
  <si>
    <t>Sistema comercial</t>
  </si>
  <si>
    <t>AH-Interno</t>
  </si>
  <si>
    <t>Proyecto Interno APH</t>
  </si>
  <si>
    <t>2014LN-000002-0</t>
  </si>
  <si>
    <t>2014LN-000002-0006600001 Proyecto SIF - DGAC</t>
  </si>
  <si>
    <t>161 110-006</t>
  </si>
  <si>
    <t>Derivado de la propuesta con número de SADE 5493 - GB-661</t>
  </si>
  <si>
    <t>CONTR.PEND</t>
  </si>
  <si>
    <t>Contrato pendiente de indicar</t>
  </si>
  <si>
    <t>2013CD-000149</t>
  </si>
  <si>
    <t>OC-3866 Mantenimiento al SIFCO</t>
  </si>
  <si>
    <t>4500893875</t>
  </si>
  <si>
    <t>Nuevos Requerimientos asociados a Henkel</t>
  </si>
  <si>
    <t>OSL-375976</t>
  </si>
  <si>
    <t>Servicios de Sostenibilidad al BSS</t>
  </si>
  <si>
    <t>2015LA-000004-0</t>
  </si>
  <si>
    <t>Contratación de Serv. Prof. para la Implem. Mód. - Fase II</t>
  </si>
  <si>
    <t>1570012015</t>
  </si>
  <si>
    <t>TPO-001 de GN</t>
  </si>
  <si>
    <t>2014CD-000078</t>
  </si>
  <si>
    <t>Requerimientos Cánones SUTEL</t>
  </si>
  <si>
    <t>20150216-BTC</t>
  </si>
  <si>
    <t>Soporte  Mant y/o Sost para l Sistema SAPIENS</t>
  </si>
  <si>
    <t>20150107-MED</t>
  </si>
  <si>
    <t>Cooperservidores RL</t>
  </si>
  <si>
    <t>OSL-382280</t>
  </si>
  <si>
    <t>Servicios de Sostenibilidad al BSS - CONTRATACIÓN ADICIONAL</t>
  </si>
  <si>
    <t>20160201-SERV</t>
  </si>
  <si>
    <t>Contrato por Servicios</t>
  </si>
  <si>
    <t>4-16-2016-SOP</t>
  </si>
  <si>
    <t>Contrato por Servicios Soporte, Mant y/o Sostenibilidad</t>
  </si>
  <si>
    <t>2015-000135</t>
  </si>
  <si>
    <t>Licenciamiento SAP BUsinessObjects BI Suite y horas de Mant. Evolutivo</t>
  </si>
  <si>
    <t>OSL-377605</t>
  </si>
  <si>
    <t>Proyecto BI INFOCKLIC -  CD 3620-2011</t>
  </si>
  <si>
    <t>CONT-035-2016</t>
  </si>
  <si>
    <t>Servicios  Administrados del ERP modalidad SaaS</t>
  </si>
  <si>
    <t>2013-2018-IICA</t>
  </si>
  <si>
    <t>Servicios de soporte y asistencia Técnica</t>
  </si>
  <si>
    <t>2016CD-0158PROV</t>
  </si>
  <si>
    <t>CONTRATACIÓN DIRECTA COBRO EN LINEA CNVERGENTE</t>
  </si>
  <si>
    <t>2016LA-001-1107</t>
  </si>
  <si>
    <t>Adquisición del Serv. Sost. para la Gest. del desa. y mant. Soluciones Moviles</t>
  </si>
  <si>
    <t>OSL-389264</t>
  </si>
  <si>
    <t>Servicios de Sostenibilidad al BSS - NUEVA CONTRATACIÓN</t>
  </si>
  <si>
    <t>OSL-389264-GNR</t>
  </si>
  <si>
    <t>FBEB6500113872</t>
  </si>
  <si>
    <t>Servicios Profesionales FIFCO</t>
  </si>
  <si>
    <t>C.T-0018-001</t>
  </si>
  <si>
    <t>Contrato Temporal BNValores</t>
  </si>
  <si>
    <t>C.T-0018-002</t>
  </si>
  <si>
    <t>C.T-0051-001</t>
  </si>
  <si>
    <t>Contrato Temporal ICE</t>
  </si>
  <si>
    <t>C.T-0051-002</t>
  </si>
  <si>
    <t>C.T-0056-001</t>
  </si>
  <si>
    <t>Contrato Temporal TEC</t>
  </si>
  <si>
    <t>C.T-0056-002</t>
  </si>
  <si>
    <t>C.T-0095-001</t>
  </si>
  <si>
    <t>Contrato Temporal ICODER</t>
  </si>
  <si>
    <t>C.T-0095-002</t>
  </si>
  <si>
    <t>Contrato Temporal CREAR EMPRESA</t>
  </si>
  <si>
    <t>C.T-0095-003</t>
  </si>
  <si>
    <t>Contrato Temporal RNP FACIL</t>
  </si>
  <si>
    <t>C.T-0095-004</t>
  </si>
  <si>
    <t>Contrato Temporal CEMP NFC</t>
  </si>
  <si>
    <t>C.T-0096-001</t>
  </si>
  <si>
    <t>Contrato Temporal RICARDO PEREZ</t>
  </si>
  <si>
    <t>C.T-0158-001</t>
  </si>
  <si>
    <t>Contrato Temporal Grupo Nacion</t>
  </si>
  <si>
    <t>C.T-0243-001</t>
  </si>
  <si>
    <t>Contrato Temporal COOPESERVIDORES</t>
  </si>
  <si>
    <t>C.T-0243-002</t>
  </si>
  <si>
    <t>C.T-0313-001</t>
  </si>
  <si>
    <t>Contrato Temporal PURDY</t>
  </si>
  <si>
    <t>C.T-0501-001</t>
  </si>
  <si>
    <t>Contrato Temporal CONAVI</t>
  </si>
  <si>
    <t>C.T-0600-001</t>
  </si>
  <si>
    <t>Contrato Temporal FUNDATEC</t>
  </si>
  <si>
    <t>C.T-0871-003</t>
  </si>
  <si>
    <t>Contrato Temporal CTP</t>
  </si>
  <si>
    <t>C.T-0871-004</t>
  </si>
  <si>
    <t>C.T-0889-001</t>
  </si>
  <si>
    <t>Contrato Temporal QSR</t>
  </si>
  <si>
    <t>C.T-0901-001</t>
  </si>
  <si>
    <t>Contrato Temporal KFC</t>
  </si>
  <si>
    <t>C.T-0057-001</t>
  </si>
  <si>
    <t>Contrato Temporal IICA</t>
  </si>
  <si>
    <t>C.T-0734-001</t>
  </si>
  <si>
    <t>Contrato Temporal DAVIVIENDA</t>
  </si>
  <si>
    <t>C.T-0734-002</t>
  </si>
  <si>
    <t>CEFA-OCT-2017</t>
  </si>
  <si>
    <t>Arrendamiento de Licencias, soporte y GNR</t>
  </si>
  <si>
    <t>2017LA-000014</t>
  </si>
  <si>
    <t>SOPORTE, MANTENIMIENTO PREVENTIVO, SOSTENIBILDAD Y ATENCIÓN E IMPL DE MEJORAS</t>
  </si>
  <si>
    <t>2017CD-000992</t>
  </si>
  <si>
    <t>Adquisición de Sop Oper para la capa de integ de serv BSS y del Midd de fact</t>
  </si>
  <si>
    <t>C.T-0095-005</t>
  </si>
  <si>
    <t>Contrato Temporal REGISTRELO</t>
  </si>
  <si>
    <t>CONT-12-2017</t>
  </si>
  <si>
    <t>Servicios Administrados del ERP Modalidad SAAS</t>
  </si>
  <si>
    <t>CONT-47-2017</t>
  </si>
  <si>
    <t>CD-009-2016</t>
  </si>
  <si>
    <t>Soporte para los Sist. Adm. Financiero por demanda</t>
  </si>
  <si>
    <t>20170809-SOP-HE</t>
  </si>
  <si>
    <t>SOP, SOST A ACTUALIZ. DE VERSIONES SAPIENS - HENKEL</t>
  </si>
  <si>
    <t>PC-4500009239</t>
  </si>
  <si>
    <t>PRORROGA # 1 - Servicios de Sostenibildad a la Solución BSS y Complementos Integ</t>
  </si>
  <si>
    <t>PC-4500009239-G</t>
  </si>
  <si>
    <t>PRORROGA # 1 - Servicios de Sostenibildad a la Solución BSS y Complementos -GNR</t>
  </si>
  <si>
    <t>CONT-019-2018</t>
  </si>
  <si>
    <t>Servicio Administrado del ERP bajo Modelo SAAS - PANI</t>
  </si>
  <si>
    <t>CSP-009-2018</t>
  </si>
  <si>
    <t>Servicio Soporte, y Mantenimiento del sistema financiero</t>
  </si>
  <si>
    <t>243-102018</t>
  </si>
  <si>
    <t>COOPSERVIDORES CONTRATO 2018-2019</t>
  </si>
  <si>
    <t>734-112017</t>
  </si>
  <si>
    <t>O.C.44866 - AÑO2018</t>
  </si>
  <si>
    <t>SOP-2018-2019</t>
  </si>
  <si>
    <t>Servicio de soporte, sost. nuevos req. y act del SIF Y RRHH</t>
  </si>
  <si>
    <t>SOPORTE AL CLIENTE - JPS</t>
  </si>
  <si>
    <t>CONT-45-2018</t>
  </si>
  <si>
    <t>C.T-0095-007</t>
  </si>
  <si>
    <t>Contrato Temporal BI-RACSA-PANI</t>
  </si>
  <si>
    <t>CONT-06-2019</t>
  </si>
  <si>
    <t>ACUERDO ASOC. EMPR. SERV. ADM DE SOL. PROC. CALIDAD DE DATOS - PANI</t>
  </si>
  <si>
    <t>313-122017-SOP</t>
  </si>
  <si>
    <t>Soporte, Sostenibilidad, Mantenimiento Preventivo y Actualización de Versión par</t>
  </si>
  <si>
    <t>OC-2088</t>
  </si>
  <si>
    <t>MANT. PREV. Y CORRECTIVO DEL SIST. CONT. DE CONTR 2018CD000070-0006600001</t>
  </si>
  <si>
    <t>CEFA-OCT-2018</t>
  </si>
  <si>
    <t>Arrendamiento de Licencia, Soporte y GNR</t>
  </si>
  <si>
    <t>CLSCA 072019</t>
  </si>
  <si>
    <t>SOPORTE, SOST, GNR Y ACTUALIZACIÓN DEL APL SIF Y SAPIENS</t>
  </si>
  <si>
    <t>Soporte Sostenibilidad, Mantenimiento preventivo, nuevos requerimientos y actual</t>
  </si>
  <si>
    <t>CONT-25-2017</t>
  </si>
  <si>
    <t>Proyecto de Implementación MSJ</t>
  </si>
  <si>
    <t>AC-013-16</t>
  </si>
  <si>
    <t>Servicio Administrado en Tramitología en la Nube a favor del cliente Servicio Fi</t>
  </si>
  <si>
    <t>PC-4500057043</t>
  </si>
  <si>
    <t>PRORROGA # 2 - Servicios de Sostenibildad a la Solución BSS y Complementos Integ</t>
  </si>
  <si>
    <t>PC-4500057043-G</t>
  </si>
  <si>
    <t>PRORROGA # 2 - Servicios de Sostenibildad a la Solución BSS y Complementos -GNR</t>
  </si>
  <si>
    <t>PRYTcodigo</t>
  </si>
  <si>
    <t>PRYTdescripcion</t>
  </si>
  <si>
    <t>DPTO.BI</t>
  </si>
  <si>
    <t>DPTO.SOPOR</t>
  </si>
  <si>
    <t>Soporte Técnico</t>
  </si>
  <si>
    <t>DPTO.VENTA</t>
  </si>
  <si>
    <t>DPTO.PMO</t>
  </si>
  <si>
    <t>DPTO.RH</t>
  </si>
  <si>
    <t>DPTO.CONTA</t>
  </si>
  <si>
    <t>SO.IMP</t>
  </si>
  <si>
    <t>Sostenibilidad Implementación</t>
  </si>
  <si>
    <t>Administración de Cuotas</t>
  </si>
  <si>
    <t>LIC.PROD</t>
  </si>
  <si>
    <t>Sost. Gestion de Nuevos Requerimientos</t>
  </si>
  <si>
    <t>Otras Actividades</t>
  </si>
  <si>
    <t>ACT.SC</t>
  </si>
  <si>
    <t>Actividades ICE  no facturables</t>
  </si>
  <si>
    <t>Application Hosting - Bimbo</t>
  </si>
  <si>
    <t>AH.ADM</t>
  </si>
  <si>
    <t>AH. Actividades Administrativas</t>
  </si>
  <si>
    <t>AH.CO</t>
  </si>
  <si>
    <t>AH. Consultoría</t>
  </si>
  <si>
    <t>AH.FA</t>
  </si>
  <si>
    <t>AH. Farmacias del Ahorro</t>
  </si>
  <si>
    <t>AH. BI</t>
  </si>
  <si>
    <t>AH. Business Intelligence</t>
  </si>
  <si>
    <t>AH.TVSA</t>
  </si>
  <si>
    <t>AH. Televisa</t>
  </si>
  <si>
    <t>SOIN.LABS</t>
  </si>
  <si>
    <t>STR.MGMT</t>
  </si>
  <si>
    <t>PRYEcodigo</t>
  </si>
  <si>
    <t>PRYEdescripcion</t>
  </si>
  <si>
    <t>SOIN</t>
  </si>
  <si>
    <t>Empleado o Consultor Externo de SOIN</t>
  </si>
  <si>
    <t>SIF.PRG.JR</t>
  </si>
  <si>
    <t>Programador Junior</t>
  </si>
  <si>
    <t>SIF.PRG.SR</t>
  </si>
  <si>
    <t>Programador Senior</t>
  </si>
  <si>
    <t>SIF.PRG.IN</t>
  </si>
  <si>
    <t>Programador Intermedio</t>
  </si>
  <si>
    <t>SIF.DES</t>
  </si>
  <si>
    <t>Responsable de Desarrollo</t>
  </si>
  <si>
    <t>SIF.CON.JR</t>
  </si>
  <si>
    <t>Consultor Junior</t>
  </si>
  <si>
    <t>SIF.CON.SR</t>
  </si>
  <si>
    <t>Consultor Senior</t>
  </si>
  <si>
    <t>SIF.DIR</t>
  </si>
  <si>
    <t>Director de Proyecto</t>
  </si>
  <si>
    <t>SIF</t>
  </si>
  <si>
    <t>Responsable de Area</t>
  </si>
  <si>
    <t>SOP.SP</t>
  </si>
  <si>
    <t>Técnico de Soporte</t>
  </si>
  <si>
    <t>ICE.INGQA</t>
  </si>
  <si>
    <t>Ingeniero de Control de Calidad</t>
  </si>
  <si>
    <t>ICE.LIDQA</t>
  </si>
  <si>
    <t>Lider de Aseguramiento de la Calidad</t>
  </si>
  <si>
    <t>PMO.GER</t>
  </si>
  <si>
    <t>Gerente de Proyecto</t>
  </si>
  <si>
    <t>PMO.Adm</t>
  </si>
  <si>
    <t>Asistente Administrativo</t>
  </si>
  <si>
    <t>PMO.DIR</t>
  </si>
  <si>
    <t>ICE.INT</t>
  </si>
  <si>
    <t>Ingeniero de Integracion</t>
  </si>
  <si>
    <t>ICE.SO.01</t>
  </si>
  <si>
    <t>Analista de Requerimientos Técnicos BRM</t>
  </si>
  <si>
    <t>ICE.SO.02</t>
  </si>
  <si>
    <t>Consultor Técnico Especializado BRM</t>
  </si>
  <si>
    <t>ICE.SO.03</t>
  </si>
  <si>
    <t>Especialista Configuración / Desarrollador BRM</t>
  </si>
  <si>
    <t>ICE.SO.04</t>
  </si>
  <si>
    <t>Especialista Configuración / Desarrollador BRM Junior</t>
  </si>
  <si>
    <t>ICE.SO.05</t>
  </si>
  <si>
    <t>Gestor de Calidad</t>
  </si>
  <si>
    <t>ICE.SO.06</t>
  </si>
  <si>
    <t>Arquitecto Integración</t>
  </si>
  <si>
    <t>ICE.SO.07</t>
  </si>
  <si>
    <t>Ing. Certif. Respaldos (XP)</t>
  </si>
  <si>
    <t>ICE.SO.08</t>
  </si>
  <si>
    <t>Analista Requerimientos B.O.</t>
  </si>
  <si>
    <t>ICE.SO.09</t>
  </si>
  <si>
    <t>Ing. Certif. Plataforma SAN</t>
  </si>
  <si>
    <t>ICE.SO.10</t>
  </si>
  <si>
    <t>Consultor Técnico Especializado CRM Senior</t>
  </si>
  <si>
    <t>ICE.SO.11</t>
  </si>
  <si>
    <t>Analista de Requerimientos Técnicos CRM</t>
  </si>
  <si>
    <t>ICE.SO.12</t>
  </si>
  <si>
    <t>Técnicos Desarrolladores Siebel 8.1 o superior</t>
  </si>
  <si>
    <t>ICE.SO.13</t>
  </si>
  <si>
    <t>Ing. de campo Certif. HPUX</t>
  </si>
  <si>
    <t>ICE.SO.14</t>
  </si>
  <si>
    <t>Consultor Técnico Especializado</t>
  </si>
  <si>
    <t>ICE.SO.15</t>
  </si>
  <si>
    <t>Especialista Configuración / Desarrollador Integración</t>
  </si>
  <si>
    <t>ICE.SO.16</t>
  </si>
  <si>
    <t>Especialista Configuración / Desarrollador Integración Junio</t>
  </si>
  <si>
    <t>ICE.SO.17</t>
  </si>
  <si>
    <t>Especialista Configuración / Desarrollador B.O.</t>
  </si>
  <si>
    <t>ICE.SO.18</t>
  </si>
  <si>
    <t>Especialista Configuración / Desarrollador CRM</t>
  </si>
  <si>
    <t>ICE.SO.19</t>
  </si>
  <si>
    <t>Especialista Desarrollador/Configurador</t>
  </si>
  <si>
    <t>ICE.SO.20</t>
  </si>
  <si>
    <t>Analista de Requerimientos Portal Corporativo</t>
  </si>
  <si>
    <t>ICE.SO.21</t>
  </si>
  <si>
    <t>Operador 24x7</t>
  </si>
  <si>
    <t>ICE.SO.22</t>
  </si>
  <si>
    <t>Consultor Líder Gestión de Requerimientos</t>
  </si>
  <si>
    <t>ICE.SO.23</t>
  </si>
  <si>
    <t>Consultor Líder Gestión de Calidad</t>
  </si>
  <si>
    <t>ICE.SO.24</t>
  </si>
  <si>
    <t>Consultor Líder Gestión de Incidencias</t>
  </si>
  <si>
    <t>ICE.SO.25</t>
  </si>
  <si>
    <t>Consultor Líder Implementadores</t>
  </si>
  <si>
    <t>ICE.SO.26</t>
  </si>
  <si>
    <t>Consultor Líder Transferencia de Conocimiento</t>
  </si>
  <si>
    <t>ICE.SO.30</t>
  </si>
  <si>
    <t>Director General de Proyecto</t>
  </si>
  <si>
    <t>ICE.SO.27</t>
  </si>
  <si>
    <t>Administrador de Proyectos Informáticos</t>
  </si>
  <si>
    <t>ICE.SO.28</t>
  </si>
  <si>
    <t>Gestor de Cambios Senior</t>
  </si>
  <si>
    <t>ICE.SO.29</t>
  </si>
  <si>
    <t>Consultor Técnico Especializado MZ</t>
  </si>
  <si>
    <t>MW.ADM</t>
  </si>
  <si>
    <t>Administrador de Servicio</t>
  </si>
  <si>
    <t>MW.ARQ</t>
  </si>
  <si>
    <t>Arquitecto Aplicativos</t>
  </si>
  <si>
    <t>MW.ESP</t>
  </si>
  <si>
    <t>Especialista Aplicativos</t>
  </si>
  <si>
    <t>MW.DBA</t>
  </si>
  <si>
    <t>Especialista DBA</t>
  </si>
  <si>
    <t>MW.OPER</t>
  </si>
  <si>
    <t>Operador Aplicativos</t>
  </si>
  <si>
    <t>AH.DES</t>
  </si>
  <si>
    <t>Desarrollador</t>
  </si>
  <si>
    <t>AH.QA</t>
  </si>
  <si>
    <t>Quality Assurance</t>
  </si>
  <si>
    <t>AH.LT</t>
  </si>
  <si>
    <t>Líder Técnico</t>
  </si>
  <si>
    <t>AH.AN</t>
  </si>
  <si>
    <t>Analista de Requrimientos</t>
  </si>
  <si>
    <t>AH.PM</t>
  </si>
  <si>
    <t>Administrador de Proyecto</t>
  </si>
  <si>
    <t>AH.ARQ</t>
  </si>
  <si>
    <t>Arquitecto de solución</t>
  </si>
  <si>
    <t>AH.SOP</t>
  </si>
  <si>
    <t>Soporte</t>
  </si>
  <si>
    <t>AH.KAM</t>
  </si>
  <si>
    <t>Key Account Manager</t>
  </si>
  <si>
    <t>AH.DBA</t>
  </si>
  <si>
    <t>Administrador de Base de Datos</t>
  </si>
  <si>
    <t>Empleado de Application Hosting</t>
  </si>
  <si>
    <t>Consultor</t>
  </si>
  <si>
    <t>AH.DOC</t>
  </si>
  <si>
    <t>Documentador</t>
  </si>
  <si>
    <t>AH.SOP.TEC</t>
  </si>
  <si>
    <t>AH.CO.FUN</t>
  </si>
  <si>
    <t>Consultor Funcional</t>
  </si>
  <si>
    <t>AH.CO.TEC</t>
  </si>
  <si>
    <t>Consultor Técnico</t>
  </si>
  <si>
    <t>Consultor de Desarrollo</t>
  </si>
  <si>
    <t>AH.LID.PRY</t>
  </si>
  <si>
    <t>Líder de Proyecto</t>
  </si>
  <si>
    <t>AH.CO.PRO</t>
  </si>
  <si>
    <t>Consultor de Procesos</t>
  </si>
  <si>
    <t>AH.CO.IMP</t>
  </si>
  <si>
    <t>Consultor de Implantación</t>
  </si>
  <si>
    <t>ICE.SO.31</t>
  </si>
  <si>
    <t>Arquitecto Funcional Fabricante</t>
  </si>
  <si>
    <t>ICE.SO.32</t>
  </si>
  <si>
    <t>Release Manager</t>
  </si>
  <si>
    <t>ICE.SO.33</t>
  </si>
  <si>
    <t>Especialista Configuración/Desarrollador ROC PS</t>
  </si>
  <si>
    <t>ICE.SO.34</t>
  </si>
  <si>
    <t>Consultor Técnico Especializado ROC PS</t>
  </si>
  <si>
    <t>ICE.SO.35</t>
  </si>
  <si>
    <t>Especialista Configuración / Desarrollador MZ</t>
  </si>
  <si>
    <t>ICE.SO.36</t>
  </si>
  <si>
    <t>FABRICANTE MZ V 6.3</t>
  </si>
  <si>
    <t>ICE.SO.37</t>
  </si>
  <si>
    <t>ARQUITECTO DE SOLUCIÓN (CONSULTOR TÉCNICO ESPECIALIZADO SENI</t>
  </si>
  <si>
    <t>ICE.SO.38</t>
  </si>
  <si>
    <t>Consultor experto tasación pipeline y pricing</t>
  </si>
  <si>
    <t>AH.PPQA</t>
  </si>
  <si>
    <t>Asegurador de Calidad Procesos y Productos</t>
  </si>
  <si>
    <t>AH.EPG</t>
  </si>
  <si>
    <t>Grupo de Procesos</t>
  </si>
  <si>
    <t>INTER.01</t>
  </si>
  <si>
    <t>Gerente de Desarrollo de Sistemas</t>
  </si>
  <si>
    <t>INTER.02</t>
  </si>
  <si>
    <t>Consultor de Negocio</t>
  </si>
  <si>
    <t>INTER.03</t>
  </si>
  <si>
    <t>INTER.04</t>
  </si>
  <si>
    <t>Ingeniero de soporte Jr.</t>
  </si>
  <si>
    <t>INTER.05</t>
  </si>
  <si>
    <t>Diseñador gráfico</t>
  </si>
  <si>
    <t>SOIN.RH.01</t>
  </si>
  <si>
    <t xml:space="preserve"> Especialista en Desarrollo Organizacional Senior</t>
  </si>
  <si>
    <t>SOIN.RH.02</t>
  </si>
  <si>
    <t>Especialista en Desarrollo Organizacional Intermedio</t>
  </si>
  <si>
    <t>ICE.SO.39</t>
  </si>
  <si>
    <t>Administrador Senior en Bases de Datos</t>
  </si>
  <si>
    <t>BI.AN.SAL</t>
  </si>
  <si>
    <t>Business Analyst</t>
  </si>
  <si>
    <t>ICE-CONV.1</t>
  </si>
  <si>
    <t>DIRECTOR PROYECTO CONVERGENCIA</t>
  </si>
  <si>
    <t>DEV.01</t>
  </si>
  <si>
    <t>DEV.02</t>
  </si>
  <si>
    <t>Software Developer Specialist</t>
  </si>
  <si>
    <t>DIS.GRAF</t>
  </si>
  <si>
    <t>Diseñador Gráfico</t>
  </si>
  <si>
    <t>PROJ.01</t>
  </si>
  <si>
    <t>Project Manager</t>
  </si>
  <si>
    <t>TEC.DOC</t>
  </si>
  <si>
    <t>Técnico Documentalista</t>
  </si>
  <si>
    <t>ARQ.SOF</t>
  </si>
  <si>
    <t>Arquitecto  de Software Jr.</t>
  </si>
  <si>
    <t>ARQ SOF.S</t>
  </si>
  <si>
    <t>Arquitecto de Software Sr.</t>
  </si>
  <si>
    <t>COR.PROY</t>
  </si>
  <si>
    <t>Coordinador de Proyectos</t>
  </si>
  <si>
    <t>DES.NEGO</t>
  </si>
  <si>
    <t>Desarrollador de Negocios</t>
  </si>
  <si>
    <t>MEC.ENG</t>
  </si>
  <si>
    <t>Mechatronic Engineer</t>
  </si>
  <si>
    <t>REL.01</t>
  </si>
  <si>
    <t>Release Manager Jr.</t>
  </si>
  <si>
    <t>QA.01</t>
  </si>
  <si>
    <t>Entry Level QA Tester</t>
  </si>
  <si>
    <t>Web Designer</t>
  </si>
  <si>
    <t>ENG.01</t>
  </si>
  <si>
    <t>Software Engineer OPI</t>
  </si>
  <si>
    <t>Senior Accountant</t>
  </si>
  <si>
    <t>QA.02</t>
  </si>
  <si>
    <t>Junior QA Tester</t>
  </si>
  <si>
    <t>ICE.SO.40</t>
  </si>
  <si>
    <t>Consultor Técnico Especializado ROC PS Senior</t>
  </si>
  <si>
    <t>OPER</t>
  </si>
  <si>
    <t>OPERADOR APLICATIVO</t>
  </si>
  <si>
    <t>ACT.MGR</t>
  </si>
  <si>
    <t>Account Manager</t>
  </si>
  <si>
    <t>ARCH.SR</t>
  </si>
  <si>
    <t>Senior Architect Lead</t>
  </si>
  <si>
    <t>ARCH.SW 1</t>
  </si>
  <si>
    <t>Senior Software Architect</t>
  </si>
  <si>
    <t>ARCH.SW 2</t>
  </si>
  <si>
    <t>Junior Software Architect</t>
  </si>
  <si>
    <t>BDS.01</t>
  </si>
  <si>
    <t>Big Data Specialist</t>
  </si>
  <si>
    <t>BSS.CON 01</t>
  </si>
  <si>
    <t>Business Consultant</t>
  </si>
  <si>
    <t>BSS.CON 03</t>
  </si>
  <si>
    <t>Junior Business Consultant</t>
  </si>
  <si>
    <t>BSS.CON 02</t>
  </si>
  <si>
    <t>Senior Business Consultant</t>
  </si>
  <si>
    <t>CSTM 01</t>
  </si>
  <si>
    <t>Customer Successs Manager</t>
  </si>
  <si>
    <t>CSTM 03</t>
  </si>
  <si>
    <t>Customer Specialist</t>
  </si>
  <si>
    <t>CSTM 02</t>
  </si>
  <si>
    <t>Customer Successs Lead</t>
  </si>
  <si>
    <t>CSTM 04</t>
  </si>
  <si>
    <t>Customer Lead</t>
  </si>
  <si>
    <t>DB. ADM</t>
  </si>
  <si>
    <t>Database Administrator</t>
  </si>
  <si>
    <t>DSGN</t>
  </si>
  <si>
    <t>Designer</t>
  </si>
  <si>
    <t>DEV.03</t>
  </si>
  <si>
    <t>Junior Software Developer</t>
  </si>
  <si>
    <t>DEV.04</t>
  </si>
  <si>
    <t>Senior Software Developer</t>
  </si>
  <si>
    <t>BSS.DEV.01</t>
  </si>
  <si>
    <t>Business Developer</t>
  </si>
  <si>
    <t>DEV.06</t>
  </si>
  <si>
    <t>Senior Development Lead</t>
  </si>
  <si>
    <t>ENG.02</t>
  </si>
  <si>
    <t>Software Engineer Specialist</t>
  </si>
  <si>
    <t>ENG.03</t>
  </si>
  <si>
    <t>Entry Level Software Engineer</t>
  </si>
  <si>
    <t>Executive Assistant</t>
  </si>
  <si>
    <t>GSA.01</t>
  </si>
  <si>
    <t>HRS.01</t>
  </si>
  <si>
    <t>HR Specialist</t>
  </si>
  <si>
    <t>HRS.02</t>
  </si>
  <si>
    <t>Senior HR Specialist</t>
  </si>
  <si>
    <t>IT.ENG.01</t>
  </si>
  <si>
    <t>Senior IT Support Engineer</t>
  </si>
  <si>
    <t>IT.ENG.02</t>
  </si>
  <si>
    <t>IT Support Engineer Lead</t>
  </si>
  <si>
    <t>IT.ENG.04</t>
  </si>
  <si>
    <t>IT.ENG.03</t>
  </si>
  <si>
    <t>IT Support Engineer</t>
  </si>
  <si>
    <t>IT Support Technician</t>
  </si>
  <si>
    <t>MKT.01</t>
  </si>
  <si>
    <t>Marketing Specialist</t>
  </si>
  <si>
    <t>PMO.01</t>
  </si>
  <si>
    <t>PMO Officer JR</t>
  </si>
  <si>
    <t>PRCSS</t>
  </si>
  <si>
    <t>Junior Process Specialist</t>
  </si>
  <si>
    <t>PROJ.02</t>
  </si>
  <si>
    <t>Junior Project Manager</t>
  </si>
  <si>
    <t>QA.03</t>
  </si>
  <si>
    <t>QA Tester Specialist</t>
  </si>
  <si>
    <t>QA.04</t>
  </si>
  <si>
    <t>Senior QA Lead</t>
  </si>
  <si>
    <t>REL.02</t>
  </si>
  <si>
    <t>SALES</t>
  </si>
  <si>
    <t>Sales Account Executive</t>
  </si>
  <si>
    <t>SCM.MAS</t>
  </si>
  <si>
    <t>Scrum Master</t>
  </si>
  <si>
    <t>SR.MGR</t>
  </si>
  <si>
    <t>Senior Manager</t>
  </si>
  <si>
    <t>TLC0</t>
  </si>
  <si>
    <t>Telco Director</t>
  </si>
  <si>
    <t>ICE.SO.41</t>
  </si>
  <si>
    <t>Consultor Técnico Especializado ECE</t>
  </si>
  <si>
    <t>ENG.04</t>
  </si>
  <si>
    <t>Senior Software Engineer</t>
  </si>
  <si>
    <t>ENG.05</t>
  </si>
  <si>
    <t>Junior Software Engineer</t>
  </si>
  <si>
    <t>PROJ.03</t>
  </si>
  <si>
    <t>Project Leader</t>
  </si>
  <si>
    <t>DESA.CCSS</t>
  </si>
  <si>
    <t>DESARROLLADOR</t>
  </si>
  <si>
    <t>APP.DEV.SL</t>
  </si>
  <si>
    <t>App Developer - Salud</t>
  </si>
  <si>
    <t>APP.DSG.SL</t>
  </si>
  <si>
    <t>App Designer - Salud</t>
  </si>
  <si>
    <t>ARCH.SW.3</t>
  </si>
  <si>
    <t>Software Architect Specialist</t>
  </si>
  <si>
    <t>PRACT 01</t>
  </si>
  <si>
    <t>Practicantes</t>
  </si>
  <si>
    <t>REL.03</t>
  </si>
  <si>
    <t>PROJ.04</t>
  </si>
  <si>
    <t>PROJECT SUPPORT OFFICER</t>
  </si>
  <si>
    <t>ICE.SO.42</t>
  </si>
  <si>
    <t>Administrador de Proyectos Informáticos Junior</t>
  </si>
  <si>
    <t>ICE.SO.43</t>
  </si>
  <si>
    <t>Gestor de Cambios Junior</t>
  </si>
  <si>
    <t>ICE.SO.44</t>
  </si>
  <si>
    <t>Consultor Experto ECE</t>
  </si>
  <si>
    <t>ICE.SO.45</t>
  </si>
  <si>
    <t>Consultor Técnico Especializado Senior Concilia - SUBEX</t>
  </si>
  <si>
    <t>QA.05</t>
  </si>
  <si>
    <t>Senior QA Tester</t>
  </si>
  <si>
    <t>GES.CA.01</t>
  </si>
  <si>
    <t>PMO.02</t>
  </si>
  <si>
    <t>Entry Level PMO Officer</t>
  </si>
  <si>
    <t>REL.04</t>
  </si>
  <si>
    <t>ENTRY LEVEL IT Support Engineer</t>
  </si>
  <si>
    <t>AS.GER.01</t>
  </si>
  <si>
    <t>ASISTENTE DE ALTA GERENCIA</t>
  </si>
  <si>
    <t>HRS.03</t>
  </si>
  <si>
    <t>OPE.01</t>
  </si>
  <si>
    <t>Operador de Redes Nocturno</t>
  </si>
  <si>
    <t>CNT.01</t>
  </si>
  <si>
    <t>Content Specialist</t>
  </si>
  <si>
    <t>ARCH.IN.1</t>
  </si>
  <si>
    <t>Infrastructure Architect</t>
  </si>
  <si>
    <t>Usulogin</t>
  </si>
  <si>
    <t>Usunombre</t>
  </si>
  <si>
    <t>PRYUcosto</t>
  </si>
  <si>
    <t>nelsonb</t>
  </si>
  <si>
    <t>NELSON PABEL BALTODANO CRUZ</t>
  </si>
  <si>
    <t>jcisar</t>
  </si>
  <si>
    <t>JENNER CISAR MONTERO</t>
  </si>
  <si>
    <t>chantal</t>
  </si>
  <si>
    <t>CHANTAL BERDASCO SOLER</t>
  </si>
  <si>
    <t>marcelm</t>
  </si>
  <si>
    <t>MARCEL DE MEZERVILLE LOPEZ</t>
  </si>
  <si>
    <t>rafael</t>
  </si>
  <si>
    <t>RAFAEL VEGA ALVAREZ</t>
  </si>
  <si>
    <t>victor</t>
  </si>
  <si>
    <t>VICTOR CHAVES MONTERO</t>
  </si>
  <si>
    <t>josech</t>
  </si>
  <si>
    <t>JOSE MIGUEL CHAVES VILLALOBOS</t>
  </si>
  <si>
    <t>manuel</t>
  </si>
  <si>
    <t>MANUEL BALTODANO QUIROS</t>
  </si>
  <si>
    <t>lcrespo</t>
  </si>
  <si>
    <t>LUIS CRESPO VARELA</t>
  </si>
  <si>
    <t>mauricio</t>
  </si>
  <si>
    <t>MAURICIO ESQUIVEL MONTEALEGRE</t>
  </si>
  <si>
    <t>eladio</t>
  </si>
  <si>
    <t>ELADIO VILLALTA NUÑEZ</t>
  </si>
  <si>
    <t>melvin</t>
  </si>
  <si>
    <t>MELVIN SALAZAR UREÑA</t>
  </si>
  <si>
    <t>aaron</t>
  </si>
  <si>
    <t>AARON VARGAS VALVERDE</t>
  </si>
  <si>
    <t>mpalma</t>
  </si>
  <si>
    <t>silvia</t>
  </si>
  <si>
    <t>SILVIA GONZALEZ MONTERO</t>
  </si>
  <si>
    <t>gustavof</t>
  </si>
  <si>
    <t>GUSTAVO FONSECA HERNANDEZ</t>
  </si>
  <si>
    <t>anav</t>
  </si>
  <si>
    <t>ANA VILLAVICENCIO ROSALES</t>
  </si>
  <si>
    <t>lvillalobos</t>
  </si>
  <si>
    <t>LIZANDRO VILLALOBOS CASTRO</t>
  </si>
  <si>
    <t>alejandra</t>
  </si>
  <si>
    <t>ALEJANDRA BARRIENTOS VENEGAS</t>
  </si>
  <si>
    <t>kramirez</t>
  </si>
  <si>
    <t>KATY RAMIREZ RONDONA</t>
  </si>
  <si>
    <t>cduran</t>
  </si>
  <si>
    <t>CINDY DURAN MONTIEL</t>
  </si>
  <si>
    <t>achaves</t>
  </si>
  <si>
    <t>ALVARO CHAVES SABORIO</t>
  </si>
  <si>
    <t>gabarca</t>
  </si>
  <si>
    <t>GUADALUPE ABARCA VARGAS</t>
  </si>
  <si>
    <t>mcambronero</t>
  </si>
  <si>
    <t>MELISSA CAMBRONERO ZUÑIGA</t>
  </si>
  <si>
    <t>jmadrigal</t>
  </si>
  <si>
    <t>JOSE MADRIGAL ARIAS</t>
  </si>
  <si>
    <t>juand</t>
  </si>
  <si>
    <t>obonilla66</t>
  </si>
  <si>
    <t>OSCAR BONILLA CALDERON</t>
  </si>
  <si>
    <t>ivette</t>
  </si>
  <si>
    <t>IVETTE SANCHEZ GARCIA</t>
  </si>
  <si>
    <t>mbarrantes</t>
  </si>
  <si>
    <t>MAUREEN BARRANTES RODRIGUEZ</t>
  </si>
  <si>
    <t>ljimenez</t>
  </si>
  <si>
    <t>LUIS ENRIQUE JIMENEZ SANCHO</t>
  </si>
  <si>
    <t>nmurillo</t>
  </si>
  <si>
    <t>NELSON MURILLO SALAZAR</t>
  </si>
  <si>
    <t>khidalgo</t>
  </si>
  <si>
    <t>KARLA VANESSA HIDALGO VARGAS</t>
  </si>
  <si>
    <t>chuelgo</t>
  </si>
  <si>
    <t>CAROLINA HUELGO NOVA</t>
  </si>
  <si>
    <t>rcastillo</t>
  </si>
  <si>
    <t>ROBERTH CASTILLO VILLEGAS</t>
  </si>
  <si>
    <t>jabarca</t>
  </si>
  <si>
    <t>JUAN PABLO ABARCA DURAN</t>
  </si>
  <si>
    <t>jtaipe</t>
  </si>
  <si>
    <t>JOSE TAIPE BARRETO</t>
  </si>
  <si>
    <t>bmora</t>
  </si>
  <si>
    <t>BERNAL MORA SOTO</t>
  </si>
  <si>
    <t>rmasis</t>
  </si>
  <si>
    <t>ROGER MASIS PANIAGUA</t>
  </si>
  <si>
    <t>dmonge</t>
  </si>
  <si>
    <t>DEIVIS MONGE MONGE</t>
  </si>
  <si>
    <t>dmurillo</t>
  </si>
  <si>
    <t>DIEGO MURILLO CAMPOS</t>
  </si>
  <si>
    <t>fcerdas</t>
  </si>
  <si>
    <t>FRANCISCO CERDAS UREÑA</t>
  </si>
  <si>
    <t>lsandi</t>
  </si>
  <si>
    <t>LEIDY SANDI JIMENEZ</t>
  </si>
  <si>
    <t>jmora</t>
  </si>
  <si>
    <t>JUAN ANTONIO MORA GARCIA</t>
  </si>
  <si>
    <t>ksalazar</t>
  </si>
  <si>
    <t>KARLA SALAZAR ESPINOZA</t>
  </si>
  <si>
    <t>nlopez</t>
  </si>
  <si>
    <t>NAIROBI LOPEZ HERNANDEZ</t>
  </si>
  <si>
    <t>smontes</t>
  </si>
  <si>
    <t>SEBASTIAN MONTES VARGAS</t>
  </si>
  <si>
    <t>fcastro</t>
  </si>
  <si>
    <t>FREDERICK CASTRO MURILLO</t>
  </si>
  <si>
    <t>hgarcia</t>
  </si>
  <si>
    <t>HECTOR GARCIA BEITA</t>
  </si>
  <si>
    <t>jcruz</t>
  </si>
  <si>
    <t>JASON CRUZ SOLIS</t>
  </si>
  <si>
    <t>jalfaro</t>
  </si>
  <si>
    <t>JIMMY GABRIEL ALFARO CRUZ</t>
  </si>
  <si>
    <t>mrodriguez</t>
  </si>
  <si>
    <t>MARCO ANTONIO ALPIZAR RODRIGUEZ</t>
  </si>
  <si>
    <t>varce</t>
  </si>
  <si>
    <t>VLADIMIR ARCE VILLALOBOS</t>
  </si>
  <si>
    <t>cbarrantes</t>
  </si>
  <si>
    <t>CRISTIAN BARRANTES HERRA</t>
  </si>
  <si>
    <t>gbujan</t>
  </si>
  <si>
    <t>GUSTAVO BUJAN CASTRO</t>
  </si>
  <si>
    <t>ecampos</t>
  </si>
  <si>
    <t>EIVI CAMPOS MOLINA</t>
  </si>
  <si>
    <t>dcanas</t>
  </si>
  <si>
    <t>DANIEL CAÑAS MONTERO</t>
  </si>
  <si>
    <t>ecenteno</t>
  </si>
  <si>
    <t>EDUARDO CENTENO CHAVARRIA</t>
  </si>
  <si>
    <t>rmena</t>
  </si>
  <si>
    <t>RICARDO CHINCHILLA MENA</t>
  </si>
  <si>
    <t>ecorrea</t>
  </si>
  <si>
    <t>ELVER AGOSTINO CORREA RODRIGUEZ</t>
  </si>
  <si>
    <t>iespinoza</t>
  </si>
  <si>
    <t>ISAAK ESPINOZA AGUILAR</t>
  </si>
  <si>
    <t>gfernandez</t>
  </si>
  <si>
    <t>GUSTAVO FERNANDEZ JIMENEZ</t>
  </si>
  <si>
    <t>jfonseca</t>
  </si>
  <si>
    <t>JEREMY FONSECA CASTILLO</t>
  </si>
  <si>
    <t>kgarita</t>
  </si>
  <si>
    <t>KARLA GARITA RODRIGUEZ</t>
  </si>
  <si>
    <t>gustavog</t>
  </si>
  <si>
    <t>GUSTAVO GUTIERREZ ALFARO</t>
  </si>
  <si>
    <t>juancarlos</t>
  </si>
  <si>
    <t>JUAN CARLOS GUTIERREZ GONZALEZ</t>
  </si>
  <si>
    <t>kherrera</t>
  </si>
  <si>
    <t>KARLA HERRERA ROJAS</t>
  </si>
  <si>
    <t>julianv</t>
  </si>
  <si>
    <t>JULIAN VILLALTA FRINDELL</t>
  </si>
  <si>
    <t>cjimenez</t>
  </si>
  <si>
    <t>CHRISTOPHER JIMENEZ CORDOBA</t>
  </si>
  <si>
    <t>aleon</t>
  </si>
  <si>
    <t>ADRIAN LEON ACUÑA</t>
  </si>
  <si>
    <t>jmata</t>
  </si>
  <si>
    <t>JORGE MATA VALVERDE</t>
  </si>
  <si>
    <t>lnavarro</t>
  </si>
  <si>
    <t>LUIS NAVARRO SANCHEZ</t>
  </si>
  <si>
    <t>ioviedo</t>
  </si>
  <si>
    <t>IVONNE ALEJANDRA OVIEDO GONZALEZ</t>
  </si>
  <si>
    <t>squesada</t>
  </si>
  <si>
    <t>SERGIO QUESADA CHAVES</t>
  </si>
  <si>
    <t>mrojas</t>
  </si>
  <si>
    <t>MARIA DE LOS ANGELES ROJAS GARRO</t>
  </si>
  <si>
    <t>jrosales</t>
  </si>
  <si>
    <t>JOSUE ROSALES PICADO</t>
  </si>
  <si>
    <t>gsolis</t>
  </si>
  <si>
    <t>asolis</t>
  </si>
  <si>
    <t>ALEXANDER SOLIS VILLALTA</t>
  </si>
  <si>
    <t>espencer</t>
  </si>
  <si>
    <t>EDWIN GERARDO SPENCER PICADO</t>
  </si>
  <si>
    <t>pmunoz</t>
  </si>
  <si>
    <t>PEDRO MUÑOZ CARVAJAL</t>
  </si>
  <si>
    <t>mquintero</t>
  </si>
  <si>
    <t>MAURICIO QUINTERO MEDINA</t>
  </si>
  <si>
    <t>ruben</t>
  </si>
  <si>
    <t>RUBEN MARDIGIAN</t>
  </si>
  <si>
    <t>arocha</t>
  </si>
  <si>
    <t>ADRIAN ROCHA</t>
  </si>
  <si>
    <t>bquesada</t>
  </si>
  <si>
    <t>BRAYNER QUESADA CARBALLO</t>
  </si>
  <si>
    <t>kmora</t>
  </si>
  <si>
    <t>KAROL MORA CASCANTE</t>
  </si>
  <si>
    <t>dtoro</t>
  </si>
  <si>
    <t>DAVID TORO DIAZ</t>
  </si>
  <si>
    <t>rodrigob</t>
  </si>
  <si>
    <t>RODRIGO BISCAYCHIPY NISE</t>
  </si>
  <si>
    <t>malvarado</t>
  </si>
  <si>
    <t>vmora</t>
  </si>
  <si>
    <t>Víctor Mora Solano</t>
  </si>
  <si>
    <t>ymena</t>
  </si>
  <si>
    <t>YAMILETH EUGENIA MENA VILLALTA</t>
  </si>
  <si>
    <t>pugarte</t>
  </si>
  <si>
    <t>PABLO UGARTE</t>
  </si>
  <si>
    <t>tomasm</t>
  </si>
  <si>
    <t>jtanaka</t>
  </si>
  <si>
    <t>mariano</t>
  </si>
  <si>
    <t>jvillalta</t>
  </si>
  <si>
    <t>marguedas</t>
  </si>
  <si>
    <t>MAIKOL ARGUEDAS VALERIO</t>
  </si>
  <si>
    <t>emondragon</t>
  </si>
  <si>
    <t>ERIC MONDRAGON PEREZ</t>
  </si>
  <si>
    <t>alfonso</t>
  </si>
  <si>
    <t>ALFONSO FUENTES RODRIGUEZ</t>
  </si>
  <si>
    <t>jpalma</t>
  </si>
  <si>
    <t>crodriguez</t>
  </si>
  <si>
    <t>CAROL RODRIGUEZ SOLORZANO</t>
  </si>
  <si>
    <t>avargas</t>
  </si>
  <si>
    <t>ALFONSO VARGAS CHAVES</t>
  </si>
  <si>
    <t>marco</t>
  </si>
  <si>
    <t>MARCO VILLALTA FRINDELL</t>
  </si>
  <si>
    <t>dbustos</t>
  </si>
  <si>
    <t>DANNY DAVID BUSTOS ROJAS</t>
  </si>
  <si>
    <t>furbina</t>
  </si>
  <si>
    <t>jramirez</t>
  </si>
  <si>
    <t>JORGE ERICK RAMIREZ MADRIZ</t>
  </si>
  <si>
    <t>mcastro</t>
  </si>
  <si>
    <t>MANUEL CASTRO MUÑOZ</t>
  </si>
  <si>
    <t>kfernandez</t>
  </si>
  <si>
    <t>KARLA FERNANDEZ NUÑEZ</t>
  </si>
  <si>
    <t>rmata</t>
  </si>
  <si>
    <t>RONALD MATA ORTEGA</t>
  </si>
  <si>
    <t>jarrieta</t>
  </si>
  <si>
    <t>JORGE ARRIETA NAVARRETE</t>
  </si>
  <si>
    <t>mmunoz</t>
  </si>
  <si>
    <t>MARCO MUÑOZ RAMIREZ</t>
  </si>
  <si>
    <t>rsanchez</t>
  </si>
  <si>
    <t>ROBERTO CARLOS SANCHEZ CARMONA</t>
  </si>
  <si>
    <t>ssastre</t>
  </si>
  <si>
    <t>SANDRA SASTRE</t>
  </si>
  <si>
    <t>pjimenez</t>
  </si>
  <si>
    <t>Patricia Jimenez Rodriguez</t>
  </si>
  <si>
    <t>jgonzalez</t>
  </si>
  <si>
    <t>Julio Gonzalez Molina</t>
  </si>
  <si>
    <t>psanchez</t>
  </si>
  <si>
    <t>jmendoza</t>
  </si>
  <si>
    <t>JORGE ARTURO MENDOZA MARTINEZ</t>
  </si>
  <si>
    <t>mmartinez</t>
  </si>
  <si>
    <t>Margarita Martinez</t>
  </si>
  <si>
    <t>fortiz</t>
  </si>
  <si>
    <t>Fernando Ortiz</t>
  </si>
  <si>
    <t>razor</t>
  </si>
  <si>
    <t>ROSSY AZOR  MEDINA</t>
  </si>
  <si>
    <t>gcaramuro</t>
  </si>
  <si>
    <t>externo2</t>
  </si>
  <si>
    <t>Usuario Externo AIA</t>
  </si>
  <si>
    <t>dmendoza</t>
  </si>
  <si>
    <t>DANIEL MENDOZA GARZA</t>
  </si>
  <si>
    <t>dmargolis</t>
  </si>
  <si>
    <t>DANIEL MARGOLIS GORONAS</t>
  </si>
  <si>
    <t>externo4</t>
  </si>
  <si>
    <t>Consultor CRM</t>
  </si>
  <si>
    <t>dparvinpour</t>
  </si>
  <si>
    <t>atumanov</t>
  </si>
  <si>
    <t>ANDREY TUMANOV</t>
  </si>
  <si>
    <t>mseco</t>
  </si>
  <si>
    <t>MAURICIO SECO</t>
  </si>
  <si>
    <t>esolis</t>
  </si>
  <si>
    <t>EBLYN SOLIS</t>
  </si>
  <si>
    <t>gizurieta</t>
  </si>
  <si>
    <t>GUSTAVO IZURIETA</t>
  </si>
  <si>
    <t>stranfo</t>
  </si>
  <si>
    <t>SANTIAGO TRANFO</t>
  </si>
  <si>
    <t>dvargas</t>
  </si>
  <si>
    <t>DANIEL VARGAS CHAVES</t>
  </si>
  <si>
    <t>kduran</t>
  </si>
  <si>
    <t>KENDALL DURAN BARRANTES</t>
  </si>
  <si>
    <t>rvargas</t>
  </si>
  <si>
    <t>RANDALL VARGAS FLORES</t>
  </si>
  <si>
    <t>rherrera</t>
  </si>
  <si>
    <t>RICARDO HERRERA CHAVES</t>
  </si>
  <si>
    <t>cjimenezr</t>
  </si>
  <si>
    <t>Carlos Jiménez Ruiz</t>
  </si>
  <si>
    <t>asalazar</t>
  </si>
  <si>
    <t>ALEXANDER SALAZAR CASTRO</t>
  </si>
  <si>
    <t>afabale</t>
  </si>
  <si>
    <t>ALEJANDRO FABALE</t>
  </si>
  <si>
    <t>kmartinez</t>
  </si>
  <si>
    <t>KAREN MARTINEZ PIEDRA</t>
  </si>
  <si>
    <t>rsolano</t>
  </si>
  <si>
    <t>RICHARD SOLANO GONZALEZ</t>
  </si>
  <si>
    <t>mmora</t>
  </si>
  <si>
    <t>MARCIA MORA BADILLA</t>
  </si>
  <si>
    <t>schaves</t>
  </si>
  <si>
    <t>SERGIO CHAVES CAMPOS</t>
  </si>
  <si>
    <t>bcreedom</t>
  </si>
  <si>
    <t>Barry Creedom</t>
  </si>
  <si>
    <t>yrojas</t>
  </si>
  <si>
    <t>YESSICA ROJAS HERRERA</t>
  </si>
  <si>
    <t>ealfaro</t>
  </si>
  <si>
    <t>ERICK ALFARO RODRIGUEZ</t>
  </si>
  <si>
    <t>arojas</t>
  </si>
  <si>
    <t>ANTHONY ROJAS ALFARO</t>
  </si>
  <si>
    <t>bmendoza</t>
  </si>
  <si>
    <t>aalfaro</t>
  </si>
  <si>
    <t>alicia</t>
  </si>
  <si>
    <t>Alicia Perez</t>
  </si>
  <si>
    <t>abeg</t>
  </si>
  <si>
    <t>ARQUM BEG</t>
  </si>
  <si>
    <t>igranados</t>
  </si>
  <si>
    <t>IRENE GRANADOS ROJAS</t>
  </si>
  <si>
    <t>vhernandez</t>
  </si>
  <si>
    <t>VICTORIA HERNANDEZ RODRIGUEZ</t>
  </si>
  <si>
    <t>rluna</t>
  </si>
  <si>
    <t>ROGER LUNA PICADO</t>
  </si>
  <si>
    <t>mmadrigal</t>
  </si>
  <si>
    <t>ELENA MADRIGAL VEGA</t>
  </si>
  <si>
    <t>kquiros</t>
  </si>
  <si>
    <t>KIMBERLY QUIROS SANDI</t>
  </si>
  <si>
    <t>mvillalobos</t>
  </si>
  <si>
    <t>MOISES BARRANTES VILLALOBOS</t>
  </si>
  <si>
    <t>jmadriz</t>
  </si>
  <si>
    <t>JONATHAN MADRIZ CHACON</t>
  </si>
  <si>
    <t>rcolomer</t>
  </si>
  <si>
    <t>RANDALL COLOMER VILLALTA</t>
  </si>
  <si>
    <t>vesquivel</t>
  </si>
  <si>
    <t>VERA ESQUIVEL MONTEALEGRE</t>
  </si>
  <si>
    <t>eleiva</t>
  </si>
  <si>
    <t>ESTEFANIA LEIVA ARRIETA</t>
  </si>
  <si>
    <t>jceciliano</t>
  </si>
  <si>
    <t>JEREMIAS CECILIANO ELIZONDO</t>
  </si>
  <si>
    <t>jalvarado</t>
  </si>
  <si>
    <t>JOHAN ALVARADO RUIZ</t>
  </si>
  <si>
    <t>vsepulveda</t>
  </si>
  <si>
    <t>VANESSA SEPULVEDA DELGADO</t>
  </si>
  <si>
    <t>mmarin</t>
  </si>
  <si>
    <t>MARVIN MARIN LOPEZ</t>
  </si>
  <si>
    <t>cirschick</t>
  </si>
  <si>
    <t>mmonge</t>
  </si>
  <si>
    <t>MANUEL MORA MONGE</t>
  </si>
  <si>
    <t>abrenes</t>
  </si>
  <si>
    <t>ANA LIGIA BRENES VINDAS</t>
  </si>
  <si>
    <t>cmasis</t>
  </si>
  <si>
    <t>CARLOS MASIS PERALTA</t>
  </si>
  <si>
    <t>ericka</t>
  </si>
  <si>
    <t>ERICKA BARBOZA MATAMOROS</t>
  </si>
  <si>
    <t>manchia</t>
  </si>
  <si>
    <t>MARIANA ANCHIA DELGADO</t>
  </si>
  <si>
    <t>externo</t>
  </si>
  <si>
    <t>José Carlos Méndez</t>
  </si>
  <si>
    <t>mlutz</t>
  </si>
  <si>
    <t>MATIAS LUTZ</t>
  </si>
  <si>
    <t>rnaranjo</t>
  </si>
  <si>
    <t>ROSIBEL NARANJO CAMPOS</t>
  </si>
  <si>
    <t>mherrera</t>
  </si>
  <si>
    <t>MARIO GERARDO HERRERA ZAMORA</t>
  </si>
  <si>
    <t>jleon</t>
  </si>
  <si>
    <t>JESSICA LEON FALLAS</t>
  </si>
  <si>
    <t>aocampo</t>
  </si>
  <si>
    <t>ANDREINA MARIA OCAMPO RODRIGUEZ</t>
  </si>
  <si>
    <t>fsolis</t>
  </si>
  <si>
    <t>FLORENCIO ALBERTO SOLIS DURAN</t>
  </si>
  <si>
    <t>ljimenezs</t>
  </si>
  <si>
    <t>LUIS EDUARDO JIMENEZ SANCHEZ</t>
  </si>
  <si>
    <t>lalfaro</t>
  </si>
  <si>
    <t>EMANUEL ALFARO CARVAJAL</t>
  </si>
  <si>
    <t>lmartinez</t>
  </si>
  <si>
    <t>LUIS ANDRES MARTINEZ PORRAS</t>
  </si>
  <si>
    <t>msanchez</t>
  </si>
  <si>
    <t>MICHAEL SANCHEZ FALLAS</t>
  </si>
  <si>
    <t>hurena</t>
  </si>
  <si>
    <t>HERIBERTO UREÑA MADRIGAL</t>
  </si>
  <si>
    <t>lsoto</t>
  </si>
  <si>
    <t>LEE ALFARO SOTO</t>
  </si>
  <si>
    <t>efernandez</t>
  </si>
  <si>
    <t>EDUARDO FERNANDEZ MARTIN</t>
  </si>
  <si>
    <t>lfonseca</t>
  </si>
  <si>
    <t>LUCIA FONSECA TORRES</t>
  </si>
  <si>
    <t>eurena</t>
  </si>
  <si>
    <t>EMANUEL UREÑA ALVARADO</t>
  </si>
  <si>
    <t>ychacon</t>
  </si>
  <si>
    <t>YUSMELY CHACON DE LA HOZ</t>
  </si>
  <si>
    <t>tgonzalez</t>
  </si>
  <si>
    <t>TOMAS GONZALEZ CASTELLON</t>
  </si>
  <si>
    <t>kalvarado</t>
  </si>
  <si>
    <t>KENNETH ALVARADO PEREZ</t>
  </si>
  <si>
    <t>gangulo</t>
  </si>
  <si>
    <t>loconitrillo</t>
  </si>
  <si>
    <t>LIZETH OCONITRILLO SANCHEZ</t>
  </si>
  <si>
    <t>rsanchezc</t>
  </si>
  <si>
    <t>RANDALL SANCHEZ CERDAS</t>
  </si>
  <si>
    <t>mverrelli</t>
  </si>
  <si>
    <t>orivera</t>
  </si>
  <si>
    <t>OLMAN RIVERA BRENES</t>
  </si>
  <si>
    <t>slopez</t>
  </si>
  <si>
    <t>SUSAN LOPEZ AGUILAR</t>
  </si>
  <si>
    <t>cmirault</t>
  </si>
  <si>
    <t>CAROLINA MIRAULT MATAMOROS</t>
  </si>
  <si>
    <t>ecordero</t>
  </si>
  <si>
    <t>ELIECER CORDERO MARIN</t>
  </si>
  <si>
    <t>vmeneses</t>
  </si>
  <si>
    <t>VICTOR MENESES VASQUEZ</t>
  </si>
  <si>
    <t>cfonseca</t>
  </si>
  <si>
    <t>gbermudez</t>
  </si>
  <si>
    <t>mrosales</t>
  </si>
  <si>
    <t>MELISSA ROSALES CALDERON</t>
  </si>
  <si>
    <t>lcascante</t>
  </si>
  <si>
    <t>LUIS CASCANTE RIVERA</t>
  </si>
  <si>
    <t>rrojas</t>
  </si>
  <si>
    <t>REBECA ROJAS MATA</t>
  </si>
  <si>
    <t>lmorales</t>
  </si>
  <si>
    <t>LAURA MORALES UREÑA</t>
  </si>
  <si>
    <t>fvargas</t>
  </si>
  <si>
    <t>FABIAN VARGAS LOPEZ</t>
  </si>
  <si>
    <t>anjan</t>
  </si>
  <si>
    <t>ANJAN KUMAR</t>
  </si>
  <si>
    <t>Tzitzik</t>
  </si>
  <si>
    <t>Tzitzik Urapi Alvarado Patiño</t>
  </si>
  <si>
    <t>danim</t>
  </si>
  <si>
    <t>Daniel Montero Alvarado</t>
  </si>
  <si>
    <t>vgarcia</t>
  </si>
  <si>
    <t>Victor Garcia Paz</t>
  </si>
  <si>
    <t>dmartinez</t>
  </si>
  <si>
    <t>Dulce Maria Martinez  Herrera</t>
  </si>
  <si>
    <t>gpaz</t>
  </si>
  <si>
    <t>Lorenzo Guillermo Paz Jimenez</t>
  </si>
  <si>
    <t>ccarral</t>
  </si>
  <si>
    <t>Cristian Luis Carral Muñoz</t>
  </si>
  <si>
    <t>gcortes</t>
  </si>
  <si>
    <t>Griselda Cortes  Gayosso</t>
  </si>
  <si>
    <t>bjacome</t>
  </si>
  <si>
    <t>Beatriz Adriana Jacome  Hernandez</t>
  </si>
  <si>
    <t>jmartinez</t>
  </si>
  <si>
    <t>Jorge Martinez Cabrera</t>
  </si>
  <si>
    <t>szavaleta</t>
  </si>
  <si>
    <t>Sandra Ericka Zavaleta Huerta</t>
  </si>
  <si>
    <t>rgrimaldo</t>
  </si>
  <si>
    <t>Ricardo Grimaldo Hernández</t>
  </si>
  <si>
    <t>ksanchez</t>
  </si>
  <si>
    <t>Karla Sanchez Larios</t>
  </si>
  <si>
    <t>cornelas</t>
  </si>
  <si>
    <t>Carlos Javier Ornelas Espinosa</t>
  </si>
  <si>
    <t>mcorte</t>
  </si>
  <si>
    <t>Mario Corte Almeida</t>
  </si>
  <si>
    <t>zmanzanares</t>
  </si>
  <si>
    <t>Zeydi  Teresita Manzanares Salgado</t>
  </si>
  <si>
    <t>pcjimenez</t>
  </si>
  <si>
    <t>Paulo Cesar Jimenez Cruz</t>
  </si>
  <si>
    <t>ccarrizalez</t>
  </si>
  <si>
    <t>Claudio Guiovani Carrizales Navarro</t>
  </si>
  <si>
    <t>avazquez</t>
  </si>
  <si>
    <t>Alberto Vazquez Garcia</t>
  </si>
  <si>
    <t>dagonzalez</t>
  </si>
  <si>
    <t>Daniel Alejandro Gonzalez Garcia</t>
  </si>
  <si>
    <t>jrobledo</t>
  </si>
  <si>
    <t>Ruben de Jesús Robledo Castañeda</t>
  </si>
  <si>
    <t>glopez</t>
  </si>
  <si>
    <t>Juan Guillermo Lopez Espinosa</t>
  </si>
  <si>
    <t>prubi</t>
  </si>
  <si>
    <t>Patricia Rubi Artavia</t>
  </si>
  <si>
    <t>abolanos</t>
  </si>
  <si>
    <t>Luis Alejandro Bolaños Gomez</t>
  </si>
  <si>
    <t>rmanzano</t>
  </si>
  <si>
    <t>Rogelio Ignacio Manzano Fuentes</t>
  </si>
  <si>
    <t>mzavala</t>
  </si>
  <si>
    <t>Mauricio Zavala Valle</t>
  </si>
  <si>
    <t>emunoz</t>
  </si>
  <si>
    <t>Eunice Macela Muñoz Ventura</t>
  </si>
  <si>
    <t>jugalde</t>
  </si>
  <si>
    <t>José Ugalde Rodriguez</t>
  </si>
  <si>
    <t>ablanco</t>
  </si>
  <si>
    <t>Maria de los Angeles Blanco López</t>
  </si>
  <si>
    <t>jmarquez</t>
  </si>
  <si>
    <t>JESUS MARQUEZ CARRANZA</t>
  </si>
  <si>
    <t>hguerrero</t>
  </si>
  <si>
    <t>Hugo Guerrero Gómez Gil</t>
  </si>
  <si>
    <t>dgallardo</t>
  </si>
  <si>
    <t>David Gallardo  Rivas</t>
  </si>
  <si>
    <t>icastillo</t>
  </si>
  <si>
    <t>Ivan Castillo Gonzalez</t>
  </si>
  <si>
    <t>edimas</t>
  </si>
  <si>
    <t>Elio Dimas Cruz</t>
  </si>
  <si>
    <t>mgarcia</t>
  </si>
  <si>
    <t>Martin Garcia Mena</t>
  </si>
  <si>
    <t>amontiel</t>
  </si>
  <si>
    <t>Marco Antonio Dario Montiel Valencia</t>
  </si>
  <si>
    <t>jlbautista</t>
  </si>
  <si>
    <t>Jorge Luis Bautista Santiago</t>
  </si>
  <si>
    <t>rdanda</t>
  </si>
  <si>
    <t>Rolando Rodrigo De Anda Flores</t>
  </si>
  <si>
    <t>ayanez</t>
  </si>
  <si>
    <t>Esteban Ali Yañez Badillo</t>
  </si>
  <si>
    <t>gestrada</t>
  </si>
  <si>
    <t>Gabriel Itzamna Estrada Garibay</t>
  </si>
  <si>
    <t>jsolorza</t>
  </si>
  <si>
    <t>Juan Adrian Solorza Henestrosa</t>
  </si>
  <si>
    <t>aromo</t>
  </si>
  <si>
    <t>Ma. De los Angeles Romo Serrano</t>
  </si>
  <si>
    <t>ialvarez</t>
  </si>
  <si>
    <t>Itzcoalt Alvarez  Moreno</t>
  </si>
  <si>
    <t>greyes@aph.mx</t>
  </si>
  <si>
    <t>Gustavo Reyes Chávez</t>
  </si>
  <si>
    <t>jromero</t>
  </si>
  <si>
    <t>Jaime Romero Sanchez</t>
  </si>
  <si>
    <t>ajimenez</t>
  </si>
  <si>
    <t>ADRIAN JIMENEZ VALVERDE</t>
  </si>
  <si>
    <t>gsolisb</t>
  </si>
  <si>
    <t>GABRIELA SOLIS BUJAN</t>
  </si>
  <si>
    <t>igamboa</t>
  </si>
  <si>
    <t>IRENE GAMBOA PADILLA</t>
  </si>
  <si>
    <t>jrivera</t>
  </si>
  <si>
    <t>Josue Manuel Rivera Velazquez</t>
  </si>
  <si>
    <t>plara</t>
  </si>
  <si>
    <t>Pedro Andres Lara Gonzalez</t>
  </si>
  <si>
    <t>lgarcia</t>
  </si>
  <si>
    <t>Leonardo Pedro Garcia Santiago</t>
  </si>
  <si>
    <t>rbravo</t>
  </si>
  <si>
    <t>Ernesto Raul Bravo Gomez</t>
  </si>
  <si>
    <t>amontaño</t>
  </si>
  <si>
    <t>Alfredo Montaño Monsalvo</t>
  </si>
  <si>
    <t>freyes</t>
  </si>
  <si>
    <t>Fernando Reyes Gonzalez</t>
  </si>
  <si>
    <t>aaraujo</t>
  </si>
  <si>
    <t>Jose Abraham Araujo Torres</t>
  </si>
  <si>
    <t>rmondragon</t>
  </si>
  <si>
    <t>Roberto Mondragon Lopez</t>
  </si>
  <si>
    <t>smendoza</t>
  </si>
  <si>
    <t>Sandra Mendoza Leon</t>
  </si>
  <si>
    <t>mestevez</t>
  </si>
  <si>
    <t>Martin Santos Estevez Guzman</t>
  </si>
  <si>
    <t>rosalba</t>
  </si>
  <si>
    <t>Rosalba Vargas Diaz</t>
  </si>
  <si>
    <t>ooropeza</t>
  </si>
  <si>
    <t>Omar Alejandro Oropeza Castillo</t>
  </si>
  <si>
    <t>vcruz</t>
  </si>
  <si>
    <t>Victor Cruz Valencia</t>
  </si>
  <si>
    <t>jpmartinez</t>
  </si>
  <si>
    <t>JOSE PABLO MARTINEZ ZUMBADO</t>
  </si>
  <si>
    <t>irodriguez</t>
  </si>
  <si>
    <t>Israel Axayacatcin Rodriguez Ruiz</t>
  </si>
  <si>
    <t>mgonzalez@aph.mx</t>
  </si>
  <si>
    <t>Miguel Eduardo Gonzalez Sarabia</t>
  </si>
  <si>
    <t>bmorales</t>
  </si>
  <si>
    <t>Lucia Beatriz Morales  Mejia</t>
  </si>
  <si>
    <t>asanchez</t>
  </si>
  <si>
    <t>Alan Gerardo Sanchez Lopez</t>
  </si>
  <si>
    <t>romanr</t>
  </si>
  <si>
    <t>Roman Rodriguez  Silva</t>
  </si>
  <si>
    <t>rrivera</t>
  </si>
  <si>
    <t>Rodrigo Ivan Rivera Meneses</t>
  </si>
  <si>
    <t>jhuerta</t>
  </si>
  <si>
    <t>Jesus Huerta Rojas</t>
  </si>
  <si>
    <t>izacarias</t>
  </si>
  <si>
    <t>Ivan Zacarías Mora</t>
  </si>
  <si>
    <t>rcastro</t>
  </si>
  <si>
    <t>ROBERTO CASTRO VALENZUELA</t>
  </si>
  <si>
    <t>rreyes</t>
  </si>
  <si>
    <t>Ruben Reyes Olivera</t>
  </si>
  <si>
    <t>cvazquez</t>
  </si>
  <si>
    <t>Carlos David Vazquez Juarez</t>
  </si>
  <si>
    <t>azubiaga</t>
  </si>
  <si>
    <t>Jose Arturo Zubiaga  Garza</t>
  </si>
  <si>
    <t>mzamora</t>
  </si>
  <si>
    <t>Miguel Ángel Zamora Abrego</t>
  </si>
  <si>
    <t>ssantamaria</t>
  </si>
  <si>
    <t>Sergio Alberto Santamaria Briones</t>
  </si>
  <si>
    <t>mdiaz</t>
  </si>
  <si>
    <t>Marcos Díaz Torrejon</t>
  </si>
  <si>
    <t>jrpalma</t>
  </si>
  <si>
    <t>Jose Ramón Palma Torres</t>
  </si>
  <si>
    <t>kisaac</t>
  </si>
  <si>
    <t>Karen Isaac García</t>
  </si>
  <si>
    <t>llima</t>
  </si>
  <si>
    <t>Liliana Lima Morales</t>
  </si>
  <si>
    <t>krodriguez</t>
  </si>
  <si>
    <t>KEYDY RODRIGUEZ MATA</t>
  </si>
  <si>
    <t>lhernandez</t>
  </si>
  <si>
    <t>Luis Alberto Hernández Córdova</t>
  </si>
  <si>
    <t>falejandro</t>
  </si>
  <si>
    <t>Fernando Alejandro Acosta</t>
  </si>
  <si>
    <t>aaguirre</t>
  </si>
  <si>
    <t>Angélica Aguirre Morales</t>
  </si>
  <si>
    <t>jquesada</t>
  </si>
  <si>
    <t>JOSE QUESADA SOLIS</t>
  </si>
  <si>
    <t>falcaraz</t>
  </si>
  <si>
    <t>Fernando Alcaraz Cristóbal</t>
  </si>
  <si>
    <t>rnieto</t>
  </si>
  <si>
    <t>Roldan Nieto Gonzalez</t>
  </si>
  <si>
    <t>ecarrillo</t>
  </si>
  <si>
    <t>ELIAS CARRILLO ROSALES</t>
  </si>
  <si>
    <t>elopez</t>
  </si>
  <si>
    <t>Emmanuel Lopez Guerrero</t>
  </si>
  <si>
    <t>rojimenez</t>
  </si>
  <si>
    <t>ROGER JIMENEZ MENA</t>
  </si>
  <si>
    <t>gmartinez</t>
  </si>
  <si>
    <t>Gonzalo Martinez Campomanes</t>
  </si>
  <si>
    <t>dgonzalez</t>
  </si>
  <si>
    <t>ESLI GONZALEZ HERNANDEZ</t>
  </si>
  <si>
    <t>nerodriguez</t>
  </si>
  <si>
    <t>NELSON RODRIGUEZ BARBOZA</t>
  </si>
  <si>
    <t>sgomez</t>
  </si>
  <si>
    <t>Samuel Gomez Ovando</t>
  </si>
  <si>
    <t>menriquez</t>
  </si>
  <si>
    <t xml:space="preserve"> Mario Alberto Enríquez Durán</t>
  </si>
  <si>
    <t>ijimenez</t>
  </si>
  <si>
    <t>Isaac Segundo Jimenez Perez</t>
  </si>
  <si>
    <t>jreyesa</t>
  </si>
  <si>
    <t>Julio Cesar Reyes Amador</t>
  </si>
  <si>
    <t>nortiz</t>
  </si>
  <si>
    <t>Norma Angelica Ortiz Carrera</t>
  </si>
  <si>
    <t>jperez</t>
  </si>
  <si>
    <t>Johnny Perez  Acosta</t>
  </si>
  <si>
    <t>fmora</t>
  </si>
  <si>
    <t>Fabian Mora  Nuñez</t>
  </si>
  <si>
    <t>lsalazar</t>
  </si>
  <si>
    <t>LEONARDO SALAZAR CANTILLO</t>
  </si>
  <si>
    <t>mfcampos</t>
  </si>
  <si>
    <t>MARIA FERNANDA CAMPOS SUAREZ</t>
  </si>
  <si>
    <t>jbrenes</t>
  </si>
  <si>
    <t>JAVIER BRENES REDONDO</t>
  </si>
  <si>
    <t>clopez</t>
  </si>
  <si>
    <t>Carla Lopez Taboada</t>
  </si>
  <si>
    <t>amartinez</t>
  </si>
  <si>
    <t>Arturo Dominguez Martinez</t>
  </si>
  <si>
    <t>gjuarez</t>
  </si>
  <si>
    <t>German Juarez Zarco</t>
  </si>
  <si>
    <t>mmartin</t>
  </si>
  <si>
    <t>Miguel Angel Martín Martín</t>
  </si>
  <si>
    <t>jjcontreras</t>
  </si>
  <si>
    <t>JUAN JOSE CONTRERAS FONSECA</t>
  </si>
  <si>
    <t>wachio</t>
  </si>
  <si>
    <t>WILLIAM ACHIO PERAZA</t>
  </si>
  <si>
    <t>davelino</t>
  </si>
  <si>
    <t>David Antonio Avelino</t>
  </si>
  <si>
    <t>mgparra</t>
  </si>
  <si>
    <t>MARCO PARRA VILLALOBOS</t>
  </si>
  <si>
    <t>eagustin</t>
  </si>
  <si>
    <t>Esteban Agustin Soto</t>
  </si>
  <si>
    <t>esantos</t>
  </si>
  <si>
    <t>Enrique De los Santos Rosas</t>
  </si>
  <si>
    <t>jjimenez</t>
  </si>
  <si>
    <t>JOSE ANDRES JIMENEZ PORRAS</t>
  </si>
  <si>
    <t>dbarrantes</t>
  </si>
  <si>
    <t>jdvargas</t>
  </si>
  <si>
    <t>JOSE DANIEL VARGAS PICADO</t>
  </si>
  <si>
    <t>cmjimenez</t>
  </si>
  <si>
    <t>CLAUDIA JIMENEZ ARAYA</t>
  </si>
  <si>
    <t>vcordero</t>
  </si>
  <si>
    <t>VICTOR CORDERO ROJAS</t>
  </si>
  <si>
    <t>jtorres</t>
  </si>
  <si>
    <t>JESUS TORRES QUESADA</t>
  </si>
  <si>
    <t>mfuentes</t>
  </si>
  <si>
    <t>Marco Octavio Fuentes Martinez España</t>
  </si>
  <si>
    <t>eloyola</t>
  </si>
  <si>
    <t>Elias Loyola Alcantara</t>
  </si>
  <si>
    <t>ogomez</t>
  </si>
  <si>
    <t>Omar Gomez Garcia</t>
  </si>
  <si>
    <t>jrosario</t>
  </si>
  <si>
    <t>JAIRIS ROSARIO NUÑEZ</t>
  </si>
  <si>
    <t>cpereira</t>
  </si>
  <si>
    <t>CARLOS PEREIRA BRENES</t>
  </si>
  <si>
    <t>csegura</t>
  </si>
  <si>
    <t>CRISTHIAN SEGURA UREÑA</t>
  </si>
  <si>
    <t>jvalerio</t>
  </si>
  <si>
    <t>JULIANA VALERIO VILLALOBOS</t>
  </si>
  <si>
    <t>agamboa</t>
  </si>
  <si>
    <t>ALEJANDRA GAMBOA MORALES</t>
  </si>
  <si>
    <t>mpicado</t>
  </si>
  <si>
    <t>MAIKOL PICADO AGUILAR</t>
  </si>
  <si>
    <t>rvargasp</t>
  </si>
  <si>
    <t>ROTMAN VARGAS PARRA</t>
  </si>
  <si>
    <t>jmendez</t>
  </si>
  <si>
    <t>JOSE MENDEZ AGUILAR</t>
  </si>
  <si>
    <t>jespinosa</t>
  </si>
  <si>
    <t>Javier Espinosa España</t>
  </si>
  <si>
    <t>jramirezr</t>
  </si>
  <si>
    <t>Juan Adrian Ramirez Rubio</t>
  </si>
  <si>
    <t>spersson</t>
  </si>
  <si>
    <t>STEFAN PERSSON</t>
  </si>
  <si>
    <t>mramos</t>
  </si>
  <si>
    <t>Mayra Karina Ramos Rosales</t>
  </si>
  <si>
    <t>rchavero</t>
  </si>
  <si>
    <t>Rodolfo Chavero Hinojosa</t>
  </si>
  <si>
    <t>agutierrez</t>
  </si>
  <si>
    <t>Alma Delia Gutierrez Fuentes</t>
  </si>
  <si>
    <t>mguerrero</t>
  </si>
  <si>
    <t>Mauricio Ivan Guerrero Hernandez</t>
  </si>
  <si>
    <t>jlopez</t>
  </si>
  <si>
    <t>Jose Manuel Lopez Romero</t>
  </si>
  <si>
    <t>djuarez</t>
  </si>
  <si>
    <t>Diego Francisco Juarez Ruiz</t>
  </si>
  <si>
    <t>dvelazquez</t>
  </si>
  <si>
    <t>Daniel Velazquez Sallago</t>
  </si>
  <si>
    <t>relizondo</t>
  </si>
  <si>
    <t>RONNY ELIZONDO BLANCO</t>
  </si>
  <si>
    <t>cmendez</t>
  </si>
  <si>
    <t>CARLOS MENDEZ CUBILLO</t>
  </si>
  <si>
    <t>rlopez</t>
  </si>
  <si>
    <t>Ricardo Adrian Lopez Cruz</t>
  </si>
  <si>
    <t>acrispin</t>
  </si>
  <si>
    <t>Alejandro Crispin De Jesus</t>
  </si>
  <si>
    <t>oparrales</t>
  </si>
  <si>
    <t>Oscar Orlando Parrales Villanueva</t>
  </si>
  <si>
    <t>alanda</t>
  </si>
  <si>
    <t>Alejandra Landa Hernandez</t>
  </si>
  <si>
    <t>eflores</t>
  </si>
  <si>
    <t>Eric Israel Flores Goribar</t>
  </si>
  <si>
    <t>acervantes</t>
  </si>
  <si>
    <t>Alejandro Blanco Cervantes</t>
  </si>
  <si>
    <t>kmunoz</t>
  </si>
  <si>
    <t>Karla Erandi Munoz Cabanas</t>
  </si>
  <si>
    <t>umontiel</t>
  </si>
  <si>
    <t>Uriel Montiel Hernandez</t>
  </si>
  <si>
    <t>hperez</t>
  </si>
  <si>
    <t>Hugo Pérez</t>
  </si>
  <si>
    <t>araju</t>
  </si>
  <si>
    <t>ARUNADEVI RAJU</t>
  </si>
  <si>
    <t>mbalakrishnan</t>
  </si>
  <si>
    <t>MAHESH BALAKRISHNAN</t>
  </si>
  <si>
    <t>ljaimes</t>
  </si>
  <si>
    <t>Luis Manuel Jaimes Lorenzo</t>
  </si>
  <si>
    <t>jescudero</t>
  </si>
  <si>
    <t>Juan Alberto Escudero Flores</t>
  </si>
  <si>
    <t>jcelio</t>
  </si>
  <si>
    <t>Julio Cesar Celio Sanchez</t>
  </si>
  <si>
    <t>karchundia</t>
  </si>
  <si>
    <t>Karen Alin Archundia Ramirez</t>
  </si>
  <si>
    <t>iperez</t>
  </si>
  <si>
    <t>Ignacio Perez Nolasco</t>
  </si>
  <si>
    <t>mquiroga</t>
  </si>
  <si>
    <t>MARIANO QUIROGA DE CANDIA</t>
  </si>
  <si>
    <t>iserrano</t>
  </si>
  <si>
    <t>IVAN SERRANO SELVA</t>
  </si>
  <si>
    <t>mfernandez</t>
  </si>
  <si>
    <t>MARIA FERNANDA FERNANDEZ OCAMPO</t>
  </si>
  <si>
    <t>wmadrigal</t>
  </si>
  <si>
    <t>jvillalobos</t>
  </si>
  <si>
    <t>JOSE PABLO VILLALOBOS LARA</t>
  </si>
  <si>
    <t>garguello</t>
  </si>
  <si>
    <t>GUSTAVO ARGUELLO ARIAS</t>
  </si>
  <si>
    <t>jbarrantes</t>
  </si>
  <si>
    <t>JOHNNY BARRANTES JIMENEZ</t>
  </si>
  <si>
    <t>sgonzalez</t>
  </si>
  <si>
    <t>STEVEN GONZALEZ FERNANDEZ</t>
  </si>
  <si>
    <t>rparra</t>
  </si>
  <si>
    <t>ROBERTH PARRA ALPIZAR</t>
  </si>
  <si>
    <t>smora</t>
  </si>
  <si>
    <t>SARAY MORA HERNANDEZ</t>
  </si>
  <si>
    <t>gmoreira</t>
  </si>
  <si>
    <t>GREIVIN MOREIRA VILLALOBOS</t>
  </si>
  <si>
    <t>dchaves</t>
  </si>
  <si>
    <t>DANIELA CHAVES GOMEZ</t>
  </si>
  <si>
    <t>rchamorro</t>
  </si>
  <si>
    <t>RAFAEL CHAMORRO CORRALES</t>
  </si>
  <si>
    <t>jhernandez</t>
  </si>
  <si>
    <t>JOSE HERNANDEZ ZUÑIGA</t>
  </si>
  <si>
    <t>jsuarez</t>
  </si>
  <si>
    <t>JOSE DANIEL SUAREZ ARCE</t>
  </si>
  <si>
    <t>yojeda</t>
  </si>
  <si>
    <t>Nancy Yanely Ojeda Garduño</t>
  </si>
  <si>
    <t>jgarduño</t>
  </si>
  <si>
    <t>Jorge Cruz Garduño</t>
  </si>
  <si>
    <t>lpatiño</t>
  </si>
  <si>
    <t>Luis Patiño Duran</t>
  </si>
  <si>
    <t>pcorrales</t>
  </si>
  <si>
    <t>PAULA CORRALES MARTINEZ</t>
  </si>
  <si>
    <t>kcespedes</t>
  </si>
  <si>
    <t>KRISSIA CESPEDES ARGUEDAS</t>
  </si>
  <si>
    <t>msandoval</t>
  </si>
  <si>
    <t>MARCOS SANDOVAL DURAN</t>
  </si>
  <si>
    <t>nfernandez</t>
  </si>
  <si>
    <t>NELSON FERNANDEZ LUNA</t>
  </si>
  <si>
    <t>aarias</t>
  </si>
  <si>
    <t>ANDREY ARIAS VALVERDE</t>
  </si>
  <si>
    <t>mrodriguezz</t>
  </si>
  <si>
    <t>MICHAEL RODRIGUEZ ZUÑIGA</t>
  </si>
  <si>
    <t>glarios</t>
  </si>
  <si>
    <t>GREGORY LARIOS CORRALES</t>
  </si>
  <si>
    <t>saranya</t>
  </si>
  <si>
    <t>SARANYA PK</t>
  </si>
  <si>
    <t>nsankara</t>
  </si>
  <si>
    <t>NAVEEN SANKARA</t>
  </si>
  <si>
    <t>asalas</t>
  </si>
  <si>
    <t>ALEJANDRA SALAS AVILES</t>
  </si>
  <si>
    <t>ecaliva</t>
  </si>
  <si>
    <t>ERICK CALIVA AGUILAR</t>
  </si>
  <si>
    <t>nyenzen</t>
  </si>
  <si>
    <t>Nancy Lesly Yenzen Sanchez</t>
  </si>
  <si>
    <t>bjobando</t>
  </si>
  <si>
    <t>BRYAN OBANDO CASTILLO</t>
  </si>
  <si>
    <t>vbrenes</t>
  </si>
  <si>
    <t>VERINA BRENES CORRALES</t>
  </si>
  <si>
    <t>jalfarop</t>
  </si>
  <si>
    <t>JENNIFER ALFARO PORTUGUEZ</t>
  </si>
  <si>
    <t>cchaparro</t>
  </si>
  <si>
    <t>Cesar Alberto Chaparro Regalado</t>
  </si>
  <si>
    <t>jcastro</t>
  </si>
  <si>
    <t>JAVIER CASTRO JIMENEZ</t>
  </si>
  <si>
    <t>arendon</t>
  </si>
  <si>
    <t>Arturo Rendon Cruz</t>
  </si>
  <si>
    <t>jvelazquez</t>
  </si>
  <si>
    <t>JESUS AMADOR VELAZQUEZ PICAZO</t>
  </si>
  <si>
    <t>mgonzalez</t>
  </si>
  <si>
    <t>Misael Adán González Salinas</t>
  </si>
  <si>
    <t>aloria</t>
  </si>
  <si>
    <t>ANGELICA LORIA CHAVARRIA</t>
  </si>
  <si>
    <t>dcorella</t>
  </si>
  <si>
    <t>DANNY CORELLA MARTINEZ</t>
  </si>
  <si>
    <t>agonzalez</t>
  </si>
  <si>
    <t>ALFREDO GONZALEZ NUÑEZ</t>
  </si>
  <si>
    <t>dpoveda</t>
  </si>
  <si>
    <t>Diana Marcela Poveda Cortes</t>
  </si>
  <si>
    <t>dhernandez</t>
  </si>
  <si>
    <t>Luis David Hernández Zamora</t>
  </si>
  <si>
    <t>nperez</t>
  </si>
  <si>
    <t>Nora Adriana Perez Caballero</t>
  </si>
  <si>
    <t>erojas</t>
  </si>
  <si>
    <t>Erika Rojas Gonzalez</t>
  </si>
  <si>
    <t>dmatamoros</t>
  </si>
  <si>
    <t>DAYANA MATAMOROS CASTILLO</t>
  </si>
  <si>
    <t>dvillalobos</t>
  </si>
  <si>
    <t>DIEGO VILLALOBOS PAIZ</t>
  </si>
  <si>
    <t>aurgel</t>
  </si>
  <si>
    <t>Andres Urgel Broca</t>
  </si>
  <si>
    <t>bramos</t>
  </si>
  <si>
    <t>Belem Zullyana Ramos Camacho</t>
  </si>
  <si>
    <t>fgarcia</t>
  </si>
  <si>
    <t>FRANCISCO GARCIA MIRANDA</t>
  </si>
  <si>
    <t>dnunez</t>
  </si>
  <si>
    <t>DAVID NUÑEZ ARAYA</t>
  </si>
  <si>
    <t>rhuerta</t>
  </si>
  <si>
    <t>Ricardo Daniel Huerta Garrido</t>
  </si>
  <si>
    <t>lpadilla</t>
  </si>
  <si>
    <t>Luz María Padilla Galicia</t>
  </si>
  <si>
    <t>lvillegas</t>
  </si>
  <si>
    <t>Leizli Villegas Cruz</t>
  </si>
  <si>
    <t>ezuniga</t>
  </si>
  <si>
    <t>ERICK ZUÑIGA CAMBRONERO</t>
  </si>
  <si>
    <t>afabres</t>
  </si>
  <si>
    <t>ANDREA FABRES ROJAS</t>
  </si>
  <si>
    <t>lleandro</t>
  </si>
  <si>
    <t>LUIS LEANDRO JIMENEZ</t>
  </si>
  <si>
    <t>areyes</t>
  </si>
  <si>
    <t>ALEJANDRO REYES GRANADOS</t>
  </si>
  <si>
    <t>dquiros</t>
  </si>
  <si>
    <t>DAGOBERTO QUIROS VARGAS</t>
  </si>
  <si>
    <t>acordoba</t>
  </si>
  <si>
    <t>ALEJANDRO CORDOBA SOTO</t>
  </si>
  <si>
    <t>raguilar</t>
  </si>
  <si>
    <t>RICARDO AGUILAR VARGAS</t>
  </si>
  <si>
    <t>kflores</t>
  </si>
  <si>
    <t>KEVIN FLORES GONZALEZ</t>
  </si>
  <si>
    <t>ecastro</t>
  </si>
  <si>
    <t>ESTEBAN CASTRO CORDERO</t>
  </si>
  <si>
    <t>aulate</t>
  </si>
  <si>
    <t>ALEJANDRO ULATE FALLAS</t>
  </si>
  <si>
    <t>desquivel</t>
  </si>
  <si>
    <t>DIANA ESQUIVEL GONZALEZ</t>
  </si>
  <si>
    <t>gacuña</t>
  </si>
  <si>
    <t>Daniel Gustavo Acuña Aviles</t>
  </si>
  <si>
    <t>dcastillo</t>
  </si>
  <si>
    <t>DOUGLAS CASTILLO CHAVARRIA</t>
  </si>
  <si>
    <t>mruiz</t>
  </si>
  <si>
    <t>Mario Alberto Ruiz Rojas</t>
  </si>
  <si>
    <t>mmiranda</t>
  </si>
  <si>
    <t>MARCO VINICIO MIRANDA PATIÑO</t>
  </si>
  <si>
    <t>bjimenez</t>
  </si>
  <si>
    <t>BRYAN JIMENEZ RUIZ</t>
  </si>
  <si>
    <t>murena</t>
  </si>
  <si>
    <t>MELINA UREÑA SOTO</t>
  </si>
  <si>
    <t>bartavia</t>
  </si>
  <si>
    <t>BRYAN ARTAVIA SOTELA</t>
  </si>
  <si>
    <t>ssolano</t>
  </si>
  <si>
    <t>SAIETH SOLANO VENEGAS</t>
  </si>
  <si>
    <t>jghernandez</t>
  </si>
  <si>
    <t>JOSÉ GABRIEL HERNÁNDEZ GONZÁLEZ</t>
  </si>
  <si>
    <t>sarguedas</t>
  </si>
  <si>
    <t>SILVIA ARGUEDAS VALENCIANO</t>
  </si>
  <si>
    <t>jescamilla</t>
  </si>
  <si>
    <t>Juan Carlos Escamilla Mera</t>
  </si>
  <si>
    <t>rboom</t>
  </si>
  <si>
    <t>RICARDO BOOM MONTERO</t>
  </si>
  <si>
    <t>marce</t>
  </si>
  <si>
    <t>MARIELA ARCE GARCIA</t>
  </si>
  <si>
    <t>smascada</t>
  </si>
  <si>
    <t>Sandra Julieht Mascada Mendoza</t>
  </si>
  <si>
    <t>htrujillo</t>
  </si>
  <si>
    <t>Héctor Hugo Trujillo Sanchéz</t>
  </si>
  <si>
    <t>bsalas</t>
  </si>
  <si>
    <t>BRAYAN SALAS CONCEPCION</t>
  </si>
  <si>
    <t>hchaves</t>
  </si>
  <si>
    <t>HEYLIN CHAVES HERNANDEZ</t>
  </si>
  <si>
    <t>pmurillo</t>
  </si>
  <si>
    <t>amatamoros</t>
  </si>
  <si>
    <t>ADRIANA MATAMOROS AGUILAR</t>
  </si>
  <si>
    <t>dmora</t>
  </si>
  <si>
    <t>DANIEL MORA MADRIGAL</t>
  </si>
  <si>
    <t>avega</t>
  </si>
  <si>
    <t>ALEXANDER VEGA SANOU</t>
  </si>
  <si>
    <t>fgiraldo</t>
  </si>
  <si>
    <t>Fernanda Giraldo Tamayo</t>
  </si>
  <si>
    <t>bmartinez</t>
  </si>
  <si>
    <t>Brenda Martinez Martinez</t>
  </si>
  <si>
    <t>nallelyrodah</t>
  </si>
  <si>
    <t>Nallely Rodriguez Ochoa</t>
  </si>
  <si>
    <t>falcarazing</t>
  </si>
  <si>
    <t>Fernando Alcaraz</t>
  </si>
  <si>
    <t>efranco</t>
  </si>
  <si>
    <t>ESTEBAN FRANCO BERMUDEZ</t>
  </si>
  <si>
    <t>murenab</t>
  </si>
  <si>
    <t>MARICELA UREÑA BARRANTES</t>
  </si>
  <si>
    <t>rarias</t>
  </si>
  <si>
    <t>RICHARD ARIAS ROJAS</t>
  </si>
  <si>
    <t>mmongeg</t>
  </si>
  <si>
    <t>MARICEL MONGE GUZMAN</t>
  </si>
  <si>
    <t>mgarciaq</t>
  </si>
  <si>
    <t>MARCOS GARCIA QUIROS</t>
  </si>
  <si>
    <t>rgarcia</t>
  </si>
  <si>
    <t>ROSAURA GARCIA BOLAÑOS</t>
  </si>
  <si>
    <t>egamboa</t>
  </si>
  <si>
    <t>ELIZABETH GAMBOA BERMUDEZ</t>
  </si>
  <si>
    <t>gzuniga</t>
  </si>
  <si>
    <t>GEOVANNY ZUÑIGA SALAS</t>
  </si>
  <si>
    <t>ccastro</t>
  </si>
  <si>
    <t>CAROLINA CASTRO SANDI</t>
  </si>
  <si>
    <t>clrodriguez</t>
  </si>
  <si>
    <t>CARLOS LUIS RODRIGUEZ ROMERO</t>
  </si>
  <si>
    <t>jbernal</t>
  </si>
  <si>
    <t>Jonathan Ivan Bernal Elizondo</t>
  </si>
  <si>
    <t>wabarca</t>
  </si>
  <si>
    <t>WILLIAM ADRIAN ABARCA LOPEZ</t>
  </si>
  <si>
    <t>kchaves</t>
  </si>
  <si>
    <t>KEREN CAROLINA CHAVES MORALES</t>
  </si>
  <si>
    <t>kespinoza</t>
  </si>
  <si>
    <t>oarrieta</t>
  </si>
  <si>
    <t>OSCAR MARIO ARRIETA PINEDA</t>
  </si>
  <si>
    <t>ealtamirano</t>
  </si>
  <si>
    <t>Eduardo Altamirano García</t>
  </si>
  <si>
    <t>falguera</t>
  </si>
  <si>
    <t>FRANCINIE ALGUERA CORDERO</t>
  </si>
  <si>
    <t>svargas</t>
  </si>
  <si>
    <t>lcalvo</t>
  </si>
  <si>
    <t>LISETH CALVO GONZALEZ</t>
  </si>
  <si>
    <t>jessica</t>
  </si>
  <si>
    <t>JESSICA VILLALTA FRINDELL</t>
  </si>
  <si>
    <t>cpiedra</t>
  </si>
  <si>
    <t>CRISIA PIEDRA CHAVES</t>
  </si>
  <si>
    <t>jnaranjo</t>
  </si>
  <si>
    <t>JOSE MARIO NARANJO LEIVA</t>
  </si>
  <si>
    <t>emarmolejo</t>
  </si>
  <si>
    <t>Enrique Marmolejo García</t>
  </si>
  <si>
    <t>mleon</t>
  </si>
  <si>
    <t>MARIA FERNANDA LEON GUTIERREZ</t>
  </si>
  <si>
    <t>macuna</t>
  </si>
  <si>
    <t>MARIO ACUÑA CERDAS</t>
  </si>
  <si>
    <t>Irodriguez</t>
  </si>
  <si>
    <t>Israel Ivan Rodriguez Espinoza</t>
  </si>
  <si>
    <t>alefuentes</t>
  </si>
  <si>
    <t>ALEJANDRO FUENTES PACHECO</t>
  </si>
  <si>
    <t>bhernandez</t>
  </si>
  <si>
    <t>Brayan Uriel Hernández Gonzalez</t>
  </si>
  <si>
    <t>garaya</t>
  </si>
  <si>
    <t>GLENDA ARAYA ROJAS</t>
  </si>
  <si>
    <t>dcordero</t>
  </si>
  <si>
    <t>Deysi Karina Cordero Garcia</t>
  </si>
  <si>
    <t>adelatorre</t>
  </si>
  <si>
    <t>Alan Felipe Martinez De la Torre</t>
  </si>
  <si>
    <t>jmontero</t>
  </si>
  <si>
    <t>JOSE MONTERO ACUÑA</t>
  </si>
  <si>
    <t>jbarajas</t>
  </si>
  <si>
    <t>Juan José Barajas Ibarra</t>
  </si>
  <si>
    <t>agonzalezc</t>
  </si>
  <si>
    <t>ANDRES GONZALEZ CHACON</t>
  </si>
  <si>
    <t>ivega</t>
  </si>
  <si>
    <t>IGNACIO VEGA CAMPOS</t>
  </si>
  <si>
    <t>emorales</t>
  </si>
  <si>
    <t>ESTEBAN MORALES CHAVARRIA</t>
  </si>
  <si>
    <t>dbalma</t>
  </si>
  <si>
    <t>DANIEL BALMA TANCO</t>
  </si>
  <si>
    <t>mpenuela</t>
  </si>
  <si>
    <t>MAGDA CECILIA PEÑUELA ANZOLA</t>
  </si>
  <si>
    <t>mjcastro</t>
  </si>
  <si>
    <t>MARIA JOSE CASTRO GONZALEZ</t>
  </si>
  <si>
    <t>vvargas</t>
  </si>
  <si>
    <t>VERONICA VARGAS MORA</t>
  </si>
  <si>
    <t>mbrenes</t>
  </si>
  <si>
    <t>MELVIN BRENES GOMEZ</t>
  </si>
  <si>
    <t>rbarker</t>
  </si>
  <si>
    <t>REGGIE BAKER GUILLEN</t>
  </si>
  <si>
    <t>mchinchilla</t>
  </si>
  <si>
    <t>MARIO CHINCHILLA TORUÑO</t>
  </si>
  <si>
    <t>vchaves</t>
  </si>
  <si>
    <t>bruiz</t>
  </si>
  <si>
    <t>BRYAN RUIZ BRAN</t>
  </si>
  <si>
    <t>smartinez</t>
  </si>
  <si>
    <t>STEVEN MAURICIO MARTINEZ LOPEZ</t>
  </si>
  <si>
    <t>fcalvo</t>
  </si>
  <si>
    <t>FRANCISCO CALVO DIAZ</t>
  </si>
  <si>
    <t>ecubillo</t>
  </si>
  <si>
    <t>bblanco</t>
  </si>
  <si>
    <t>BELEN BLANCO ARIAS</t>
  </si>
  <si>
    <t>nanda</t>
  </si>
  <si>
    <t>NANDA KUMAR PONNUSWAMY</t>
  </si>
  <si>
    <t>earias</t>
  </si>
  <si>
    <t>ESTEBAN ARIAS CASTRO</t>
  </si>
  <si>
    <t>ffernandez</t>
  </si>
  <si>
    <t>FRANCISCO FERNANDEZ LOPEZ</t>
  </si>
  <si>
    <t>chernandez</t>
  </si>
  <si>
    <t>Claudio Hernandez De la Luz</t>
  </si>
  <si>
    <t>esalas</t>
  </si>
  <si>
    <t>Edgar Emmanuel Salas Valadez</t>
  </si>
  <si>
    <t>edsalas</t>
  </si>
  <si>
    <t>abrosas</t>
  </si>
  <si>
    <t>Abraham Zabdiel Rosas Baeza</t>
  </si>
  <si>
    <t>jcespedes</t>
  </si>
  <si>
    <t>JUAN CESPEDES BRENES</t>
  </si>
  <si>
    <t>erodriguez</t>
  </si>
  <si>
    <t>EMMANUEL RODRIGUEZ GOMEZ</t>
  </si>
  <si>
    <t>jmorris</t>
  </si>
  <si>
    <t>JUAN IGNACIO MORRIS LYNOTT</t>
  </si>
  <si>
    <t>rsolis</t>
  </si>
  <si>
    <t>RAFAEL SOLIS MALTES</t>
  </si>
  <si>
    <t>bcastro</t>
  </si>
  <si>
    <t>BRAYAN CASTRO SOTO</t>
  </si>
  <si>
    <t>ngarcia</t>
  </si>
  <si>
    <t>NEIL JOSE GARCIA VARGAS</t>
  </si>
  <si>
    <t>hramirez</t>
  </si>
  <si>
    <t>Héctor Alfonso Ramírez Jaimes</t>
  </si>
  <si>
    <t>dsanchez</t>
  </si>
  <si>
    <t>Diego Sánchez Gomez</t>
  </si>
  <si>
    <t>cquintero</t>
  </si>
  <si>
    <t>Carlos Antonio Quintero Hernández</t>
  </si>
  <si>
    <t>asolisv</t>
  </si>
  <si>
    <t>ANDREA SOLIS VASCONCELOS</t>
  </si>
  <si>
    <t>jsegura</t>
  </si>
  <si>
    <t>JORGE SEGURA HERNANDEZ</t>
  </si>
  <si>
    <t>dbarrantesp</t>
  </si>
  <si>
    <t>DANIEL BARRANTES PICADO</t>
  </si>
  <si>
    <t>rvalencia</t>
  </si>
  <si>
    <t>Rafael Valencia Castellanos</t>
  </si>
  <si>
    <t>rrecinto</t>
  </si>
  <si>
    <t>RICHARD RECINTO</t>
  </si>
  <si>
    <t>asahay</t>
  </si>
  <si>
    <t>AMIT SAHAY</t>
  </si>
  <si>
    <t>rjvalencia</t>
  </si>
  <si>
    <t>pcortes</t>
  </si>
  <si>
    <t>Pedro Cortes Carmona</t>
  </si>
  <si>
    <t>jrodas</t>
  </si>
  <si>
    <t>Jorge Rodas Grapain</t>
  </si>
  <si>
    <t>jgalindo</t>
  </si>
  <si>
    <t>José Salvador Galindo Lazos</t>
  </si>
  <si>
    <t>rsegura</t>
  </si>
  <si>
    <t>Rosa Estela Segura Mendez</t>
  </si>
  <si>
    <t>agarza</t>
  </si>
  <si>
    <t>Angel Gustavo Garza Aguilar</t>
  </si>
  <si>
    <t>bflores</t>
  </si>
  <si>
    <t>Bogar Flores Reyes</t>
  </si>
  <si>
    <t>ezetina</t>
  </si>
  <si>
    <t>Elizabeth Zetina Madrid</t>
  </si>
  <si>
    <t>mguerrerot</t>
  </si>
  <si>
    <t>MELANY GUERRERO TORRES</t>
  </si>
  <si>
    <t>ebogantes</t>
  </si>
  <si>
    <t>ESTEBAN BOGANTES HIDALGO</t>
  </si>
  <si>
    <t>rmurillo</t>
  </si>
  <si>
    <t>ROYERS MURILLO CASTRO</t>
  </si>
  <si>
    <t>jalcazar</t>
  </si>
  <si>
    <t>Joaquín Alcázar Martinez</t>
  </si>
  <si>
    <t>iarias</t>
  </si>
  <si>
    <t>ISRAEL ARIAS ARIAS</t>
  </si>
  <si>
    <t>htoruno</t>
  </si>
  <si>
    <t>HELBERTH TORUÑO CASARES</t>
  </si>
  <si>
    <t>tquiros</t>
  </si>
  <si>
    <t>TERESITA QUIROS JIMENEZZ</t>
  </si>
  <si>
    <t>asibaja</t>
  </si>
  <si>
    <t>CAROLINA SIBAJA BONILLA</t>
  </si>
  <si>
    <t>jvargas</t>
  </si>
  <si>
    <t>JAVIER VARGAS TENCIO</t>
  </si>
  <si>
    <t>kchang</t>
  </si>
  <si>
    <t>KAREN CHANG KAM</t>
  </si>
  <si>
    <t>koleaga</t>
  </si>
  <si>
    <t>KEVIN OLEAGA GARCIA</t>
  </si>
  <si>
    <t>gulate</t>
  </si>
  <si>
    <t>GRETTEL ULATE VARGAS</t>
  </si>
  <si>
    <t>dpessoa</t>
  </si>
  <si>
    <t>DENNIS PESSOA FERNANDEZ</t>
  </si>
  <si>
    <t>kpiedra</t>
  </si>
  <si>
    <t>KIMBERLY PIEDRA ZUÑIGA</t>
  </si>
  <si>
    <t>fcalvor</t>
  </si>
  <si>
    <t>FREDDY CALVO RODRIGUEZ</t>
  </si>
  <si>
    <t>lmoras</t>
  </si>
  <si>
    <t>LUIS STEVEN MORA SALAZAR</t>
  </si>
  <si>
    <t>ygarcia</t>
  </si>
  <si>
    <t>YUNDRI GARCIA NAVARRO</t>
  </si>
  <si>
    <t>dvidal</t>
  </si>
  <si>
    <t>agonzalezq</t>
  </si>
  <si>
    <t>ALVARO GONZALEZ QUIROS</t>
  </si>
  <si>
    <t>efeijoo</t>
  </si>
  <si>
    <t>EMILIANO FEIJOO</t>
  </si>
  <si>
    <t>pnavarro</t>
  </si>
  <si>
    <t>PABLO NAVARRO ALTAMIRANO</t>
  </si>
  <si>
    <t>jchinchilla</t>
  </si>
  <si>
    <t>JOSE DANIEL CHINCHILLA CERDAS</t>
  </si>
  <si>
    <t>wrobles</t>
  </si>
  <si>
    <t>WENCESLAO ROBLES BONILLA</t>
  </si>
  <si>
    <t>elovell</t>
  </si>
  <si>
    <t>bbalza</t>
  </si>
  <si>
    <t>jsalazar</t>
  </si>
  <si>
    <t>JOSEPH SALAZAR ACUÑA</t>
  </si>
  <si>
    <t>gurbina</t>
  </si>
  <si>
    <t>GUILLERMO URBINA ZUMBADO</t>
  </si>
  <si>
    <t>larias</t>
  </si>
  <si>
    <t>LUIS ESTIVEN ARIAS MORA</t>
  </si>
  <si>
    <t>equiros</t>
  </si>
  <si>
    <t>ESTEBAN QUIROS ALVARADO</t>
  </si>
  <si>
    <t>lchavarria</t>
  </si>
  <si>
    <t>LUIS FERNANDO CHAVARRIA CAMACHO</t>
  </si>
  <si>
    <t>fxirinachs</t>
  </si>
  <si>
    <t>FRIDA ELENA XIRINACHS CHAVES</t>
  </si>
  <si>
    <t>acastro</t>
  </si>
  <si>
    <t>ANTHONY CASTRO VARELA</t>
  </si>
  <si>
    <t>jramirezb</t>
  </si>
  <si>
    <t>JOSEPH RAMIREZ BARQUERO</t>
  </si>
  <si>
    <t>jvega</t>
  </si>
  <si>
    <t>JOSEPH ALEXIS VEGA VARGAS</t>
  </si>
  <si>
    <t>asolano</t>
  </si>
  <si>
    <t>ALBERTO SOLANO SOLANO</t>
  </si>
  <si>
    <t>dmorach</t>
  </si>
  <si>
    <t>DANIEL MORA CHACON</t>
  </si>
  <si>
    <t>sramirez</t>
  </si>
  <si>
    <t>SUSSANA RAMIREZ SOLANO</t>
  </si>
  <si>
    <t>jcalderon</t>
  </si>
  <si>
    <t>JUSTIN JAFETH CALDERON VALVERDE</t>
  </si>
  <si>
    <t>asancho</t>
  </si>
  <si>
    <t>ANDRES SANCHO ARROYO</t>
  </si>
  <si>
    <t>amurillo</t>
  </si>
  <si>
    <t>ANGIE MURILLO ZUÑIGA</t>
  </si>
  <si>
    <t>lrodriguez</t>
  </si>
  <si>
    <t>LAURA RODRIGUEZ MONTERO</t>
  </si>
  <si>
    <t>gcastro</t>
  </si>
  <si>
    <t>GUILLERMO CASTRO SANCHEZ</t>
  </si>
  <si>
    <t>jsanchez</t>
  </si>
  <si>
    <t>JUAN SEBASTIAN SANCHEZ MANRIQUE</t>
  </si>
  <si>
    <t>mgutierrez</t>
  </si>
  <si>
    <t>MARIELA GUTIERREZ HIDALGO</t>
  </si>
  <si>
    <t>aprasad</t>
  </si>
  <si>
    <t>ARUN PRASAD</t>
  </si>
  <si>
    <t>vgupta</t>
  </si>
  <si>
    <t>VAISHANAVI GUPTA</t>
  </si>
  <si>
    <t>Dato1</t>
  </si>
  <si>
    <t>Dato2</t>
  </si>
  <si>
    <t>Dato3</t>
  </si>
  <si>
    <t>Dato4</t>
  </si>
  <si>
    <t>Dato5</t>
  </si>
  <si>
    <t>Dato6</t>
  </si>
  <si>
    <t>Dato7</t>
  </si>
  <si>
    <t>Dato8</t>
  </si>
  <si>
    <t>Dato9</t>
  </si>
  <si>
    <t>Dato10</t>
  </si>
  <si>
    <t>Dato11</t>
  </si>
  <si>
    <t>Dato12</t>
  </si>
  <si>
    <t>Dato13</t>
  </si>
  <si>
    <t>Dato14</t>
  </si>
  <si>
    <t>Dato15</t>
  </si>
  <si>
    <t>Dato16</t>
  </si>
  <si>
    <t>Dato17</t>
  </si>
  <si>
    <t>Dato18</t>
  </si>
  <si>
    <t>Dato19</t>
  </si>
  <si>
    <t>Dato20</t>
  </si>
  <si>
    <t>PRYItipo - PRYIdescripcion</t>
  </si>
  <si>
    <t xml:space="preserve">, case when ap.PRYAid = aa.PRYAid then ee.PRYEid end as PRYEid </t>
  </si>
  <si>
    <t xml:space="preserve">, case when ap.PRYAid = aa.PRYAid then  ee.PRYEcodigo end as PRYEcodigo </t>
  </si>
  <si>
    <t xml:space="preserve">, case when ap.PRYAid = aa.PRYAid then  ee.PRYEdescripcion end as PRYEdescripcion </t>
  </si>
  <si>
    <t xml:space="preserve">, case when ap.PRYAid = aa.PRYAid then uu.Usucodigo end as Usucodigo </t>
  </si>
  <si>
    <t xml:space="preserve">, case when ap.PRYAid = aa.PRYAid then  uu.Usulogin end as Usulogin </t>
  </si>
  <si>
    <t xml:space="preserve">, case when ap.PRYAid = aa.PRYAid then  uu.Usunombre end as Usunombre </t>
  </si>
  <si>
    <t xml:space="preserve">, case when ap.PRYAid = aa.PRYAid then ra.PRYRAid end as PRYRAid </t>
  </si>
  <si>
    <t xml:space="preserve">, case when ap.PRYAid = aa.PRYAid then  ra.PRYRAfecha end as PRYRAfecha </t>
  </si>
  <si>
    <t>, case when ap.PRYAid = aa.PRYAid then datalength(ra.PRYRAcomentario) end as PRYRAcomentarioN</t>
  </si>
  <si>
    <t xml:space="preserve">, case when ap.PRYAid = aa.PRYAid then  ra.PRYRAavanceNuevo end as PRYRAavanceNuevo </t>
  </si>
  <si>
    <t xml:space="preserve">, case when ap.PRYAid = aa.PRYAid then  ra.PRYRAhoras end as PRYRAhoras </t>
  </si>
  <si>
    <t>from PRYReporteActividad ra</t>
  </si>
  <si>
    <t>inner join PRYReporteControl rc</t>
  </si>
  <si>
    <t>on rc.PRYRCid = ra.PRYRCid</t>
  </si>
  <si>
    <t>inner join PRYActividad aa</t>
  </si>
  <si>
    <t>on aa.PRYAid = ra.PRYAid</t>
  </si>
  <si>
    <t>inner join PRYproyecto pp</t>
  </si>
  <si>
    <t>on pp.PRYid = aa.PRYid</t>
  </si>
  <si>
    <t xml:space="preserve">left join PRYContratos cc inner join SNegocios sn on sn.SNid = cc.SNid on cc.PRYCid=pp.PRYCid inner join PRYTipoAreaRespons tt on tt.PRYTid = pp.PRYTid inner join PRYActividad ap on aa.PRYid=ap.PRYid and aa.PRYApath like ap.PRYApath + '%' inner join PRYEspecialidad ee on ee.PRYEid = ra.PRYEid inner join PRYUsuarios uu on uu.Usucodigo = rc.Usucodigo </t>
  </si>
  <si>
    <t>order by sn.SNcodigo, cc.PRYCcodigo, tt.PRYTcodigo, pp.PRYcodigo, ap.PRYApath, ee.PRYEcodigo, uu.Usulogin, ra.PRYRAfecha</t>
  </si>
  <si>
    <t>, case when ap.PRYAid = aa.PRYAid then case when datalength(ra.PRYRAcomentario)&lt;=512 then ra.PRYRAcomentario else substring (ra.PRYRAcomentario, 1, 509)  +  '...' end end as PRYRAcomentario</t>
  </si>
  <si>
    <t>where PRYRAfecha between '2019-08-14 00:00:00' and '2019-08-14 23:59:59'</t>
  </si>
  <si>
    <t>and rc.PRYRCestado = 1</t>
  </si>
  <si>
    <t>and (ra.PRYItipo = '%' and ra.PRYInumero = '%' OR ra.PRYAid in (select PRYAid from PRYActividadClases where PRYItipo = '%' and PRYInumero = '%'  ))</t>
  </si>
  <si>
    <t>and aa.PRYAcodigo = '%'</t>
  </si>
  <si>
    <t xml:space="preserve">and (select count(1) from PRYUsuariosGrupo where PRYGTid = 7 and Ecodigo=uu.Ecodigo and Usucodigo=uu.Usucodigo) &gt; 0 </t>
  </si>
  <si>
    <t>Seleccionados</t>
  </si>
  <si>
    <t>Fechas</t>
  </si>
  <si>
    <t>Tipo Clasificación &amp; ID</t>
  </si>
  <si>
    <t>Código de Tarea</t>
  </si>
  <si>
    <t>Grupo Trabajo</t>
  </si>
  <si>
    <t>and PRYCcodigo in ('ICE.VF', 'ICE.IN')</t>
  </si>
  <si>
    <t>and PRYTcodigo in ('INTEGRA', 'DPTO.BI')</t>
  </si>
  <si>
    <t>and PRYAcodigo in ('TPO_1414', 'TPO_1414')</t>
  </si>
  <si>
    <t>and PRYEcodigo in ('SIF.CON.JR', 'ICE.SO.32')</t>
  </si>
  <si>
    <t>and Usulogin in ('dmendoza', 'ksalazar')</t>
  </si>
  <si>
    <t>Fijo</t>
  </si>
  <si>
    <t>select PRYGTid, PRYGTcodigo, PRYGTdescripcion from PRYGrupoTrabajo</t>
  </si>
  <si>
    <t>PRYGTid</t>
  </si>
  <si>
    <t>código de Grupo de Trabajo</t>
  </si>
  <si>
    <t>código de Tipo Clasificación</t>
  </si>
  <si>
    <t>código Ids</t>
  </si>
  <si>
    <t>and (ra.PRYItipo in ('BT', 'BT') OR ra.PRYAid in ( select PRYAid from PRYActividadClases where PRYItipo in ('BT', 'BT') ))</t>
  </si>
  <si>
    <t>and (select count(1) from PRYUsuariosGrupo where PRYGTid in () and Ecodigo=uu.Ecodigo and Usucodigo=uu.Usucodigo) &gt; 0</t>
  </si>
  <si>
    <t>select PRYcodigo, PRYdescripcion from PRYproyecto</t>
  </si>
  <si>
    <t>select * from PRYproyecto</t>
  </si>
  <si>
    <t>PRYcodigo</t>
  </si>
  <si>
    <t>PRYdescripcion</t>
  </si>
  <si>
    <t>DPTO.SISTE</t>
  </si>
  <si>
    <t>Tareas Propias del Departamento de Sistemas</t>
  </si>
  <si>
    <t>GEN.SIF</t>
  </si>
  <si>
    <t>Actividades Genericas para SIF</t>
  </si>
  <si>
    <t>ICE.SO.GI</t>
  </si>
  <si>
    <t>Gestión de Incidencias Sostenibilidad ICE</t>
  </si>
  <si>
    <t>ICE.SO.GC</t>
  </si>
  <si>
    <t>Gestión de Calidad Sostenibilidad ICE</t>
  </si>
  <si>
    <t>NACION.INTERFAZ</t>
  </si>
  <si>
    <t>Interfaces de La Nación</t>
  </si>
  <si>
    <t>Proyectos del Departamento de RH</t>
  </si>
  <si>
    <t>GD.VIEJO</t>
  </si>
  <si>
    <t>Gobierno Digital Fase III (Generación Patente Comercial)</t>
  </si>
  <si>
    <t>ICE.CORP</t>
  </si>
  <si>
    <t>Puesta en operación de Corporativos</t>
  </si>
  <si>
    <t>Actividades asociadas a la  PMO Corporativa</t>
  </si>
  <si>
    <t>SALVADOR.SIF</t>
  </si>
  <si>
    <t>Proyecto El Salvador - SIF</t>
  </si>
  <si>
    <t>GEN.RH</t>
  </si>
  <si>
    <t>Actividades Genericas para RH</t>
  </si>
  <si>
    <t>ICE.SIF</t>
  </si>
  <si>
    <t>Proyecto ICE - SIF</t>
  </si>
  <si>
    <t>TAREAS PROPIAS DE INTELIGENCIA DE NEGOCIOS</t>
  </si>
  <si>
    <t>TAREAS PROPIAS DE SOPORTE</t>
  </si>
  <si>
    <t>Tareas Propias de Departamento Financiero</t>
  </si>
  <si>
    <t>GD.3</t>
  </si>
  <si>
    <t>Gobierno Digital Fase III (Patente Comercial)</t>
  </si>
  <si>
    <t>BI.ICE_KPI_MK</t>
  </si>
  <si>
    <t>INDICADORES DE MK - Gerencia Clientes - ICE</t>
  </si>
  <si>
    <t>SUTEL.SIF.CANON</t>
  </si>
  <si>
    <t>Proyecto de Canones</t>
  </si>
  <si>
    <t>GEN.INTCNX</t>
  </si>
  <si>
    <t>Actividades Genericas para Interconexion del ICE</t>
  </si>
  <si>
    <t>ICE.MEDIAC</t>
  </si>
  <si>
    <t>Proyecto Mediación - Vertical de facturación</t>
  </si>
  <si>
    <t>DPTO.MOVIL</t>
  </si>
  <si>
    <t>Proyectos para Sistemas Móviles</t>
  </si>
  <si>
    <t>DOMI</t>
  </si>
  <si>
    <t>TicoExpress</t>
  </si>
  <si>
    <t>ICE.AC</t>
  </si>
  <si>
    <t>TELCO.BD</t>
  </si>
  <si>
    <t>Soporte Base de Datos Telecomunicaciones</t>
  </si>
  <si>
    <t>ICE.SIN_PRY</t>
  </si>
  <si>
    <t>Recursos que no tienen asignación de tareas</t>
  </si>
  <si>
    <t>Licencia de Productos Especiales</t>
  </si>
  <si>
    <t>ICE.SO.TC</t>
  </si>
  <si>
    <t>Transferencia del Conocimiento Sostenibilidad ICE</t>
  </si>
  <si>
    <t>ICE.SO.PMO</t>
  </si>
  <si>
    <t>Gestion del Proyecto Sostenibilidad del ICE</t>
  </si>
  <si>
    <t>DPTO.SALVADOR</t>
  </si>
  <si>
    <t>Oficina en El Salvador</t>
  </si>
  <si>
    <t>ICE.RCM</t>
  </si>
  <si>
    <t>Soporte Infraestructura ICE</t>
  </si>
  <si>
    <t>SOIN.OTROS</t>
  </si>
  <si>
    <t>ICE - Proyecto Vertical de Facturación</t>
  </si>
  <si>
    <t>Gestion de Requerimientos - Tareas para TPOs</t>
  </si>
  <si>
    <t>TE</t>
  </si>
  <si>
    <t>ICE.INFRA</t>
  </si>
  <si>
    <t>ICE.INTEGRA</t>
  </si>
  <si>
    <t>Integración del ICE</t>
  </si>
  <si>
    <t>ICE.FT</t>
  </si>
  <si>
    <t>Revisión de procesos de los frontales</t>
  </si>
  <si>
    <t>Gobierno Digital -  Ministerio de Salud</t>
  </si>
  <si>
    <t>PRUEBA</t>
  </si>
  <si>
    <t>SUTEL.SG</t>
  </si>
  <si>
    <t>Proyecto SUTEL Sistema de Gestión</t>
  </si>
  <si>
    <t>GD.RP</t>
  </si>
  <si>
    <t>Gobierno Digital - Registro Público</t>
  </si>
  <si>
    <t>SOIN.PRY</t>
  </si>
  <si>
    <t>Sistema Gestión de Tiempos</t>
  </si>
  <si>
    <t>ICE.FACT</t>
  </si>
  <si>
    <t>Proyecto FACTURACION - ICE</t>
  </si>
  <si>
    <t>ICE.SO.SO</t>
  </si>
  <si>
    <t>Soporte a la Operación Sostenibilidad ICE</t>
  </si>
  <si>
    <t>GD.CE.AMP</t>
  </si>
  <si>
    <t>Gobierno Digital -  Crear Empresa - Ampliación</t>
  </si>
  <si>
    <t>PRY.SIF</t>
  </si>
  <si>
    <t>Gestión de Tiempos</t>
  </si>
  <si>
    <t>ICE.INF.MD</t>
  </si>
  <si>
    <t>ICE.SO.CCA</t>
  </si>
  <si>
    <t>Gestión de Control de Calidad Sostenibilidad ICE</t>
  </si>
  <si>
    <t>056-156-TEC</t>
  </si>
  <si>
    <t>Sistema de Gestión TEC</t>
  </si>
  <si>
    <t>ICE.INF.INTEG</t>
  </si>
  <si>
    <t>BARODA.RH</t>
  </si>
  <si>
    <t>Proyecto Baroda-RH</t>
  </si>
  <si>
    <t>IICA</t>
  </si>
  <si>
    <t>Implementación de Nómina y RRHH</t>
  </si>
  <si>
    <t>PRYT.SIF</t>
  </si>
  <si>
    <t>Actividades Genericas para Proyectos SIF</t>
  </si>
  <si>
    <t>ICEPAD</t>
  </si>
  <si>
    <t>Actividades Experiencia Cliente -  ICEPAD</t>
  </si>
  <si>
    <t>SIF.TEC</t>
  </si>
  <si>
    <t>Instituto Tecnológico de Costa Rica</t>
  </si>
  <si>
    <t>CONAVI.REFOVIAL</t>
  </si>
  <si>
    <t>Proyecto REFOVIAL (Contratación 2008LA-000024-0IN00)</t>
  </si>
  <si>
    <t>ICE.FACTURACION</t>
  </si>
  <si>
    <t>Proyecto ICE - Vertical de Facturación</t>
  </si>
  <si>
    <t>MONGE.RH</t>
  </si>
  <si>
    <t>Proyecto Monge-RH</t>
  </si>
  <si>
    <t>BNVALOR.SIF</t>
  </si>
  <si>
    <t>Proyecto BNValores - SIF</t>
  </si>
  <si>
    <t>SO.SOP.AIA</t>
  </si>
  <si>
    <t>Actividades de Soporte  AIA</t>
  </si>
  <si>
    <t>COOPESERV.RH</t>
  </si>
  <si>
    <t>Proyecto Coopeservidores-RH</t>
  </si>
  <si>
    <t>COOPELESCA.RH</t>
  </si>
  <si>
    <t>Proyecto Coopelesca-RH</t>
  </si>
  <si>
    <t>CEFA.RH</t>
  </si>
  <si>
    <t>Proyecto CEFA-RH</t>
  </si>
  <si>
    <t>BNVITAL.RH</t>
  </si>
  <si>
    <t>Proyecto BNVital-RH</t>
  </si>
  <si>
    <t>BNVALOR.RH</t>
  </si>
  <si>
    <t>Proyecto BNValores-RH</t>
  </si>
  <si>
    <t>BTCINO.RH</t>
  </si>
  <si>
    <t>Proyecto Bticino-RH</t>
  </si>
  <si>
    <t>SOIN.NF.SC</t>
  </si>
  <si>
    <t>Tareas no Facturables y fuera de Contrato</t>
  </si>
  <si>
    <t>MERLINK.SIF</t>
  </si>
  <si>
    <t>MER-LINK</t>
  </si>
  <si>
    <t>SOIN.GSC.OTRS</t>
  </si>
  <si>
    <t>Gestión de Servicios Corporativos al Cliente. 9 (OTRS).</t>
  </si>
  <si>
    <t>SOIN.MCP</t>
  </si>
  <si>
    <t>Manejo Corporativo de Producto SIF/ SAPIENs.</t>
  </si>
  <si>
    <t>BI.ICE_PRINN</t>
  </si>
  <si>
    <t>PROYECTO ICE-PRINN</t>
  </si>
  <si>
    <t>ICE.SO.GNR1</t>
  </si>
  <si>
    <t>Gestion Nuevos Requerimientos Sostenibilidad ICE</t>
  </si>
  <si>
    <t>ICE.NF.SO</t>
  </si>
  <si>
    <t>Actividades asociadas a Sostenibilidad no Facturables</t>
  </si>
  <si>
    <t>HSBC.SIF</t>
  </si>
  <si>
    <t>Proyecto Davivienda - Quick Pass y Activos Fijos</t>
  </si>
  <si>
    <t>ICE.NF.SO.PRO2</t>
  </si>
  <si>
    <t>Actividades asociadas a Sostenibilidad PRORROGA 2  no Facturables</t>
  </si>
  <si>
    <t>AH.PMO</t>
  </si>
  <si>
    <t>Actividades Administrativas</t>
  </si>
  <si>
    <t>GB-669</t>
  </si>
  <si>
    <t>Soporte rollout 2014 -2015</t>
  </si>
  <si>
    <t>ICE.SO.GNR</t>
  </si>
  <si>
    <t>Gestion de nuevos requerimiento Sostenibilidad ICE</t>
  </si>
  <si>
    <t>Plantilla generica para proyectos Bimbo</t>
  </si>
  <si>
    <t>GB-ADM</t>
  </si>
  <si>
    <t>Actividades Administrativas  de Cuenta</t>
  </si>
  <si>
    <t>GB-668</t>
  </si>
  <si>
    <t>PIAM y requerimientos Fiscales</t>
  </si>
  <si>
    <t>GB-659</t>
  </si>
  <si>
    <t>Regionalización Plataforma Comercial</t>
  </si>
  <si>
    <t>ICE.SC.SO</t>
  </si>
  <si>
    <t>Soporte a la Operación y demas actividades  no facturable</t>
  </si>
  <si>
    <t>ICE.INTCNX</t>
  </si>
  <si>
    <t>Proyecto Interconexión - Vertical de facturación</t>
  </si>
  <si>
    <t>ICE.SIO.1</t>
  </si>
  <si>
    <t>Sistema Integrado de Operaciones</t>
  </si>
  <si>
    <t>FA-001</t>
  </si>
  <si>
    <t>Release de Requerimientos FA</t>
  </si>
  <si>
    <t>TV.002</t>
  </si>
  <si>
    <t>Bitácora de servicios</t>
  </si>
  <si>
    <t>FA-002</t>
  </si>
  <si>
    <t>Release de Requerimientos 2015</t>
  </si>
  <si>
    <t>FA.ADM</t>
  </si>
  <si>
    <t>Actividades Administrativas de Cuenta</t>
  </si>
  <si>
    <t>GB-661</t>
  </si>
  <si>
    <t>MIgracion R12 - Mejoras ISPLI</t>
  </si>
  <si>
    <t>GB-673</t>
  </si>
  <si>
    <t>Soporte China 2014/2015</t>
  </si>
  <si>
    <t>BI.Actividades</t>
  </si>
  <si>
    <t>[Nombre Actividad]</t>
  </si>
  <si>
    <t>BI.001</t>
  </si>
  <si>
    <t>Grupo ECO fase II</t>
  </si>
  <si>
    <t>TV.003</t>
  </si>
  <si>
    <t>SECMAN</t>
  </si>
  <si>
    <t>TV.ADM</t>
  </si>
  <si>
    <t>Actividades admministrativas</t>
  </si>
  <si>
    <t>151-156-SIGES</t>
  </si>
  <si>
    <t>Sistema de Gestión de Proyectos - SOIN</t>
  </si>
  <si>
    <t>PMI.ETAPA</t>
  </si>
  <si>
    <t>[Etapa ]</t>
  </si>
  <si>
    <t>PMI.MODULOS</t>
  </si>
  <si>
    <t>[Nombre Modulo]</t>
  </si>
  <si>
    <t>FA.SOP.COF</t>
  </si>
  <si>
    <t>Soporte COFACH</t>
  </si>
  <si>
    <t>SOIN.ADM</t>
  </si>
  <si>
    <t>Tareas Administrativas SOIN</t>
  </si>
  <si>
    <t>ICE.SO.IMP</t>
  </si>
  <si>
    <t>Optimización e implementación Sostenibilidad ICE</t>
  </si>
  <si>
    <t>BI.ADMIN</t>
  </si>
  <si>
    <t>TV.004</t>
  </si>
  <si>
    <t>ORDUNI ONAIR</t>
  </si>
  <si>
    <t>TV.001</t>
  </si>
  <si>
    <t>Nat chargers</t>
  </si>
  <si>
    <t>CO.PMI.001</t>
  </si>
  <si>
    <t>PMI Nuevas empresas</t>
  </si>
  <si>
    <t>CO.PMI.002</t>
  </si>
  <si>
    <t>PMI HBV</t>
  </si>
  <si>
    <t>CO.PMI.003</t>
  </si>
  <si>
    <t>PMI NASA México</t>
  </si>
  <si>
    <t>CO.PMI.004</t>
  </si>
  <si>
    <t>PMI CONTABILIDAD ELECTRONICA</t>
  </si>
  <si>
    <t>CO.PMI.005</t>
  </si>
  <si>
    <t>PMI-CIM 2013-2014</t>
  </si>
  <si>
    <t>CO.PMI.006</t>
  </si>
  <si>
    <t>PMI SES México</t>
  </si>
  <si>
    <t>CO.LD.SOP</t>
  </si>
  <si>
    <t>LDCOM Soporte</t>
  </si>
  <si>
    <t>CO.ADM</t>
  </si>
  <si>
    <t>CO.SAP.SOP</t>
  </si>
  <si>
    <t>Soporte Sapiens</t>
  </si>
  <si>
    <t>CO.SIF.SOP</t>
  </si>
  <si>
    <t>SIF - Soporte</t>
  </si>
  <si>
    <t>AH.PREVENTA</t>
  </si>
  <si>
    <t>Pre venta Clientes Nuevos</t>
  </si>
  <si>
    <t>CO.DES.SOIN</t>
  </si>
  <si>
    <t>Desarrollo SOIN</t>
  </si>
  <si>
    <t>SIF-SAPIENS</t>
  </si>
  <si>
    <t>Plantilla para proyectos SIF/SAPIENS</t>
  </si>
  <si>
    <t>CO.SIF.001</t>
  </si>
  <si>
    <t>SIF - Agencia Espacial Mexicana</t>
  </si>
  <si>
    <t>FA.REQ-XXXXX</t>
  </si>
  <si>
    <t>[Nombre del requerimiento]</t>
  </si>
  <si>
    <t>CO.DES.LD</t>
  </si>
  <si>
    <t>Desarrollo LD</t>
  </si>
  <si>
    <t>CO.PROYECTOS</t>
  </si>
  <si>
    <t>Proyectos Consultoría</t>
  </si>
  <si>
    <t>FA.SOP.SPT</t>
  </si>
  <si>
    <t>Soporte SPT</t>
  </si>
  <si>
    <t>GB-679</t>
  </si>
  <si>
    <t xml:space="preserve"> Interfaz CUC</t>
  </si>
  <si>
    <t>CO.OR.CAM</t>
  </si>
  <si>
    <t>Control de Ordenes de Cambio</t>
  </si>
  <si>
    <t>ICE.PRY</t>
  </si>
  <si>
    <t>Sistema de Gestión de Proyectos</t>
  </si>
  <si>
    <t>ICE.SO.ADM</t>
  </si>
  <si>
    <t>Tareas administrativas no cobrables Sostenibilidad ICE</t>
  </si>
  <si>
    <t>FA.SPT</t>
  </si>
  <si>
    <t>Reuqrimiento FA SPT</t>
  </si>
  <si>
    <t>FA.SPT.001</t>
  </si>
  <si>
    <t>Requerimientos SPT</t>
  </si>
  <si>
    <t>CO.PMI.007</t>
  </si>
  <si>
    <t>PMI- HNA SUS</t>
  </si>
  <si>
    <t>GB-681</t>
  </si>
  <si>
    <t>Soporte Implementación China R3</t>
  </si>
  <si>
    <t>GB-687</t>
  </si>
  <si>
    <t>Corrección Ticket China</t>
  </si>
  <si>
    <t>151-NF-ERP</t>
  </si>
  <si>
    <t>Servicios  no facturados del ERP / SOIN</t>
  </si>
  <si>
    <t>154-GEST-SERV</t>
  </si>
  <si>
    <t>RETRABAJOS</t>
  </si>
  <si>
    <t>Retrabajos asociados al ERP</t>
  </si>
  <si>
    <t>GB-678</t>
  </si>
  <si>
    <t>Soporte UAT LAS/LAC</t>
  </si>
  <si>
    <t>GB-689</t>
  </si>
  <si>
    <t>Interfaz OCOCIA</t>
  </si>
  <si>
    <t>GB-686</t>
  </si>
  <si>
    <t>Diferencias entre locales e importados</t>
  </si>
  <si>
    <t>GB-683</t>
  </si>
  <si>
    <t>Clientes sin RUC Peru</t>
  </si>
  <si>
    <t>501-154-CNV</t>
  </si>
  <si>
    <t>Gestión de Servicios al Cliente (AMPARADO A CONTRATO) - CONAVI</t>
  </si>
  <si>
    <t>018-154-BNVal</t>
  </si>
  <si>
    <t>Gestión de Servicios al Cliente (AMPARADO A CONTRATO) - BNValores</t>
  </si>
  <si>
    <t>243-154-COOPSER</t>
  </si>
  <si>
    <t>Gestión de Servicios al Cliente (AMPARADO A CONTRATO) - COOPESERVIDORES</t>
  </si>
  <si>
    <t>313-154-PM</t>
  </si>
  <si>
    <t>Gestión de Servicios al Cliente (AMPARADO A CONTRATO) - PURDY MOTOR</t>
  </si>
  <si>
    <t>CONAVI.SIF.2</t>
  </si>
  <si>
    <t>Proyecto CONAVI</t>
  </si>
  <si>
    <t>SUTEL.RH</t>
  </si>
  <si>
    <t>Proyecto Sutel-RH</t>
  </si>
  <si>
    <t>SUTEL.SIF</t>
  </si>
  <si>
    <t>Proyecto Sutel - SIF</t>
  </si>
  <si>
    <t>GB-682</t>
  </si>
  <si>
    <t>IDG Guatefacturas</t>
  </si>
  <si>
    <t>FUNDATEC.RH</t>
  </si>
  <si>
    <t>Proyecto FUNDATEC-RH</t>
  </si>
  <si>
    <t>HENKEL.RH</t>
  </si>
  <si>
    <t>Proyecto Henkel-RH</t>
  </si>
  <si>
    <t>QSR-RH</t>
  </si>
  <si>
    <t>Proyecto QSR-RH</t>
  </si>
  <si>
    <t>Racsa-RH</t>
  </si>
  <si>
    <t>Implementación de la solución  Spiens (nómina y rh)</t>
  </si>
  <si>
    <t>TEC.RH</t>
  </si>
  <si>
    <t>Proyecto TEC-RH</t>
  </si>
  <si>
    <t>PURDY.RH</t>
  </si>
  <si>
    <t>Proyecto Purdy-RH</t>
  </si>
  <si>
    <t>MEXICO.RH</t>
  </si>
  <si>
    <t>Proyecto MEXICO-RH</t>
  </si>
  <si>
    <t>MEXICO.SIF</t>
  </si>
  <si>
    <t>Proyecto MEXICO - SIF</t>
  </si>
  <si>
    <t>GB-685</t>
  </si>
  <si>
    <t>R12 Colombia</t>
  </si>
  <si>
    <t>151-155-SOIN</t>
  </si>
  <si>
    <t>Soporte a Proyectos Internos SOIN - ERP</t>
  </si>
  <si>
    <t>Actividades Relacionadas a SOIN (como cliente Sapiens - SIF)</t>
  </si>
  <si>
    <t>ICE.SO.MC</t>
  </si>
  <si>
    <t>Manejo del Cambio Sostenibilidad ICE</t>
  </si>
  <si>
    <t>ERP.911</t>
  </si>
  <si>
    <t>Proyecto ERP en la Nube - 911</t>
  </si>
  <si>
    <t>151-156-SOIN</t>
  </si>
  <si>
    <t>Actualización del  ERP en SOIN - SIF/Nómina/RH</t>
  </si>
  <si>
    <t>GB-692</t>
  </si>
  <si>
    <t>Soporte Piloto China</t>
  </si>
  <si>
    <t>024-156-DGAC</t>
  </si>
  <si>
    <t>Proyecto SIF - DGAC</t>
  </si>
  <si>
    <t>NACION.SIF</t>
  </si>
  <si>
    <t>Proyecto Nacion - SIF</t>
  </si>
  <si>
    <t>BI.DMNACION</t>
  </si>
  <si>
    <t>DATA MART FINANCIERO NACION</t>
  </si>
  <si>
    <t>NACION.sif</t>
  </si>
  <si>
    <t>Proyecto Nacion-RH</t>
  </si>
  <si>
    <t>CTP-SIF</t>
  </si>
  <si>
    <t>Proyecto SIF - CTP</t>
  </si>
  <si>
    <t>RPSA.SIF</t>
  </si>
  <si>
    <t>Proyecto Ricardo Perez Panamá SIF</t>
  </si>
  <si>
    <t>871-155-CTP</t>
  </si>
  <si>
    <t>Gestión de Servicio al Cliente (Soporte NF) - CTP</t>
  </si>
  <si>
    <t>GB-695</t>
  </si>
  <si>
    <t>China Soporte Abril 2015</t>
  </si>
  <si>
    <t>GB-694</t>
  </si>
  <si>
    <t>Cambio Fiscal ISPLI Paraguay</t>
  </si>
  <si>
    <t>GB-675</t>
  </si>
  <si>
    <t>Regionalización 2. Formato de fechas y separador decimal</t>
  </si>
  <si>
    <t>FUNDATEC.SIF</t>
  </si>
  <si>
    <t>Proyecto FUNDATEC - SIF</t>
  </si>
  <si>
    <t>FUNDATEC.GARANT</t>
  </si>
  <si>
    <t>Proyecto FUNDATEC - Garantías</t>
  </si>
  <si>
    <t>151-155-SIGES</t>
  </si>
  <si>
    <t>Servicios de Soporte y Mantenimiento al Sistema de Gestión</t>
  </si>
  <si>
    <t>CO.LD.001</t>
  </si>
  <si>
    <t>LDCOM como SaaS</t>
  </si>
  <si>
    <t>CO.SIF.002</t>
  </si>
  <si>
    <t>Tesoreria</t>
  </si>
  <si>
    <t>GB-704</t>
  </si>
  <si>
    <t>Componente de ajustes a ruta para Iberia</t>
  </si>
  <si>
    <t>Tareas del equipo SOIN LABS</t>
  </si>
  <si>
    <t>Tareas Propias del Departamento de Mercadeo y Ventas</t>
  </si>
  <si>
    <t>SFTP Ecuador</t>
  </si>
  <si>
    <t>GB-709</t>
  </si>
  <si>
    <t>Integración Número de copias de impresión</t>
  </si>
  <si>
    <t>GB-677</t>
  </si>
  <si>
    <t>Implantación China</t>
  </si>
  <si>
    <t>CO.PMI.008</t>
  </si>
  <si>
    <t>PMI CE TRD</t>
  </si>
  <si>
    <t>400-152-HENKEL</t>
  </si>
  <si>
    <t>GESTIÓN DE NUEVOS REQUERIMIENTOS - HENKEL</t>
  </si>
  <si>
    <t>151.OP.NEG</t>
  </si>
  <si>
    <t>Actividades del equipo ERP en Oportunidades de Negocio del ERP</t>
  </si>
  <si>
    <t>SER.NF.INTEROP</t>
  </si>
  <si>
    <t>Servicios  no facturados  del equipo Interoperabilidad</t>
  </si>
  <si>
    <t>CO.LD.PROYECTOS</t>
  </si>
  <si>
    <t>Proyectos LD</t>
  </si>
  <si>
    <t>GB-705</t>
  </si>
  <si>
    <t>Fiscal 3</t>
  </si>
  <si>
    <t>GB-711</t>
  </si>
  <si>
    <t>Facturación a 3 digitos</t>
  </si>
  <si>
    <t>CO.CAP</t>
  </si>
  <si>
    <t>CURSOS DE CAPACITACIÓN</t>
  </si>
  <si>
    <t>871-156-CTP F2</t>
  </si>
  <si>
    <t>Proyecto SIF - CTP - FASE II</t>
  </si>
  <si>
    <t>GB-707</t>
  </si>
  <si>
    <t>GB-707 Implantación PC OLA2</t>
  </si>
  <si>
    <t>158-152-NACION</t>
  </si>
  <si>
    <t>GESTIÓN DE NUEVOS REQUERIMIENTOS PARA NACION</t>
  </si>
  <si>
    <t>GB-712</t>
  </si>
  <si>
    <t>Modelo de Distribución Comercial 2</t>
  </si>
  <si>
    <t>GB-696</t>
  </si>
  <si>
    <t>Gobierno de Catálogos y Modelo de Datos</t>
  </si>
  <si>
    <t>GB-001</t>
  </si>
  <si>
    <t>NEGOCIOS</t>
  </si>
  <si>
    <t>GB-716</t>
  </si>
  <si>
    <t>Integración Salesfore</t>
  </si>
  <si>
    <t>CO.DES.CF</t>
  </si>
  <si>
    <t>Desarrollo Integración CF</t>
  </si>
  <si>
    <t>600-152-FUNDATE</t>
  </si>
  <si>
    <t>GESTIÓN DE NUEVOS REQUERIMIENTOS PARA FUNDATEC</t>
  </si>
  <si>
    <t>866-152-SUTEL</t>
  </si>
  <si>
    <t>GESTIÓN DE NUEVOS REQUERIMIENTOS PARA SUTEL 2015</t>
  </si>
  <si>
    <t>050-158-ICE</t>
  </si>
  <si>
    <t>Servicios de Soporte ICE</t>
  </si>
  <si>
    <t>PRE-TPO</t>
  </si>
  <si>
    <t>Análisis y Negociación de nuevos requerimientos</t>
  </si>
  <si>
    <t>CO.SIT.001</t>
  </si>
  <si>
    <t>Sistema Integral de Tesoreria</t>
  </si>
  <si>
    <t>CO.PMI.009</t>
  </si>
  <si>
    <t>CONVERSIÓN ESTADOS FINANCIEROS</t>
  </si>
  <si>
    <t>GB-724</t>
  </si>
  <si>
    <t>Fix 1 PIAM</t>
  </si>
  <si>
    <t>151-158-O.N.ERP</t>
  </si>
  <si>
    <t>Actividades asociadas a Nuevas Oportunidades de Negocio (ERP)</t>
  </si>
  <si>
    <t>158-OP.NE</t>
  </si>
  <si>
    <t>Oportunidades de Negocio</t>
  </si>
  <si>
    <t>866 -154-SUTEL</t>
  </si>
  <si>
    <t>Gestión de Servicios al Cliente (AMPARADO A CONTRATO) - SUTEL</t>
  </si>
  <si>
    <t>304 -154-COOPL</t>
  </si>
  <si>
    <t>Gestión de Servicios al Cliente (AMPARADO A CONTRATO) - COOPELESCA</t>
  </si>
  <si>
    <t>151-163-SOIN</t>
  </si>
  <si>
    <t>Tareas Administrativas / Gerenciales (Internas)</t>
  </si>
  <si>
    <t>161-PREA-DIS</t>
  </si>
  <si>
    <t>Preanálisis y Diseño</t>
  </si>
  <si>
    <t>151-161-PA.DIS</t>
  </si>
  <si>
    <t>Actividades Asociadas a Preanálisis y Diseño</t>
  </si>
  <si>
    <t>889-155-QSR</t>
  </si>
  <si>
    <t>Gestión de Servicio al Cliente (Soporte NF) - QSR</t>
  </si>
  <si>
    <t>158-155-GN</t>
  </si>
  <si>
    <t>Gestión de Servicio al Cliente (Soporte NF) - Grupo Nación</t>
  </si>
  <si>
    <t>160-SOST</t>
  </si>
  <si>
    <t>Sostenibilidad - ERP</t>
  </si>
  <si>
    <t>153-GNR-CONF</t>
  </si>
  <si>
    <t>Gestión de Nuevos Requerimientos (Configuración y Creación de Nuevas Empresas )</t>
  </si>
  <si>
    <t>GB-725</t>
  </si>
  <si>
    <t>Nueva Pantalla de Consulta</t>
  </si>
  <si>
    <t>151-160-SOIN</t>
  </si>
  <si>
    <t>Servicios de Sostenibilidad NO FACTURABLES del ERP</t>
  </si>
  <si>
    <t>501-152-CNV</t>
  </si>
  <si>
    <t>GESTIÓN DE NUEVOS REQUERIMIENTOS - CONAVI</t>
  </si>
  <si>
    <t>243-156-COOPSER</t>
  </si>
  <si>
    <t>Implementación Módulo Medicina de Empresa</t>
  </si>
  <si>
    <t>600-155-FUNDATE</t>
  </si>
  <si>
    <t>Gestión de Servicio al Cliente (NO TIENE CONTRATO) - FUNDATEC</t>
  </si>
  <si>
    <t>051-154-ICE</t>
  </si>
  <si>
    <t>Gestión de Servicio al Cliente (AMPARADO A CONTRATO) - ICE</t>
  </si>
  <si>
    <t>GB-726</t>
  </si>
  <si>
    <t>Soporte China Pc</t>
  </si>
  <si>
    <t>866-155-SUTEL</t>
  </si>
  <si>
    <t>Gestión de Servicio al Cliente (Soporte NO TIENE CONTRATO) - SUTEL</t>
  </si>
  <si>
    <t>151-GNR-CONSUL</t>
  </si>
  <si>
    <t>Gestión de Nuevos Requerimientos (Consultorías)</t>
  </si>
  <si>
    <t>018-151-BNVal</t>
  </si>
  <si>
    <t>GESTIÓN DE NUEVOS REQUERIMIENTOS PARA BNVALORES (CONSULTORIA)</t>
  </si>
  <si>
    <t>162-VERS-ERP</t>
  </si>
  <si>
    <t>Actualización del Sistema (Versionamiento - ERP)</t>
  </si>
  <si>
    <t>056-155-TEC.SRH</t>
  </si>
  <si>
    <t>Gestión de Servicio al Cliente (Soporte NF) - TEC SIF-RRHH</t>
  </si>
  <si>
    <t>096-154-RPSA</t>
  </si>
  <si>
    <t>Gestión de Servicio al Cliente (AMPARADO A CONTRATO) - Ricardo Perez</t>
  </si>
  <si>
    <t>095-155-RACSA</t>
  </si>
  <si>
    <t>Gestión de Servicio al Cliente (Soporte NF) - RACSA</t>
  </si>
  <si>
    <t>057-155-IICA</t>
  </si>
  <si>
    <t>Gestión de Servicio al Cliente (Sin contrato) - IICA</t>
  </si>
  <si>
    <t>900-155-BNV</t>
  </si>
  <si>
    <t>Gestión de Servicio al Cliente (Soporte NF) - BNVital</t>
  </si>
  <si>
    <t>272-154-CEFA</t>
  </si>
  <si>
    <t>Gestión de Servicio al Cliente (AMPARADO A CONTRATO) - CEFA</t>
  </si>
  <si>
    <t>400-154-HENKEL</t>
  </si>
  <si>
    <t>Gestión de Servicio al Cliente (AMPARADO A CONTRATO) - HENKEL</t>
  </si>
  <si>
    <t>CO.LD.002</t>
  </si>
  <si>
    <t>FARMACIAS ECONOMIK</t>
  </si>
  <si>
    <t>GB-727</t>
  </si>
  <si>
    <t>Libreta de Ruta</t>
  </si>
  <si>
    <t>GB-717</t>
  </si>
  <si>
    <t>Operación Domingo</t>
  </si>
  <si>
    <t>CO.PMI.010</t>
  </si>
  <si>
    <t>PMI Services B.V. (SHO)</t>
  </si>
  <si>
    <t>CO.LD.003</t>
  </si>
  <si>
    <t>SUPERFARMACIAS AHORRAMAS</t>
  </si>
  <si>
    <t>889-151-QSR</t>
  </si>
  <si>
    <t>GESTIÓN DE NUEVOS REQUERIMIENTOS (CONSULTORIA) PARA QSR</t>
  </si>
  <si>
    <t>GB-730</t>
  </si>
  <si>
    <t>Soporte Traducción Canadá</t>
  </si>
  <si>
    <t>GB-705 F2</t>
  </si>
  <si>
    <t>Fiscal 3 Fase 2</t>
  </si>
  <si>
    <t>CO.PMI.011</t>
  </si>
  <si>
    <t>PMI  DUCTO JUAREZ</t>
  </si>
  <si>
    <t>024-154-DGAC</t>
  </si>
  <si>
    <t>GB-732</t>
  </si>
  <si>
    <t>Extensión Soporte China Pc</t>
  </si>
  <si>
    <t>GB-731</t>
  </si>
  <si>
    <t>Bolsa de Horas</t>
  </si>
  <si>
    <t>051-152-ICE</t>
  </si>
  <si>
    <t>GESTIÓN DE NUEVOS REQUERIMIENTOS PARA ICE</t>
  </si>
  <si>
    <t>GB-733</t>
  </si>
  <si>
    <t>Actividades para carga masiva IBERIA</t>
  </si>
  <si>
    <t>GB-734</t>
  </si>
  <si>
    <t>Comisión Pesito y Pedido HH</t>
  </si>
  <si>
    <t>GB-737</t>
  </si>
  <si>
    <t>Mantenimiento al cambiador de codigo de agencia para ecuador</t>
  </si>
  <si>
    <t>GB-740</t>
  </si>
  <si>
    <t>Actividades ORACLE R-12 Brasil</t>
  </si>
  <si>
    <t>GB-738</t>
  </si>
  <si>
    <t>UAT Brasil</t>
  </si>
  <si>
    <t>GB-739</t>
  </si>
  <si>
    <t>UAT Iberia</t>
  </si>
  <si>
    <t>151-158-O.N.GRL</t>
  </si>
  <si>
    <t>Actividades asociadas a Nuevas Oportunidades de Negocio (GENERAL)</t>
  </si>
  <si>
    <t>CO.INEE.001</t>
  </si>
  <si>
    <t>Proyecto GRP SOIN INEE</t>
  </si>
  <si>
    <t>024-152-DGAC</t>
  </si>
  <si>
    <t>GESTION DE NUEVOS REQUERIMIENTOS - DGAC</t>
  </si>
  <si>
    <t>225-154-BTC</t>
  </si>
  <si>
    <t>Gestión de Servicio al Cliente (AMPARADO A CONTRATO) - BTICINO</t>
  </si>
  <si>
    <t>GB-744</t>
  </si>
  <si>
    <t>Mapeo de datos para datawarehouse</t>
  </si>
  <si>
    <t>GB-749</t>
  </si>
  <si>
    <t>Reclasificación de diferencias NC por redondeo de milésimas</t>
  </si>
  <si>
    <t>GB-748</t>
  </si>
  <si>
    <t>GB-748 Activación de Modulo Dotaciones Iberia</t>
  </si>
  <si>
    <t>871-154-CTP</t>
  </si>
  <si>
    <t>Gestión de Servicio al Cliente (AMPARADO A CONTRATO ) - CTP</t>
  </si>
  <si>
    <t>GB-750</t>
  </si>
  <si>
    <t>Extensión Soporte UAT Brasil</t>
  </si>
  <si>
    <t>GB-751</t>
  </si>
  <si>
    <t>Extensión  Actividades para carga masiva IBERIA</t>
  </si>
  <si>
    <t>GB-747</t>
  </si>
  <si>
    <t>Extensión Actividades ORACLE R-12 Brasil</t>
  </si>
  <si>
    <t>GB-752</t>
  </si>
  <si>
    <t>Cálculo de comisiones Colombia</t>
  </si>
  <si>
    <t>170-MID-INFRA</t>
  </si>
  <si>
    <t>Tareas Área de Middleware e Infraestructura</t>
  </si>
  <si>
    <t>151-SOPORTE</t>
  </si>
  <si>
    <t>Actividades Área de Soporte e infraestrcutura</t>
  </si>
  <si>
    <t>051-INF-MD</t>
  </si>
  <si>
    <t>051-INF-INTEG</t>
  </si>
  <si>
    <t>151-NF-MD</t>
  </si>
  <si>
    <t>ACTIVIDADES DEL EQUIPO DE MIDDLEWARE - NO FACTURABLES</t>
  </si>
  <si>
    <t>GB-746</t>
  </si>
  <si>
    <t>Extensión Comisión Pesito y Crédito HH Rollout Mexico</t>
  </si>
  <si>
    <t>GB-753</t>
  </si>
  <si>
    <t>Migración China 4419</t>
  </si>
  <si>
    <t>ICE.NF.SO.CA</t>
  </si>
  <si>
    <t>Actividades asociadas a Sostenibilidad Contratación Adicional no Facturabl</t>
  </si>
  <si>
    <t>151-157-ERPNUB</t>
  </si>
  <si>
    <t>Implememtación del ERP en la Nube</t>
  </si>
  <si>
    <t>151-157-APPERP</t>
  </si>
  <si>
    <t xml:space="preserve"> Implementación del Proyecto App _x0013_ ERP</t>
  </si>
  <si>
    <t>151-157-ERP CC</t>
  </si>
  <si>
    <t>Implementación Control de Costos</t>
  </si>
  <si>
    <t>151-157-ASO ERP</t>
  </si>
  <si>
    <t>Implementación Asociación.-ERP</t>
  </si>
  <si>
    <t>151-157-SSF</t>
  </si>
  <si>
    <t>SOIN Service Framework (SSF)</t>
  </si>
  <si>
    <t>151-157-GPS</t>
  </si>
  <si>
    <t>Implementación GPS vehicular</t>
  </si>
  <si>
    <t>151-157-RV</t>
  </si>
  <si>
    <t>Implementación Restricción  vehicular</t>
  </si>
  <si>
    <t>ICE.SO.GNR.CA</t>
  </si>
  <si>
    <t>Gestion de nuevos requerimiento Sostenibilidad ICE - CONTRATACIÓN ADICIONAL</t>
  </si>
  <si>
    <t>GB-755</t>
  </si>
  <si>
    <t>DRN IBERIA PC</t>
  </si>
  <si>
    <t>GB-757</t>
  </si>
  <si>
    <t>DRN Modulo de Frio Las / Lac</t>
  </si>
  <si>
    <t>GB-754</t>
  </si>
  <si>
    <t>GB-754 Integración de Ramas Las Lac / Mexico / Iberia.</t>
  </si>
  <si>
    <t>GB-758</t>
  </si>
  <si>
    <t>Extensión Soporte Bolsa de Horas rama Iberia</t>
  </si>
  <si>
    <t>600-162-FUNDATE</t>
  </si>
  <si>
    <t>Proyecto de Versionamiento - FUNDATEC</t>
  </si>
  <si>
    <t>GB-761</t>
  </si>
  <si>
    <t>SOPORTE ROLLOUT LIBRETA DE RUTA</t>
  </si>
  <si>
    <t>GB-762</t>
  </si>
  <si>
    <t>Requerimientos Prioridad Cero</t>
  </si>
  <si>
    <t>GB-763</t>
  </si>
  <si>
    <t>Marina y Libreta de ruta 2</t>
  </si>
  <si>
    <t>096-152-RPSA</t>
  </si>
  <si>
    <t>GESTIÓN DE NUEVOS REQUERIMIENTOS - RICARDO PEREZ</t>
  </si>
  <si>
    <t>GB-766</t>
  </si>
  <si>
    <t>Horas Soporte LAS LAC</t>
  </si>
  <si>
    <t>GB-759</t>
  </si>
  <si>
    <t>Base para Descuentos DF en HH-PC-CIE</t>
  </si>
  <si>
    <t>GB-764</t>
  </si>
  <si>
    <t>Desarrollo Interfaces Oracle R-12 Brasil</t>
  </si>
  <si>
    <t>GB-765</t>
  </si>
  <si>
    <t>Integración LAS LAC -México</t>
  </si>
  <si>
    <t>GB-767</t>
  </si>
  <si>
    <t>Requerimientos Prioridad 0.5</t>
  </si>
  <si>
    <t>GB-769</t>
  </si>
  <si>
    <t>Cruce de Anden</t>
  </si>
  <si>
    <t>GB-770</t>
  </si>
  <si>
    <t>Mapeo para Data Lakes CAN</t>
  </si>
  <si>
    <t>GB-768</t>
  </si>
  <si>
    <t>Requerimiento Prioridad 1</t>
  </si>
  <si>
    <t>151-161-N.PROY</t>
  </si>
  <si>
    <t>Actividades asociadas a Proyectos diversos</t>
  </si>
  <si>
    <t>GB-774</t>
  </si>
  <si>
    <t>Requerimiento Venezuela Barquisimeto</t>
  </si>
  <si>
    <t>GB-777</t>
  </si>
  <si>
    <t>Interfaces AR y AP para CIE</t>
  </si>
  <si>
    <t>GB-778</t>
  </si>
  <si>
    <t>Descuentos Comerciales Venezuela</t>
  </si>
  <si>
    <t>GB-773</t>
  </si>
  <si>
    <t>Cargas Iniciales Iberia</t>
  </si>
  <si>
    <t>GB-775</t>
  </si>
  <si>
    <t>Reporte Hacienda Portuguesa</t>
  </si>
  <si>
    <t>GB-776</t>
  </si>
  <si>
    <t>Pedidos y Predidos Iberia</t>
  </si>
  <si>
    <t>GB-781</t>
  </si>
  <si>
    <t>Soporte China 2016</t>
  </si>
  <si>
    <t>GB-780</t>
  </si>
  <si>
    <t>Pedidos MFP Venezuela</t>
  </si>
  <si>
    <t>GB-783</t>
  </si>
  <si>
    <t>GB-783 Soporte Generación Carga Inicial para nuevas BDS</t>
  </si>
  <si>
    <t>158-154-GN</t>
  </si>
  <si>
    <t>Gestión de Servicio al cliente (AMPARADO A CONTRATO) - Grupo Nación</t>
  </si>
  <si>
    <t>056-152-TEC</t>
  </si>
  <si>
    <t>GESTIÓN DE NUEVOS REQUERIMIENTOS PARA EL TEC</t>
  </si>
  <si>
    <t>CO.ECO.001</t>
  </si>
  <si>
    <t>PROYECTO ECONOMIK  SOIN SIF</t>
  </si>
  <si>
    <t>GB-779</t>
  </si>
  <si>
    <t>Traspasos de Saldos Venezuela</t>
  </si>
  <si>
    <t>GB-784</t>
  </si>
  <si>
    <t>Traspasos de Saldos Venezuela Fase II</t>
  </si>
  <si>
    <t>CO.HB.001</t>
  </si>
  <si>
    <t>House Banking</t>
  </si>
  <si>
    <t>180-RETR-BI</t>
  </si>
  <si>
    <t>Retrabajos del equipo de BI</t>
  </si>
  <si>
    <t>BI-051-180-ICE</t>
  </si>
  <si>
    <t>Retrabajos de BI para el ICE</t>
  </si>
  <si>
    <t>179-CAP-BI</t>
  </si>
  <si>
    <t>Capacitación impartidas por el  Área  de  BI</t>
  </si>
  <si>
    <t>178-ADM-BI</t>
  </si>
  <si>
    <t>Tareas Administrativas y Gerenciales del equipo de BI</t>
  </si>
  <si>
    <t>177-GEST-SER-BI</t>
  </si>
  <si>
    <t>BI-151-176-NF</t>
  </si>
  <si>
    <t>Servicios no Facturables del equipo de BI</t>
  </si>
  <si>
    <t>BI-151-178-GNR</t>
  </si>
  <si>
    <t>Actividades administrativas y Gerenciales del Equipo de BI</t>
  </si>
  <si>
    <t>BI-011-180-BCR</t>
  </si>
  <si>
    <t>Retrabajos de BI para el BCR</t>
  </si>
  <si>
    <t>BI-011-177-BCR</t>
  </si>
  <si>
    <t>Gestión de Servicio al cliente (Soporte) - BCR</t>
  </si>
  <si>
    <t>BI-051-177-ICE</t>
  </si>
  <si>
    <t>Gestión de Servicio al cliente (Soporte) - ICE</t>
  </si>
  <si>
    <t>304-152-COOPL</t>
  </si>
  <si>
    <t>GESTIÓN DE NUEVOS REQUERIMIENTOS - COOPELESCA</t>
  </si>
  <si>
    <t>BI-011-175-BCR</t>
  </si>
  <si>
    <t>Mantenimiento Evolutivo de Solución de BO</t>
  </si>
  <si>
    <t>BI-051-175-ICE</t>
  </si>
  <si>
    <t>Proyecto de Inteligencia de Negocios - INFOCLICK</t>
  </si>
  <si>
    <t>218-152-S911</t>
  </si>
  <si>
    <t>GESTION DE NUEVOS REQUERIMIENTOS PARA EL SERVICIO 911</t>
  </si>
  <si>
    <t>GB-785</t>
  </si>
  <si>
    <t>Numeros de control y Folios en FC-NC Venezuela</t>
  </si>
  <si>
    <t>GB-787</t>
  </si>
  <si>
    <t>Extensión de cargas iniciales Iberia</t>
  </si>
  <si>
    <t>GB-788</t>
  </si>
  <si>
    <t>Depuración de productos DEPMAS PC</t>
  </si>
  <si>
    <t>GB-796</t>
  </si>
  <si>
    <t>Cambio del IVA del 12 al 14 Ecuador</t>
  </si>
  <si>
    <t>GB-792</t>
  </si>
  <si>
    <t>Extension Niveles Base para Descuentos Junio 2016</t>
  </si>
  <si>
    <t>GB-790</t>
  </si>
  <si>
    <t>Distribuidores Argentina</t>
  </si>
  <si>
    <t>GB-795</t>
  </si>
  <si>
    <t>Modificacion Consulta Cambio de Precios</t>
  </si>
  <si>
    <t>175-PRY-EJEC-BI</t>
  </si>
  <si>
    <t>Proyectos en ejecución BI</t>
  </si>
  <si>
    <t>Retrabajos</t>
  </si>
  <si>
    <t>051-190-ICEFS</t>
  </si>
  <si>
    <t>Implementación de Solución - FITOSANITARIO</t>
  </si>
  <si>
    <t>095-191-CEMP</t>
  </si>
  <si>
    <t>Gestión de Servicio al Cliente Interp- NFC - CrearEmpresa</t>
  </si>
  <si>
    <t>095-192-RGT</t>
  </si>
  <si>
    <t>901-154-KFC</t>
  </si>
  <si>
    <t>Gestion de  Servicio al Cliente (AMPARADO A CONTRATO) - KFC</t>
  </si>
  <si>
    <t>095-190-RGT</t>
  </si>
  <si>
    <t>Implementación de Solución - REGISTRELO</t>
  </si>
  <si>
    <t>095-190-RNP</t>
  </si>
  <si>
    <t>Implementación de Solución - RNP FACIL</t>
  </si>
  <si>
    <t>151-190-PTI</t>
  </si>
  <si>
    <t>Implementación de Solución - TRAMITOLOGIA</t>
  </si>
  <si>
    <t>095-190-CEMP</t>
  </si>
  <si>
    <t>Implementación de Solución - CREAR EMPRESA</t>
  </si>
  <si>
    <t>GB-797</t>
  </si>
  <si>
    <t>Codigo de Producto del Cliente Iberia</t>
  </si>
  <si>
    <t>GB-798</t>
  </si>
  <si>
    <t>Modificacion Factura Autovend Guatemala</t>
  </si>
  <si>
    <t>GB-799</t>
  </si>
  <si>
    <t>Paquete 1 Modificaciones CIE</t>
  </si>
  <si>
    <t>GB-800</t>
  </si>
  <si>
    <t>Paquete 1 Nuevos Requerimientos IBERIA</t>
  </si>
  <si>
    <t>GB-801</t>
  </si>
  <si>
    <t>GL_CIE NUEVOS AJUSTES POLIZA IBERIA</t>
  </si>
  <si>
    <t>GB-802</t>
  </si>
  <si>
    <t>POM Ajuste función día venta</t>
  </si>
  <si>
    <t>GB-803</t>
  </si>
  <si>
    <t>Plataforma Comercial Iberia CRs Estimaciones</t>
  </si>
  <si>
    <t>GB-804</t>
  </si>
  <si>
    <t>POM Homologación de Archivos Iberia</t>
  </si>
  <si>
    <t>151-196-PREV</t>
  </si>
  <si>
    <t>Actividades asociadas a Preventa - interoperabilidad</t>
  </si>
  <si>
    <t>151-195-ADGER</t>
  </si>
  <si>
    <t>151-194-CAPC</t>
  </si>
  <si>
    <t>Actividades asociadas a Capacitaciones - Interoperabilidad</t>
  </si>
  <si>
    <t>051-190-MKT</t>
  </si>
  <si>
    <t>Aplicativo de Control Coomarketing - División de mercadeo ICE</t>
  </si>
  <si>
    <t>GB-805</t>
  </si>
  <si>
    <t xml:space="preserve"> Replica Portafolio Productos</t>
  </si>
  <si>
    <t>GB-806</t>
  </si>
  <si>
    <t>Replica de Descuentos Confidenciales.</t>
  </si>
  <si>
    <t>CMMI</t>
  </si>
  <si>
    <t>Integra Dev ML3</t>
  </si>
  <si>
    <t>BI-734-175-DV</t>
  </si>
  <si>
    <t>Proyecto de Inteligencia de Negocios - DAVIVIENDA</t>
  </si>
  <si>
    <t>095-191-RNP</t>
  </si>
  <si>
    <t>Gestión de Servicio al cliente  Interop - NFC - RNPFacil</t>
  </si>
  <si>
    <t>871-156-CTP F3</t>
  </si>
  <si>
    <t>Consejo de Transporte Público - FASE 3</t>
  </si>
  <si>
    <t>GB-808</t>
  </si>
  <si>
    <t>Generacion de Base de PC y Fabrica, Soporte UAT_Piloto Argentina</t>
  </si>
  <si>
    <t>GB-807</t>
  </si>
  <si>
    <t xml:space="preserve"> Integración de desarrollo Canadá a rama integración México</t>
  </si>
  <si>
    <t>GB Interno</t>
  </si>
  <si>
    <t>Recepción Apps Baufest</t>
  </si>
  <si>
    <t>151-RRHH</t>
  </si>
  <si>
    <t>Actividades asociadas a Recursos Humanos</t>
  </si>
  <si>
    <t>GB-809</t>
  </si>
  <si>
    <t>Días para cambio de precio Colombia</t>
  </si>
  <si>
    <t>GB-810</t>
  </si>
  <si>
    <t>Comisiones colombia</t>
  </si>
  <si>
    <t>GB-811</t>
  </si>
  <si>
    <t>Integracion China a ALL LAC LAS</t>
  </si>
  <si>
    <t>GB-791</t>
  </si>
  <si>
    <t>Soporte a Iberia QA y UAT 2016 LL</t>
  </si>
  <si>
    <t>GB-812</t>
  </si>
  <si>
    <t>Remisiones para Barquisimeto</t>
  </si>
  <si>
    <t>GB-813</t>
  </si>
  <si>
    <t>Calculo de Venta Promedio Para Pedidos y Prepedidos Iberia Iberia</t>
  </si>
  <si>
    <t>GB-814</t>
  </si>
  <si>
    <t>Análisis performance de SPA para pedido Sugerido</t>
  </si>
  <si>
    <t>GB-816</t>
  </si>
  <si>
    <t>Extensión de Código de producto del Cliente Iberia</t>
  </si>
  <si>
    <t>GB-817</t>
  </si>
  <si>
    <t>Descarga de Documentos y Logs Colombia</t>
  </si>
  <si>
    <t>GB-819</t>
  </si>
  <si>
    <t>AJUSTES INTERFAZ OCOSIA</t>
  </si>
  <si>
    <t>GB-820</t>
  </si>
  <si>
    <t>CUC México-Estimación</t>
  </si>
  <si>
    <t>GB-821</t>
  </si>
  <si>
    <t>RMA Ajuste Pedidos Terceros</t>
  </si>
  <si>
    <t>GB-822</t>
  </si>
  <si>
    <t xml:space="preserve"> Modificación a la tabla  UPC ITEM cruce de anden México</t>
  </si>
  <si>
    <t>GB-823</t>
  </si>
  <si>
    <t>CREACIÓN DE BASES DE DATOS NUEVAS PARA LAS LAC</t>
  </si>
  <si>
    <t>GB-824</t>
  </si>
  <si>
    <t xml:space="preserve"> Soporte al validador de saldos PC Argentina</t>
  </si>
  <si>
    <t>095-156-CENCI</t>
  </si>
  <si>
    <t>Proyecto de Implementación de SIF y SAPIENS -CENCINAI</t>
  </si>
  <si>
    <t>GB-827</t>
  </si>
  <si>
    <t>Manejo de Errores en Marina</t>
  </si>
  <si>
    <t>GB-829</t>
  </si>
  <si>
    <t>GB-829 Descuentos confidenciales en Documentos</t>
  </si>
  <si>
    <t>GB-826</t>
  </si>
  <si>
    <t>INTEGRACIÓN VERSIÓN 2.7.3 SOPORTE ISAF</t>
  </si>
  <si>
    <t>900-162-BNV</t>
  </si>
  <si>
    <t>Actualización de Versión SAPIENS V 6  y  CF 11 BNVital</t>
  </si>
  <si>
    <t>GB-830</t>
  </si>
  <si>
    <t>Soporte assessment Iberia panrico</t>
  </si>
  <si>
    <t>GB-828</t>
  </si>
  <si>
    <t>Operación 365</t>
  </si>
  <si>
    <t>GB-831</t>
  </si>
  <si>
    <t xml:space="preserve"> LOGGING en BD</t>
  </si>
  <si>
    <t>GB-818</t>
  </si>
  <si>
    <t xml:space="preserve"> Extensión Prioridad 1</t>
  </si>
  <si>
    <t>889-154-QSR</t>
  </si>
  <si>
    <t>Gestión de Servicio al Cliente (AMPARADO A CONTRATO) - QSR</t>
  </si>
  <si>
    <t>313-152-PM</t>
  </si>
  <si>
    <t>GESTION DE NUEVOS REQUERIMIENTOS - PURDY MOTORS</t>
  </si>
  <si>
    <t>GB-786</t>
  </si>
  <si>
    <t xml:space="preserve"> Instalador Plataforma</t>
  </si>
  <si>
    <t>CO.PMI.012</t>
  </si>
  <si>
    <t>MIGRACION SOIN V7</t>
  </si>
  <si>
    <t>095-190-RDIG</t>
  </si>
  <si>
    <t>Proyecto de Implementación - Receta Digital</t>
  </si>
  <si>
    <t>GB-834</t>
  </si>
  <si>
    <t>Recurso Staff para QA</t>
  </si>
  <si>
    <t>GB-825</t>
  </si>
  <si>
    <t>Soporte a Autoupdate  Integral Vending Mexico PC</t>
  </si>
  <si>
    <t>GB-839</t>
  </si>
  <si>
    <t xml:space="preserve"> Hacienda portuguesa</t>
  </si>
  <si>
    <t>GB-840</t>
  </si>
  <si>
    <t>Conciliación Plataforma comercial 2</t>
  </si>
  <si>
    <t>GB-842</t>
  </si>
  <si>
    <t xml:space="preserve"> Ajustes a un día en HH</t>
  </si>
  <si>
    <t>GB-841</t>
  </si>
  <si>
    <t>Liquidación de comisiones con clientes de Plataforma Éxito</t>
  </si>
  <si>
    <t>CO.PMI.013</t>
  </si>
  <si>
    <t>PROYECTO REESTRUCTURA PMI</t>
  </si>
  <si>
    <t>GB-843</t>
  </si>
  <si>
    <t>Ballpark Drns Argentina</t>
  </si>
  <si>
    <t>GB-844</t>
  </si>
  <si>
    <t>ALTA DE CLIENTES  DE CONTADO DESDE EL TERMINAL HHC</t>
  </si>
  <si>
    <t>GB-845</t>
  </si>
  <si>
    <t>ASIGNACIÓN E ITINERACIÓN DE CLIENTES A RUTA DESDE CUC</t>
  </si>
  <si>
    <t>GB-846</t>
  </si>
  <si>
    <t>Nuevos productos para Colombia</t>
  </si>
  <si>
    <t>GB-836</t>
  </si>
  <si>
    <t>Cambios Modulo de Frío LAC</t>
  </si>
  <si>
    <t>151-156-TAPP</t>
  </si>
  <si>
    <t>Proyecto en ejecución - Servicios Móviles TAPP</t>
  </si>
  <si>
    <t>151-162-SOIN</t>
  </si>
  <si>
    <t>Proyecto de Versionamiento - ERP de caja</t>
  </si>
  <si>
    <t>GB-847</t>
  </si>
  <si>
    <t>Donuts Iberia</t>
  </si>
  <si>
    <t>GB-849</t>
  </si>
  <si>
    <t>Interfaz Pol</t>
  </si>
  <si>
    <t>GB-850</t>
  </si>
  <si>
    <t>Interfaz Mcdonalds MB</t>
  </si>
  <si>
    <t>GB-851</t>
  </si>
  <si>
    <t xml:space="preserve"> Extensión para certificación de rama PC Global</t>
  </si>
  <si>
    <t>GB-837</t>
  </si>
  <si>
    <t>Soporte China MiniCEVES</t>
  </si>
  <si>
    <t>GB-848</t>
  </si>
  <si>
    <t>Soporte base de datos de Chile</t>
  </si>
  <si>
    <t>GB-854</t>
  </si>
  <si>
    <t xml:space="preserve"> Soporte Ceves Virtuales Mexico</t>
  </si>
  <si>
    <t>GB-852</t>
  </si>
  <si>
    <t xml:space="preserve"> Extension Comisiones Colombia</t>
  </si>
  <si>
    <t>GB-855</t>
  </si>
  <si>
    <t xml:space="preserve"> Integración de  México a PC global</t>
  </si>
  <si>
    <t>GB-856</t>
  </si>
  <si>
    <t>Soporte al validador de saldos PC Perú y Chile</t>
  </si>
  <si>
    <t>GB-857</t>
  </si>
  <si>
    <t xml:space="preserve"> Extensión Soporte a Autoupdate  Integral Vending</t>
  </si>
  <si>
    <t>Gestión de Servicios al Cliente (AMPARADO A CONTRATO) - BNVital</t>
  </si>
  <si>
    <t>057-154-IICA</t>
  </si>
  <si>
    <t>600-154-FUNDATE</t>
  </si>
  <si>
    <t>Gestión de Servicios al Cliente (AMPARADO A CONTRATO) - FUNDATEC</t>
  </si>
  <si>
    <t>BI-734-177-DV</t>
  </si>
  <si>
    <t>Gestión de Servicio al cliente (Soporte) - DAVIVIENDA</t>
  </si>
  <si>
    <t>GB-859</t>
  </si>
  <si>
    <t>Mapeo de Interfaces ISE/ISPLI/E-MIND</t>
  </si>
  <si>
    <t>051-CONV-ICE</t>
  </si>
  <si>
    <t>SOLUCIÓN COBRO EN LINEA CONVERGENTE</t>
  </si>
  <si>
    <t>GB-862</t>
  </si>
  <si>
    <t>Traduccion Aplicaciones Web a Frances</t>
  </si>
  <si>
    <t>GB-858</t>
  </si>
  <si>
    <t xml:space="preserve"> Normalización y Geocercas de Venta y verificación</t>
  </si>
  <si>
    <t>GB-860</t>
  </si>
  <si>
    <t>Extensión Operación 365</t>
  </si>
  <si>
    <t>GB-861</t>
  </si>
  <si>
    <t>Distribuidores Argentina CR</t>
  </si>
  <si>
    <t>GB-863</t>
  </si>
  <si>
    <t xml:space="preserve"> CR Cálculo de Compensaciones</t>
  </si>
  <si>
    <t>151-196-ANAGOLF</t>
  </si>
  <si>
    <t>151-196-CONDIG</t>
  </si>
  <si>
    <t>Dispositivos OBD</t>
  </si>
  <si>
    <t>151-196-INSTRAN</t>
  </si>
  <si>
    <t>Plataforma Comercio Electrónico</t>
  </si>
  <si>
    <t>GB-864</t>
  </si>
  <si>
    <t>Envío Archivos ISE (Pedido Meta) en día descanso de la fábrica</t>
  </si>
  <si>
    <t>GB-865</t>
  </si>
  <si>
    <t xml:space="preserve"> Extensión Operación 365 Enero</t>
  </si>
  <si>
    <t>GB-867</t>
  </si>
  <si>
    <t>Comisiones Colombia 2017</t>
  </si>
  <si>
    <t>BI-151-196-PREV</t>
  </si>
  <si>
    <t>Actividades asociadas a Preventa - BI</t>
  </si>
  <si>
    <t>243-152-COOPSER</t>
  </si>
  <si>
    <t>GESTIÓN DE NUEVOS REQUERIMIENTOS PARA COOPESERVIDORES</t>
  </si>
  <si>
    <t>200-SALUD</t>
  </si>
  <si>
    <t>Actividades Generales/SA</t>
  </si>
  <si>
    <t>203-SALUD</t>
  </si>
  <si>
    <t>Requerimientos de eSalud</t>
  </si>
  <si>
    <t>579-202-APPM</t>
  </si>
  <si>
    <t>PROYECTO DE SOLUCIONES MOVILES CCSS</t>
  </si>
  <si>
    <t>205-SALUD</t>
  </si>
  <si>
    <t>Dirección y Administración</t>
  </si>
  <si>
    <t>201 -SALUD</t>
  </si>
  <si>
    <t>Desarrollo de Negocios</t>
  </si>
  <si>
    <t>579-201-APPM</t>
  </si>
  <si>
    <t>CONTRATO  DE SOLUCIONES MOVILES (NEGOCIO  SOPORTE Y DIRECCIÓN)</t>
  </si>
  <si>
    <t>204-SALUD</t>
  </si>
  <si>
    <t>Soporte y Reprocesos</t>
  </si>
  <si>
    <t>579-200-SALUD</t>
  </si>
  <si>
    <t>ACTIVIDADES GENERALES ASOCIADAS A OPORTUNIDADES DEL SECTOR SALUD</t>
  </si>
  <si>
    <t>GB-873</t>
  </si>
  <si>
    <t>Amarres de Ingresos</t>
  </si>
  <si>
    <t>GB-874</t>
  </si>
  <si>
    <t>Extensión 2 Integral Vending</t>
  </si>
  <si>
    <t>GB-875</t>
  </si>
  <si>
    <t>Integración de  México a PC global</t>
  </si>
  <si>
    <t>GB-866</t>
  </si>
  <si>
    <t>GB-866 Cambios de nota de devolución cliente</t>
  </si>
  <si>
    <t>GB-868</t>
  </si>
  <si>
    <t xml:space="preserve"> Consulta de Estatus NF</t>
  </si>
  <si>
    <t>GB-869</t>
  </si>
  <si>
    <t>Estimación Zona Franca de Manaus NF y XML</t>
  </si>
  <si>
    <t>151-156-QCOM</t>
  </si>
  <si>
    <t>Proyecto en ejecución -  Qué Comemos</t>
  </si>
  <si>
    <t>GB-872</t>
  </si>
  <si>
    <t xml:space="preserve"> AR Invoices Fase 2</t>
  </si>
  <si>
    <t>GB-877</t>
  </si>
  <si>
    <t>Asignación de Donuts</t>
  </si>
  <si>
    <t>GB-880</t>
  </si>
  <si>
    <t>App POC</t>
  </si>
  <si>
    <t>GB-881</t>
  </si>
  <si>
    <t>Administrador de Proyectos</t>
  </si>
  <si>
    <t>GB-879</t>
  </si>
  <si>
    <t xml:space="preserve"> Extensión Operación 365 Febrero</t>
  </si>
  <si>
    <t>GB-883</t>
  </si>
  <si>
    <t>Integral Vending</t>
  </si>
  <si>
    <t>151-196-LABS</t>
  </si>
  <si>
    <t>Actividades Asociadas a TedX</t>
  </si>
  <si>
    <t>GB-882</t>
  </si>
  <si>
    <t>Facturación por Sociedad</t>
  </si>
  <si>
    <t>GB-878</t>
  </si>
  <si>
    <t>Mapeo de reportes del Centro de Análisis de Negocio (CAN) Brasil</t>
  </si>
  <si>
    <t>GB-884</t>
  </si>
  <si>
    <t>Distribuidores Argentina Carga MFP</t>
  </si>
  <si>
    <t>210-DISP-INTEL</t>
  </si>
  <si>
    <t>Dispositivos inteligentes</t>
  </si>
  <si>
    <t>151-210-DI</t>
  </si>
  <si>
    <t>Actividades asociadas Dispositivos Inteligentes</t>
  </si>
  <si>
    <t>GB-870</t>
  </si>
  <si>
    <t>CRS- Donuts Iberia</t>
  </si>
  <si>
    <t>GB-886</t>
  </si>
  <si>
    <t>Base Única Soporte SOA (Canadá y LAS LAC)</t>
  </si>
  <si>
    <t>GB-887</t>
  </si>
  <si>
    <t>Estructura Contable</t>
  </si>
  <si>
    <t>GB-885</t>
  </si>
  <si>
    <t>Pedido en piezas Honduras</t>
  </si>
  <si>
    <t>GB-876</t>
  </si>
  <si>
    <t>Replica de identificadores de Clientes Neogrid</t>
  </si>
  <si>
    <t>TDO_SIF_001_17</t>
  </si>
  <si>
    <t>Implementacion SOIN SIF</t>
  </si>
  <si>
    <t>GB-890</t>
  </si>
  <si>
    <t>Detalle de facturas en ISPLI</t>
  </si>
  <si>
    <t>GB-891</t>
  </si>
  <si>
    <t xml:space="preserve"> Conversión Datos Iberia</t>
  </si>
  <si>
    <t>GB-894</t>
  </si>
  <si>
    <t xml:space="preserve"> Envío Póliza Oracle Facturación por sociedad.</t>
  </si>
  <si>
    <t>GB-893</t>
  </si>
  <si>
    <t>Interbloqueos Costa Rica</t>
  </si>
  <si>
    <t>GB-897</t>
  </si>
  <si>
    <t>Errores en tableros Honduras</t>
  </si>
  <si>
    <t>GB-888</t>
  </si>
  <si>
    <t>Bloque K Sobrantes y Faltantes</t>
  </si>
  <si>
    <t>GB-899</t>
  </si>
  <si>
    <t>Pantalla de liquidaciones</t>
  </si>
  <si>
    <t>GB-898</t>
  </si>
  <si>
    <t>Iberia Interfaz Voxel</t>
  </si>
  <si>
    <t>GB-900</t>
  </si>
  <si>
    <t>Pedido EDI con EAN Duplicado.</t>
  </si>
  <si>
    <t>GB-901</t>
  </si>
  <si>
    <t>Calculo de Carga Maxima Modo Dotaciónes</t>
  </si>
  <si>
    <t>GB-902</t>
  </si>
  <si>
    <t>Definicion para trabajo en descanso</t>
  </si>
  <si>
    <t>GB-903</t>
  </si>
  <si>
    <t>CR AJUSTE ENVIO EXISTENCIA DISPONIBLE  PESTAÑA (DESCANSO FABRICA)</t>
  </si>
  <si>
    <t>GB-904</t>
  </si>
  <si>
    <t>Cálculo de Comisiones Ayudante</t>
  </si>
  <si>
    <t>272-152-CEFA</t>
  </si>
  <si>
    <t>GESTIÓN DE NUEVOS REQUERIMIENTOS PARA CEFA</t>
  </si>
  <si>
    <t>ICE.SO.GNR.NC</t>
  </si>
  <si>
    <t>Gestion de nuevos Requerimientos  Sostenibilidad ICE - NUEVA CONTRATACION</t>
  </si>
  <si>
    <t>GB-906</t>
  </si>
  <si>
    <t>Perú Multilenguaje en liquidación</t>
  </si>
  <si>
    <t>GB-907</t>
  </si>
  <si>
    <t xml:space="preserve"> Folios Automaticos Letras de Facturación por Ruta</t>
  </si>
  <si>
    <t>GB-908</t>
  </si>
  <si>
    <t>México Integración de Integral Vending a la rama 2.9.0</t>
  </si>
  <si>
    <t>GB-910</t>
  </si>
  <si>
    <t>Interfaces ISPLI</t>
  </si>
  <si>
    <t>GB-911</t>
  </si>
  <si>
    <t>Brasil  Pantalla de Contingencia XML</t>
  </si>
  <si>
    <t>GB-912</t>
  </si>
  <si>
    <t>Mexico Libro de Comisiones Orden de aparición</t>
  </si>
  <si>
    <t>GB-913</t>
  </si>
  <si>
    <t>Extensión Depuración DEPMAS</t>
  </si>
  <si>
    <t>GB-905</t>
  </si>
  <si>
    <t xml:space="preserve"> Iberia Libreta Ruta CR AGT005</t>
  </si>
  <si>
    <t>GB-914</t>
  </si>
  <si>
    <t xml:space="preserve"> Ampliación de campo de Código de Producto</t>
  </si>
  <si>
    <t>ICE.SO.PMO.NC</t>
  </si>
  <si>
    <t>Gestión de Proyectos Sostenibilidad ICE  - NC</t>
  </si>
  <si>
    <t>ICE.SO.GI.NC</t>
  </si>
  <si>
    <t>Gestión de Incidencias Sostenibilidad ICE - NC</t>
  </si>
  <si>
    <t>ICE.SO.GC.NC</t>
  </si>
  <si>
    <t>Gestión de la Calidad Sostenibilidad ICE - NC</t>
  </si>
  <si>
    <t>ICE.SO.SO.NC</t>
  </si>
  <si>
    <t>Soporte a la Operación Sostenibilidad ICE - NC</t>
  </si>
  <si>
    <t>GB-915</t>
  </si>
  <si>
    <t xml:space="preserve"> Brasil Extensión UAT</t>
  </si>
  <si>
    <t>GB-896</t>
  </si>
  <si>
    <t>Integración de CR's Brasil</t>
  </si>
  <si>
    <t>GB-921</t>
  </si>
  <si>
    <t xml:space="preserve"> Fiscal lay-out 370</t>
  </si>
  <si>
    <t>GB-916</t>
  </si>
  <si>
    <t>Marruecos Soporte CUC</t>
  </si>
  <si>
    <t>GB-917</t>
  </si>
  <si>
    <t xml:space="preserve"> Pantalla para pie de pagina en pagare</t>
  </si>
  <si>
    <t>GB-918</t>
  </si>
  <si>
    <t xml:space="preserve"> México Apoyo UAT</t>
  </si>
  <si>
    <t>GB-895</t>
  </si>
  <si>
    <t xml:space="preserve"> ENVIÓ DE PEDIDO Y DISTRIBUCIÓN DE RUTAS ADELANTADAS</t>
  </si>
  <si>
    <t>GB-909</t>
  </si>
  <si>
    <t xml:space="preserve"> México Cierre de pedido validacion ajuste</t>
  </si>
  <si>
    <t>GB-919</t>
  </si>
  <si>
    <t>Apoyo piloto</t>
  </si>
  <si>
    <t>GB-922</t>
  </si>
  <si>
    <t>Brasil Extensión UAT Remoto</t>
  </si>
  <si>
    <t>ICE.NF.SO.NC</t>
  </si>
  <si>
    <t>Actividades asociadas a Sostenibilidad Nueva Contratacion no Facturabl</t>
  </si>
  <si>
    <t>GB-923</t>
  </si>
  <si>
    <t xml:space="preserve"> Mejoras Modelo de Operación PC Colombia</t>
  </si>
  <si>
    <t>GB-892 Calculo</t>
  </si>
  <si>
    <t xml:space="preserve"> Calculo de Precio Bruto</t>
  </si>
  <si>
    <t>095-156-INDER</t>
  </si>
  <si>
    <t>Proyecto de Implementacion - INDER</t>
  </si>
  <si>
    <t>GB-920</t>
  </si>
  <si>
    <t xml:space="preserve"> Mexico Apoyo roll-out</t>
  </si>
  <si>
    <t>GB-924</t>
  </si>
  <si>
    <t>Brasil PM Jr Staffing</t>
  </si>
  <si>
    <t>GB-925</t>
  </si>
  <si>
    <t>Brasil Extensión Interfaces R12</t>
  </si>
  <si>
    <t>GB-926</t>
  </si>
  <si>
    <t>Depuración de Clientes DEPMAS</t>
  </si>
  <si>
    <t>GB-927</t>
  </si>
  <si>
    <t>Colombia APK Devolución Rechazo</t>
  </si>
  <si>
    <t>GB-928</t>
  </si>
  <si>
    <t xml:space="preserve"> Iberia Piloto de Plataforma Comercial en Baleares</t>
  </si>
  <si>
    <t>GB-932</t>
  </si>
  <si>
    <t xml:space="preserve"> Brasil Latin Tax Engine</t>
  </si>
  <si>
    <t>GB-933</t>
  </si>
  <si>
    <t>Extensión UAT</t>
  </si>
  <si>
    <t>GB-934</t>
  </si>
  <si>
    <t>Soporte Iberia Mallorca</t>
  </si>
  <si>
    <t>GB-937</t>
  </si>
  <si>
    <t>Extensión Ampliación Código Producto</t>
  </si>
  <si>
    <t>GB-SOP_GARAN</t>
  </si>
  <si>
    <t>Soporte Garantía</t>
  </si>
  <si>
    <t>DG-151-156-SOIN</t>
  </si>
  <si>
    <t>Actividades Diseño Gráfico</t>
  </si>
  <si>
    <t>CO.APH.014</t>
  </si>
  <si>
    <t>Sapiens Interno</t>
  </si>
  <si>
    <t>GB-931</t>
  </si>
  <si>
    <t>GB-931 Extensión asignación Donuts Iberia-Canarias</t>
  </si>
  <si>
    <t>095-156-ICODER</t>
  </si>
  <si>
    <t>Implementación del ERP - ICODER</t>
  </si>
  <si>
    <t>BI-245-175-FIFC</t>
  </si>
  <si>
    <t>Proyecto de Inteligencia de Negocios - FIFCO</t>
  </si>
  <si>
    <t>GB-954</t>
  </si>
  <si>
    <t>Brasil LTE CR´s</t>
  </si>
  <si>
    <t>GB-CR´S ANEX 20</t>
  </si>
  <si>
    <t>CR´S Anexo 20</t>
  </si>
  <si>
    <t>GB-955</t>
  </si>
  <si>
    <t>Roll-Out CR-365</t>
  </si>
  <si>
    <t>GB-936</t>
  </si>
  <si>
    <t>Check Box FRIO</t>
  </si>
  <si>
    <t>PMI_SIF_003_17</t>
  </si>
  <si>
    <t xml:space="preserve"> PRESUPUESTO 7 EMPRESAS P.M.I</t>
  </si>
  <si>
    <t>BI-151-179-CAP</t>
  </si>
  <si>
    <t>Capacitaciones del Área de BI</t>
  </si>
  <si>
    <t>GB-964</t>
  </si>
  <si>
    <t>Cambios Detectados en Roll-Out 365 CR´S</t>
  </si>
  <si>
    <t>GB-970</t>
  </si>
  <si>
    <t>App de Supervisor</t>
  </si>
  <si>
    <t>GB-965</t>
  </si>
  <si>
    <t>Asignación de código de producto de cliente y excepciones</t>
  </si>
  <si>
    <t>GB-969</t>
  </si>
  <si>
    <t>España Libreta de Ruta</t>
  </si>
  <si>
    <t>GB-971</t>
  </si>
  <si>
    <t>Brasil Extensión Piloto</t>
  </si>
  <si>
    <t>151-196-CLAVEU</t>
  </si>
  <si>
    <t>Proyecto Clave Unica</t>
  </si>
  <si>
    <t>GB-978</t>
  </si>
  <si>
    <t>Estimación pantalla corte de devolución</t>
  </si>
  <si>
    <t>GB-973</t>
  </si>
  <si>
    <t>México UAT Anexo 20 CRS</t>
  </si>
  <si>
    <t>151-PRES-INNOV</t>
  </si>
  <si>
    <t>ACTIVIDADES DE INNOVACIÓN EN LA GESTIÓN EMPRESARIAL</t>
  </si>
  <si>
    <t>GB-980</t>
  </si>
  <si>
    <t>Cambio en AGT004 para libreta de Ruta</t>
  </si>
  <si>
    <t>GB-979</t>
  </si>
  <si>
    <t xml:space="preserve"> Extensión Modificaciones Frío LAC y Soporte Piloto y Roll-Out</t>
  </si>
  <si>
    <t>GB-975</t>
  </si>
  <si>
    <t>Integración de 7 dígitos a Frío</t>
  </si>
  <si>
    <t>GB-987</t>
  </si>
  <si>
    <t>México Extensión UAT Anexo 20 CRS</t>
  </si>
  <si>
    <t>GB-977</t>
  </si>
  <si>
    <t>CR Voxel</t>
  </si>
  <si>
    <t>GB-972</t>
  </si>
  <si>
    <t>Cambios Frío LAC Ecuador</t>
  </si>
  <si>
    <t>GB-993</t>
  </si>
  <si>
    <t>Separar devoluciones MOVEX  SAP</t>
  </si>
  <si>
    <t>GB-967</t>
  </si>
  <si>
    <t>Ampliación Código Producto DSD Colombia</t>
  </si>
  <si>
    <t>GB-1001</t>
  </si>
  <si>
    <t>Extensión Depuración DEPMAS Clientes y Prpducto UAT</t>
  </si>
  <si>
    <t>GB-983</t>
  </si>
  <si>
    <t>Cambios_Frío_BCR_y_BNI</t>
  </si>
  <si>
    <t>272-153-CEFA</t>
  </si>
  <si>
    <t>GESTIÓN DE NUEVOS REQUERIMIENTOS PARA CEFA (Nueva Empresa)</t>
  </si>
  <si>
    <t>GB 982</t>
  </si>
  <si>
    <t>Asociación Nota de Crédito Guatemala</t>
  </si>
  <si>
    <t>GB-992</t>
  </si>
  <si>
    <t>CR BU4 Autoliquidación</t>
  </si>
  <si>
    <t>GB-1002</t>
  </si>
  <si>
    <t>BU4 Integración de Canadá</t>
  </si>
  <si>
    <t>GB-PYM</t>
  </si>
  <si>
    <t>PEYMENT</t>
  </si>
  <si>
    <t>GB-1009</t>
  </si>
  <si>
    <t>Brasil CAN Asignación</t>
  </si>
  <si>
    <t>GB-999</t>
  </si>
  <si>
    <t>Extensión 2 Asignación Donuts Iberia Canarias</t>
  </si>
  <si>
    <t>GB-994</t>
  </si>
  <si>
    <t>México Extensión 2 UAT Anexo 20 CRS</t>
  </si>
  <si>
    <t>GB-985</t>
  </si>
  <si>
    <t>México MMMI</t>
  </si>
  <si>
    <t>GB-CR´S _2</t>
  </si>
  <si>
    <t>ANEXO 20 CR´S 2</t>
  </si>
  <si>
    <t>GB-1012</t>
  </si>
  <si>
    <t>Iberia CUC-Clientes Inactivos</t>
  </si>
  <si>
    <t>GB-1007</t>
  </si>
  <si>
    <t>Corrección_error_descarga_Devolución_Chile</t>
  </si>
  <si>
    <t>151-190-CL.UN</t>
  </si>
  <si>
    <t>PROYECTO CLAVE UNICA</t>
  </si>
  <si>
    <t>GB-1011</t>
  </si>
  <si>
    <t>Iberia Asignación Recurso</t>
  </si>
  <si>
    <t>579-204-APPM</t>
  </si>
  <si>
    <t>SOPORTE, MEJORAS Y REPROCESO</t>
  </si>
  <si>
    <t>GB-1037</t>
  </si>
  <si>
    <t>Iberia - Soporte CIE</t>
  </si>
  <si>
    <t>GB-1034</t>
  </si>
  <si>
    <t>Brasil LTE Soporte UAT 2</t>
  </si>
  <si>
    <t>734-154-DV</t>
  </si>
  <si>
    <t>Gestión de Servicios al Cliente (AMPARADO A CONTRATO) - DAVIVIENDA</t>
  </si>
  <si>
    <t>GB-1057</t>
  </si>
  <si>
    <t>Iberia PC Factura 3 decimales</t>
  </si>
  <si>
    <t>GB-1047</t>
  </si>
  <si>
    <t>Brasil LTE Sobrantes y Faltantes</t>
  </si>
  <si>
    <t>GB-1058</t>
  </si>
  <si>
    <t>Colombia Corrección ISPLI</t>
  </si>
  <si>
    <t>GB-1033</t>
  </si>
  <si>
    <t>México UAT CRS-2 Anexo 20</t>
  </si>
  <si>
    <t>GB-1048</t>
  </si>
  <si>
    <t>China Soporte nuevos mini ceves</t>
  </si>
  <si>
    <t>GB-935</t>
  </si>
  <si>
    <t>Identicket SAP Iberia</t>
  </si>
  <si>
    <t>GB-1062</t>
  </si>
  <si>
    <t>México Replica Catalogo de Impuestos e Impuestos de Envases</t>
  </si>
  <si>
    <t>095-154-CENCI</t>
  </si>
  <si>
    <t>Gestión de Servicio al Cliente (AMPARADO A CONTRATO) - CENCINAI</t>
  </si>
  <si>
    <t>GB-1066</t>
  </si>
  <si>
    <t>Ecuador Modificaciones Frio nuevo Alcance</t>
  </si>
  <si>
    <t>GB-1068-I</t>
  </si>
  <si>
    <t>DSD Mobile - Investigación</t>
  </si>
  <si>
    <t>GB-1067</t>
  </si>
  <si>
    <t>México Ticket Liquidación Vendedor</t>
  </si>
  <si>
    <t>GB-1071</t>
  </si>
  <si>
    <t>CUC Interfaz Oracle Cloud</t>
  </si>
  <si>
    <t>GB-1072</t>
  </si>
  <si>
    <t>Iberia Cliente Asociado Pedido Preventa</t>
  </si>
  <si>
    <t>GB-1074</t>
  </si>
  <si>
    <t>Iberia Modificaciones a Proceso de Integración de Líneas de Fac</t>
  </si>
  <si>
    <t>GB-1075</t>
  </si>
  <si>
    <t>CRs Brasil LTE</t>
  </si>
  <si>
    <t>GB-1070</t>
  </si>
  <si>
    <t>Brasil Roll Out LTE San Mateus</t>
  </si>
  <si>
    <t>GB-1079</t>
  </si>
  <si>
    <t>Extensión Pedido Horizonte</t>
  </si>
  <si>
    <t>GB-1078</t>
  </si>
  <si>
    <t xml:space="preserve"> Iberia CIE Contabilidad Precio Especial</t>
  </si>
  <si>
    <t>Gb-1072</t>
  </si>
  <si>
    <t>GB-974</t>
  </si>
  <si>
    <t>Piloto Anexo 20 CRS</t>
  </si>
  <si>
    <t>GB-CR´S_3</t>
  </si>
  <si>
    <t>ANEXO 20 CR´S 3</t>
  </si>
  <si>
    <t>151-152-DGME</t>
  </si>
  <si>
    <t>GESTIÓN DE NUEVOS REQUERIMIENTOS - MIGRACIÓN</t>
  </si>
  <si>
    <t>GB-1064</t>
  </si>
  <si>
    <t>Soporte horas extensión piloto y Roll Out 7 Dígitos</t>
  </si>
  <si>
    <t>GB-1063</t>
  </si>
  <si>
    <t>BU4 Tipo de Vendedor</t>
  </si>
  <si>
    <t>151-190 REX</t>
  </si>
  <si>
    <t>Análisis de oportunidad proyecto Rex Cargo (TSA)</t>
  </si>
  <si>
    <t>GB-1102</t>
  </si>
  <si>
    <t>Mexico Ivy Bridge</t>
  </si>
  <si>
    <t>Tareas asociadas al Equipo QA Corporativo</t>
  </si>
  <si>
    <t>GB-OTRAS GARANT</t>
  </si>
  <si>
    <t>OTRAS GARANTÍAS</t>
  </si>
  <si>
    <t>GB-1091</t>
  </si>
  <si>
    <t>México roll-out Anexo 20</t>
  </si>
  <si>
    <t>GB-1108</t>
  </si>
  <si>
    <t>Iberia optimización Descuentos</t>
  </si>
  <si>
    <t>GB-1053</t>
  </si>
  <si>
    <t>BU4 Integración Pendientes Iberia</t>
  </si>
  <si>
    <t>GB-1115</t>
  </si>
  <si>
    <t>Brasil Análisis Facturación Diciembre</t>
  </si>
  <si>
    <t>GB-1081</t>
  </si>
  <si>
    <t>GB-1080</t>
  </si>
  <si>
    <t>Iberia Soporte CIE</t>
  </si>
  <si>
    <t>151-ACCESS</t>
  </si>
  <si>
    <t>iConnect Access</t>
  </si>
  <si>
    <t>GB-1116</t>
  </si>
  <si>
    <t>Brasil CAN Asignación analista</t>
  </si>
  <si>
    <t>151-QA-WEB</t>
  </si>
  <si>
    <t>Proyecto de Automatización de Pruebas de Aplicaciones Web</t>
  </si>
  <si>
    <t>GB-1124</t>
  </si>
  <si>
    <t>Portal de Precios</t>
  </si>
  <si>
    <t>GB-CRs</t>
  </si>
  <si>
    <t>GB-CRs Fiscales 2018</t>
  </si>
  <si>
    <t>GB-1114</t>
  </si>
  <si>
    <t>México roll-out Anexo 20 termino</t>
  </si>
  <si>
    <t>GB-CR´s</t>
  </si>
  <si>
    <t>CR´s fiscales 2018</t>
  </si>
  <si>
    <t>GB-1125</t>
  </si>
  <si>
    <t>México Bolsa Horas soporte Anexo 20</t>
  </si>
  <si>
    <t>866-152-SUTEL-2</t>
  </si>
  <si>
    <t>SOP, MANT PREVENTIVO, SOST Y ATENCIÓN DE MEJORAS SUTEL 2017</t>
  </si>
  <si>
    <t>TRACKING_SPE</t>
  </si>
  <si>
    <t>Tracking Software Platform/Engine</t>
  </si>
  <si>
    <t>051-INF-INT/MID</t>
  </si>
  <si>
    <t>Soporte Operativo integración de servicios BSS y del Middleware</t>
  </si>
  <si>
    <t>GB-1117</t>
  </si>
  <si>
    <t>Iberia Asignación Consultor</t>
  </si>
  <si>
    <t>GB-1118</t>
  </si>
  <si>
    <t>Asignación Consultor</t>
  </si>
  <si>
    <t>GB-1120</t>
  </si>
  <si>
    <t>GB-1128</t>
  </si>
  <si>
    <t>Iberia CIE - Televenta</t>
  </si>
  <si>
    <t>GB-1129</t>
  </si>
  <si>
    <t>Iberia CUC y CIE - Buscadores</t>
  </si>
  <si>
    <t>GB-1130</t>
  </si>
  <si>
    <t>Iberia CIE - Información por defecto</t>
  </si>
  <si>
    <t>GB-1131</t>
  </si>
  <si>
    <t>Brasil Análisis Facturación Enero</t>
  </si>
  <si>
    <t>GB-1055</t>
  </si>
  <si>
    <t>BU4 Integraciones pendientes México</t>
  </si>
  <si>
    <t>GB-1137</t>
  </si>
  <si>
    <t>Argentina_Lentitud en procesos de devolución</t>
  </si>
  <si>
    <t>GB-1127</t>
  </si>
  <si>
    <t>Soporte Libreta ruta Panamá</t>
  </si>
  <si>
    <t>GB-1135</t>
  </si>
  <si>
    <t>Soporte UAT Movex Iberia</t>
  </si>
  <si>
    <t>GB-1134</t>
  </si>
  <si>
    <t>México Ejecución simultanea ISAF</t>
  </si>
  <si>
    <t>GB-1141</t>
  </si>
  <si>
    <t>Iberia Consolidación de documentos, identikets</t>
  </si>
  <si>
    <t>GB-1126</t>
  </si>
  <si>
    <t>México Contabilización de Venta Facturada</t>
  </si>
  <si>
    <t>095-191-FDIG</t>
  </si>
  <si>
    <t>Gestión de Servicio al Cliente Interp- NFC - FIRMA DIGITAL</t>
  </si>
  <si>
    <t>206-ENTREGABLES</t>
  </si>
  <si>
    <t>Entregables del proyecto</t>
  </si>
  <si>
    <t>GB-1142</t>
  </si>
  <si>
    <t>Portugal - Reporte SAFT-PT</t>
  </si>
  <si>
    <t>GB-1104</t>
  </si>
  <si>
    <t>Iberia PC - Visualizar Precio especial en Albaranes</t>
  </si>
  <si>
    <t>GB-1166</t>
  </si>
  <si>
    <t>WMS Bimbo</t>
  </si>
  <si>
    <t>GB-1161</t>
  </si>
  <si>
    <t>Optimizacion de libreta de ruta Iberia</t>
  </si>
  <si>
    <t>GB-1170</t>
  </si>
  <si>
    <t>Entendimiento DSD Mobile actual</t>
  </si>
  <si>
    <t>GB-1153</t>
  </si>
  <si>
    <t>México Integración de inventarios negativos</t>
  </si>
  <si>
    <t>Méx_Mej_AX20</t>
  </si>
  <si>
    <t>México Mejoras Anexo 20</t>
  </si>
  <si>
    <t>095-152-ICODER</t>
  </si>
  <si>
    <t>GESTIÓN DE NUEVOS REQUERIMIENTOS - ICODER</t>
  </si>
  <si>
    <t>ANEXO20-REQ_FIS</t>
  </si>
  <si>
    <t>Anexo 20 Requerimientos Fiscales</t>
  </si>
  <si>
    <t>GB-1132</t>
  </si>
  <si>
    <t>México Optimización ISAF</t>
  </si>
  <si>
    <t>Iberia_ENTR_9</t>
  </si>
  <si>
    <t>Iberia Entregable 9</t>
  </si>
  <si>
    <t>GB-1090</t>
  </si>
  <si>
    <t>Contabilizar Cargos en CIE</t>
  </si>
  <si>
    <t>GB-1182</t>
  </si>
  <si>
    <t>México Optimización Proceso Amazon</t>
  </si>
  <si>
    <t>GB-1139</t>
  </si>
  <si>
    <t>Iberia CUC AR Cloud Proceso de carga inicial Nuevo proceso</t>
  </si>
  <si>
    <t>GB-1171</t>
  </si>
  <si>
    <t>Ampliación Código Producto DSD para Guatemala, Panamá y Costa Rica</t>
  </si>
  <si>
    <t>GB-1191</t>
  </si>
  <si>
    <t>Iberia CIE - Conversión procesos ODI a Marina</t>
  </si>
  <si>
    <t>GB-1160</t>
  </si>
  <si>
    <t>Brasil Reporte NF Devolución Cliente PC VS MS</t>
  </si>
  <si>
    <t>GB-1186</t>
  </si>
  <si>
    <t>México_Data_Migration_PC</t>
  </si>
  <si>
    <t>GB-1193</t>
  </si>
  <si>
    <t>Iberia PC - Cambios Pedido Horizonte</t>
  </si>
  <si>
    <t>GB-1197</t>
  </si>
  <si>
    <t>CR AR Cloud Chile y Perú</t>
  </si>
  <si>
    <t>GB-1188</t>
  </si>
  <si>
    <t>México Soporte UAT Ivy Bridge</t>
  </si>
  <si>
    <t>GB-1194</t>
  </si>
  <si>
    <t>México Impresión Tickets Bluetooth Nube</t>
  </si>
  <si>
    <t>GB-1196</t>
  </si>
  <si>
    <t>Colombia Payment</t>
  </si>
  <si>
    <t>GB-1192</t>
  </si>
  <si>
    <t>Mexico SPA Sell Out formato único</t>
  </si>
  <si>
    <t>Proyecto de Implememtación - IAFA</t>
  </si>
  <si>
    <t>PROYECT_INTERNO</t>
  </si>
  <si>
    <t>Plataforma Web</t>
  </si>
  <si>
    <t>579-202-RE-EDUS</t>
  </si>
  <si>
    <t>PROYECTO DE SOLUCIONES MOVILES CCSS - REDISEÑO EDUS</t>
  </si>
  <si>
    <t>UAT_IBERIA</t>
  </si>
  <si>
    <t>GB-1012 UAT_Iberia Mejoras</t>
  </si>
  <si>
    <t>GB-1218</t>
  </si>
  <si>
    <t>Basil IA Interfaz Neogrid</t>
  </si>
  <si>
    <t>SOPORT_IBERIA</t>
  </si>
  <si>
    <t>Soporte Iberia</t>
  </si>
  <si>
    <t>GB-1217</t>
  </si>
  <si>
    <t>Brasil Nuevo Layout facturación Electrónica</t>
  </si>
  <si>
    <t>095-154-INDER</t>
  </si>
  <si>
    <t>Gestión de Servicio al Cliente  (AMPARADO A CONTRATO) - INDER</t>
  </si>
  <si>
    <t>GB-1214</t>
  </si>
  <si>
    <t>Iberia - RMA cambios layout</t>
  </si>
  <si>
    <t>095-154-ICODER</t>
  </si>
  <si>
    <t>Gestión de Servicio al Cliente  (AMPARADO A CONTRATO) - ICODER</t>
  </si>
  <si>
    <t>GB-1212</t>
  </si>
  <si>
    <t>Iberia - Mejora Replica Líneas Facturación</t>
  </si>
  <si>
    <t>GB-1198</t>
  </si>
  <si>
    <t>Argentina Ampliación Código Producto 7 D</t>
  </si>
  <si>
    <t>GB-1203</t>
  </si>
  <si>
    <t>Brasil GS cancelamiento y generación de NF entrada</t>
  </si>
  <si>
    <t>GB-1215</t>
  </si>
  <si>
    <t>Iberia - Mejora de Cargas masivas CUC y CIE</t>
  </si>
  <si>
    <t>GB-1205</t>
  </si>
  <si>
    <t>Brasil Réplica de cupos Interfaz items</t>
  </si>
  <si>
    <t>GB-1216</t>
  </si>
  <si>
    <t>GB-1216 Venezuela_ReconversionMonetaria</t>
  </si>
  <si>
    <t>057-152-IICA</t>
  </si>
  <si>
    <t>GESTIÓN DE NUEVOS REQUERIMIENTOS PARA IICA</t>
  </si>
  <si>
    <t>GB-1224</t>
  </si>
  <si>
    <t>Brasil Automatización script Integra</t>
  </si>
  <si>
    <t>GB-1226</t>
  </si>
  <si>
    <t>Brasil Nota Referencia en xml de nf transferencia y dev. transferencia</t>
  </si>
  <si>
    <t>GB-1223</t>
  </si>
  <si>
    <t>Brasil Validaciones en Facturación</t>
  </si>
  <si>
    <t>GB-1225</t>
  </si>
  <si>
    <t>Brasil Nota de referencia en XML de NF entrada</t>
  </si>
  <si>
    <t>GB-1227</t>
  </si>
  <si>
    <t>Brasil  Permitir enviar notas fiscales de fechas atrasadas</t>
  </si>
  <si>
    <t>GB-1229</t>
  </si>
  <si>
    <t>Iberia - Soporte bolsa de horas</t>
  </si>
  <si>
    <t>GB-1207</t>
  </si>
  <si>
    <t>México UAT Partidos Politicos y No Contribuyentes IEPS</t>
  </si>
  <si>
    <t>GB-1232</t>
  </si>
  <si>
    <t>Brasil Inclusión de la Tag nFCI</t>
  </si>
  <si>
    <t>GB-1237</t>
  </si>
  <si>
    <t>Brasil Projeto NF devolucao de cliente</t>
  </si>
  <si>
    <t>GB-1238</t>
  </si>
  <si>
    <t>Brasil Cliente Agencia en nf de remesa entrada</t>
  </si>
  <si>
    <t>GB-1219</t>
  </si>
  <si>
    <t>Brasil Cambios pantalla NF devolución de cliente Marzo</t>
  </si>
  <si>
    <t>Proyct_Int_Ambi</t>
  </si>
  <si>
    <t>Ambientes CUC, CIE, PAYMENT, SPA CANADA, BPEL y ODI</t>
  </si>
  <si>
    <t>GB-1241</t>
  </si>
  <si>
    <t>Facturación Electrónica Colombia</t>
  </si>
  <si>
    <t>GB-1068</t>
  </si>
  <si>
    <t>DSD Mobile</t>
  </si>
  <si>
    <t>GB-TRANSFER</t>
  </si>
  <si>
    <t>Transferencia de Conocimientos</t>
  </si>
  <si>
    <t>GB-1233</t>
  </si>
  <si>
    <t>Soporte China - Corrección en Póliza</t>
  </si>
  <si>
    <t>GB-1242</t>
  </si>
  <si>
    <t>Iberia Soporte Pedido Horizonte</t>
  </si>
  <si>
    <t>ICE.SO.GNR.NCP1</t>
  </si>
  <si>
    <t>Gestión de nuevos requerimiento Sostenibilidad ICE - NC - Prórroga 1</t>
  </si>
  <si>
    <t>ICE.NF.SO.NCP1</t>
  </si>
  <si>
    <t>Actividades asociadas a Sostenibilidad NCP 1 no Facturable</t>
  </si>
  <si>
    <t>GB-1172</t>
  </si>
  <si>
    <t>Modificaciones Integral Vending</t>
  </si>
  <si>
    <t>GB-1240</t>
  </si>
  <si>
    <t>México Soporte Productivo ISAF</t>
  </si>
  <si>
    <t>GB-1248</t>
  </si>
  <si>
    <t>CUC Cloud AR</t>
  </si>
  <si>
    <t>GB-1251</t>
  </si>
  <si>
    <t>Generic Services - Cluster</t>
  </si>
  <si>
    <t>GB-1258</t>
  </si>
  <si>
    <t>Brasil Configuración de Catálogos</t>
  </si>
  <si>
    <t>GB-1250</t>
  </si>
  <si>
    <t>México Notas de Crédito por Cambio Físico</t>
  </si>
  <si>
    <t>GB-1253</t>
  </si>
  <si>
    <t>México Especificación del ISAF</t>
  </si>
  <si>
    <t>GB-1256</t>
  </si>
  <si>
    <t>México CR Cadena y FPL HH</t>
  </si>
  <si>
    <t>GB-1249</t>
  </si>
  <si>
    <t>México Optimización y Métricas</t>
  </si>
  <si>
    <t>GB-1247</t>
  </si>
  <si>
    <t>Brasil NF devolución cliente XML 4.0</t>
  </si>
  <si>
    <t>GB-1239</t>
  </si>
  <si>
    <t>Brasil tasa de impuesto 39.10</t>
  </si>
  <si>
    <t>GB-1195</t>
  </si>
  <si>
    <t>Brasil actualizar script de plataforma para proyecto Integra</t>
  </si>
  <si>
    <t>GB-1199</t>
  </si>
  <si>
    <t>Brasil incluir TAG pedido en detalle de producto XML</t>
  </si>
  <si>
    <t>GB-1236</t>
  </si>
  <si>
    <t>Iberia - Soporte Tenerife</t>
  </si>
  <si>
    <t>GB-1262</t>
  </si>
  <si>
    <t>Brasil UAT XML 4.0</t>
  </si>
  <si>
    <t>GB-1266</t>
  </si>
  <si>
    <t>Brasil Notas de entrada existencia + devolución</t>
  </si>
  <si>
    <t>INT-APH_RUTEO</t>
  </si>
  <si>
    <t>Interno - Levantamiento APH_Ruteo</t>
  </si>
  <si>
    <t>BI-095-152-RDIG</t>
  </si>
  <si>
    <t>GESTIÓN DE NUEVOS REQUERIMIENTOS BI PARA RECETA DIGITAL</t>
  </si>
  <si>
    <t>051-156-CVEH</t>
  </si>
  <si>
    <t>MODULO DE VEHICULOS</t>
  </si>
  <si>
    <t>GB-1268</t>
  </si>
  <si>
    <t>México One Down</t>
  </si>
  <si>
    <t>GB-1202</t>
  </si>
  <si>
    <t>BU4 Integraciones Iberia</t>
  </si>
  <si>
    <t>095-152-CENCI</t>
  </si>
  <si>
    <t>GESTION DE NUEVOS REQUERIMIENTOS - CENCINAI</t>
  </si>
  <si>
    <t>GB-1208</t>
  </si>
  <si>
    <t>México Warroom Partidos Politicos y No Contribuyentes IEPS</t>
  </si>
  <si>
    <t>GB-1209</t>
  </si>
  <si>
    <t>México Roll-out Partidos Politicos y No Contribuyentes IEPS</t>
  </si>
  <si>
    <t>GB-1264</t>
  </si>
  <si>
    <t>México CR PArtidos Politicos (Valores nuevos)</t>
  </si>
  <si>
    <t>GB-1269</t>
  </si>
  <si>
    <t>México Isaf Clientes sin Cadena</t>
  </si>
  <si>
    <t>151-013-DES.ORG</t>
  </si>
  <si>
    <t>Actividades asociadas a Desarrollo Organizacional</t>
  </si>
  <si>
    <t>151-152-SOIN</t>
  </si>
  <si>
    <t>GENERACIÓN DE LA BASE DE DATOS DOCUMENTAL</t>
  </si>
  <si>
    <t>GB-1252</t>
  </si>
  <si>
    <t>Brasil Secuencia de productos en ticket de carga</t>
  </si>
  <si>
    <t>151-013-ESEN</t>
  </si>
  <si>
    <t>PROYECTO ESENCIAL COSTA RICA</t>
  </si>
  <si>
    <t>151-02809-RM</t>
  </si>
  <si>
    <t>151-CAP-PLRS</t>
  </si>
  <si>
    <t>PROCESOS DE CAPACITACION - PLURALSIGHT</t>
  </si>
  <si>
    <t>GB-1278</t>
  </si>
  <si>
    <t>México Optimización ISAF generación de achivos</t>
  </si>
  <si>
    <t>GB-1243</t>
  </si>
  <si>
    <t>Brasil Roll Out 2018</t>
  </si>
  <si>
    <t>GB-1260</t>
  </si>
  <si>
    <t>Brasil Definición de estatus NFs para Liquidación</t>
  </si>
  <si>
    <t>GB-1272</t>
  </si>
  <si>
    <t>GB-1273</t>
  </si>
  <si>
    <t>Iberia Soporte</t>
  </si>
  <si>
    <t>GB-1274</t>
  </si>
  <si>
    <t>GB-1282</t>
  </si>
  <si>
    <t>Brasil NF devolución cliente Valinhos</t>
  </si>
  <si>
    <t>GB-1259</t>
  </si>
  <si>
    <t>Brasil Inactivación de clientes</t>
  </si>
  <si>
    <t>GB-1290</t>
  </si>
  <si>
    <t>México Integración</t>
  </si>
  <si>
    <t>GB-1287</t>
  </si>
  <si>
    <t>México  Optimización Complemento ISAF</t>
  </si>
  <si>
    <t>151-190-SOIN</t>
  </si>
  <si>
    <t>GESTOR DE CONOCIMIENTO</t>
  </si>
  <si>
    <t>GB-1204</t>
  </si>
  <si>
    <t>Brasil GS edición XML</t>
  </si>
  <si>
    <t>I.A.W.C.C</t>
  </si>
  <si>
    <t>Implementacion de aplicación web Customer Center</t>
  </si>
  <si>
    <t>R.A.W</t>
  </si>
  <si>
    <t>Relevamiento de aplicaciones, procesos existentes Wiki</t>
  </si>
  <si>
    <t>095-156-PANI</t>
  </si>
  <si>
    <t>Proyecto de Implementación - PANI</t>
  </si>
  <si>
    <t>GB-1254</t>
  </si>
  <si>
    <t>Brasil Reporte Notas enviadas a Oracle AR</t>
  </si>
  <si>
    <t>GB-1257</t>
  </si>
  <si>
    <t>Brasil Tax Matrix Reducida</t>
  </si>
  <si>
    <t>GB-1296</t>
  </si>
  <si>
    <t>Reconversión Monetaria BIMBO 2018</t>
  </si>
  <si>
    <t>GB-1297</t>
  </si>
  <si>
    <t>Chile Soporte Libreta_de_Ruta</t>
  </si>
  <si>
    <t>GB-1288</t>
  </si>
  <si>
    <t>Iberia - Integración Notification Proccess</t>
  </si>
  <si>
    <t>GB-1286</t>
  </si>
  <si>
    <t>Peru - Fix POM para rutas distribuidoras</t>
  </si>
  <si>
    <t>GB-1279</t>
  </si>
  <si>
    <t>Iberia PC - Integración Cargas y Redistribución de producto</t>
  </si>
  <si>
    <t>GB-1291</t>
  </si>
  <si>
    <t>México Notas de Crédito por Cambios Fisicos_Relacionamiento</t>
  </si>
  <si>
    <t>GB-1281</t>
  </si>
  <si>
    <t>México System Test Implementación Base única 4</t>
  </si>
  <si>
    <t>300-DIS-GRAF</t>
  </si>
  <si>
    <t>Tareas de Diseño Grafico</t>
  </si>
  <si>
    <t>151-030-SALUD</t>
  </si>
  <si>
    <t>Proyecto Plataforma de Análisis Visual (PAV)</t>
  </si>
  <si>
    <t>151-152-ERP</t>
  </si>
  <si>
    <t>GESTIÓN DE NUEVOS REQUERIMIENTOS - ERP INTERNO</t>
  </si>
  <si>
    <t>GB-1275</t>
  </si>
  <si>
    <t>México Ivy plan Rollback</t>
  </si>
  <si>
    <t>GB-1305</t>
  </si>
  <si>
    <t>Adecuaciones Libreta Ruta</t>
  </si>
  <si>
    <t>GB-1283</t>
  </si>
  <si>
    <t>México UAT Implementación Base única 4</t>
  </si>
  <si>
    <t>GB-1303</t>
  </si>
  <si>
    <t>IntegralVending_procesamiento_2_tiempos</t>
  </si>
  <si>
    <t>095-152-INDER</t>
  </si>
  <si>
    <t>GESTIÓN DE NUEVOS REQUERIMIENTOS - INDER</t>
  </si>
  <si>
    <t>GB-1308</t>
  </si>
  <si>
    <t>Iberia precalculo libreta de ruta</t>
  </si>
  <si>
    <t>GB-1302</t>
  </si>
  <si>
    <t>Uruguay Soporte Libreta_de_Ruta</t>
  </si>
  <si>
    <t>GB-1313</t>
  </si>
  <si>
    <t>Brasil porcentaje de reducción en NF HH</t>
  </si>
  <si>
    <t>GB-1280</t>
  </si>
  <si>
    <t>Brasil XML 4.0 Extras</t>
  </si>
  <si>
    <t>GB-1310</t>
  </si>
  <si>
    <t>Brasil NF devolución cliente + remesa para troca</t>
  </si>
  <si>
    <t>GB-1304</t>
  </si>
  <si>
    <t>México Separación ISAF e ISA2 de del Flujo HH</t>
  </si>
  <si>
    <t>GB-1314</t>
  </si>
  <si>
    <t>México Generacion Parcial  Archivos y Soporte ISAF</t>
  </si>
  <si>
    <t>GB-1317</t>
  </si>
  <si>
    <t>Marruecos pedido ajuste en cero</t>
  </si>
  <si>
    <t>GB-1298</t>
  </si>
  <si>
    <t>México Soporte Lentitud Despacho</t>
  </si>
  <si>
    <t>GB-1315</t>
  </si>
  <si>
    <t>Brasil Tag Suframa en XML</t>
  </si>
  <si>
    <t>095-190-FACTO</t>
  </si>
  <si>
    <t>Proyecto de Implementación FACTOREO</t>
  </si>
  <si>
    <t>GB-1319</t>
  </si>
  <si>
    <t>México Sinergias</t>
  </si>
  <si>
    <t>GB-1326</t>
  </si>
  <si>
    <t>Brasil GS serie para NF entrada</t>
  </si>
  <si>
    <t>GB-1338</t>
  </si>
  <si>
    <t>GB-1338 Brasil Calculo de Precio Bruto por Naturaleza de operación</t>
  </si>
  <si>
    <t>GB-1339</t>
  </si>
  <si>
    <t>Perú-Soporte en sitio</t>
  </si>
  <si>
    <t>GB-1337</t>
  </si>
  <si>
    <t>Perú-Migración  Rutas a CeVe nuevo</t>
  </si>
  <si>
    <t>GB-1345</t>
  </si>
  <si>
    <t>México Integración GB-966 Vale Envases, GB-1029 Promociones Plan B y Hor</t>
  </si>
  <si>
    <t>GB-1332</t>
  </si>
  <si>
    <t>México DRN Mensaje en pedidos Vr3</t>
  </si>
  <si>
    <t>GB-1331</t>
  </si>
  <si>
    <t>México Control de BonificacionesVr3</t>
  </si>
  <si>
    <t>GB-1323</t>
  </si>
  <si>
    <t>México UAT SInergias</t>
  </si>
  <si>
    <t>GB-1344</t>
  </si>
  <si>
    <t>Brasil Assessment</t>
  </si>
  <si>
    <t>243-154-COOP-18</t>
  </si>
  <si>
    <t>GB-1353 Brasil</t>
  </si>
  <si>
    <t>Brasil corrección duplicados Neogrid</t>
  </si>
  <si>
    <t>GB-1340 Brasil</t>
  </si>
  <si>
    <t>Brasil Análisis de diferencia de precio entre notas de salida y entrada</t>
  </si>
  <si>
    <t>Tareas asociadas a Equipo QA Corporativo</t>
  </si>
  <si>
    <t>151-WEB-SITE</t>
  </si>
  <si>
    <t>SITIO WEB DE SOIN</t>
  </si>
  <si>
    <t>GB-1347</t>
  </si>
  <si>
    <t>Iberia CIE - Fichero SII para Facturas de contado</t>
  </si>
  <si>
    <t>GB-1299</t>
  </si>
  <si>
    <t>Iberia PC - Buscador códigos pantallas de pedidos</t>
  </si>
  <si>
    <t>GB-1301</t>
  </si>
  <si>
    <t>Iberia Web - Herramienta Conciliación Ingresos Vendedores</t>
  </si>
  <si>
    <t>GB-1328</t>
  </si>
  <si>
    <t>Iberia CIE - Envío de documentos al cliente</t>
  </si>
  <si>
    <t>SOIN-ADM-2019</t>
  </si>
  <si>
    <t>Tareas Administrativas SOIN 2019</t>
  </si>
  <si>
    <t>GB-1300</t>
  </si>
  <si>
    <t>Iberia PC - Traspaso de producto entre agencias en piezas</t>
  </si>
  <si>
    <t>GB-1306</t>
  </si>
  <si>
    <t>Iberia PC - Itineración multiple de clientes</t>
  </si>
  <si>
    <t>GB-1307</t>
  </si>
  <si>
    <t>Iberia PC - Distribución mixta</t>
  </si>
  <si>
    <t>Gestión de Servicio al Cliente (AMPARADO A CONTRATO) - IAFA</t>
  </si>
  <si>
    <t>GB-1358</t>
  </si>
  <si>
    <t>Bolsa de horas para UAT Integral Vending</t>
  </si>
  <si>
    <t>151-NF-BI-2019</t>
  </si>
  <si>
    <t>ACTIVIDADES NO FACTURABLES EQUIPO BI - 2019</t>
  </si>
  <si>
    <t>GB-1349</t>
  </si>
  <si>
    <t>Brasil Autenticación Generic Service</t>
  </si>
  <si>
    <t>GB-1277</t>
  </si>
  <si>
    <t>Brasil Pedido en ruta HH</t>
  </si>
  <si>
    <t>GB-1322</t>
  </si>
  <si>
    <t>Brasil Reporte HH GPS Chip</t>
  </si>
  <si>
    <t>GB-1321</t>
  </si>
  <si>
    <t>Brasil Reporte de RUC</t>
  </si>
  <si>
    <t>140-SOPORTE</t>
  </si>
  <si>
    <t>ACTIVIDADES DEL AREA DE SOPORTE</t>
  </si>
  <si>
    <t>151-SOP-2019</t>
  </si>
  <si>
    <t>ACTIVIDADES AREA DE SOPORTE (INTERNO / EXTERNO) 2019</t>
  </si>
  <si>
    <t>095-154-PANI</t>
  </si>
  <si>
    <t>Gestión de Servicio al Cliente (AMPARADO A CONTRATO) - PANI</t>
  </si>
  <si>
    <t>151-BASE DATOS</t>
  </si>
  <si>
    <t>Actividades del Area BASE DE DATOS</t>
  </si>
  <si>
    <t>151-300-DG2019</t>
  </si>
  <si>
    <t>Actividades Diseño Gráfico - 2019</t>
  </si>
  <si>
    <t>151-196-MSJ</t>
  </si>
  <si>
    <t>Gestión Tributaria MSJ</t>
  </si>
  <si>
    <t>151-196-PRV2019</t>
  </si>
  <si>
    <t>Actividades asociadas a Preventa - Interoperabilidad  - 2019</t>
  </si>
  <si>
    <t>GB-1371</t>
  </si>
  <si>
    <t>México IVA Fronterizo</t>
  </si>
  <si>
    <t>GB-1363</t>
  </si>
  <si>
    <t>Iberia Asignación Consultoria Diciembre - Febrero</t>
  </si>
  <si>
    <t>GB-1369</t>
  </si>
  <si>
    <t>Marruecos Android Mobile</t>
  </si>
  <si>
    <t>151-154-SOIN 19</t>
  </si>
  <si>
    <t>151-013-RH-2019</t>
  </si>
  <si>
    <t>Actividades asociadas a Recursos Humanos - 2019</t>
  </si>
  <si>
    <t>151-163-SOIN 19</t>
  </si>
  <si>
    <t>Tareas Administrativas / Gerenciales (Internas) 2019</t>
  </si>
  <si>
    <t>151-VTA-2019</t>
  </si>
  <si>
    <t>GB-1368</t>
  </si>
  <si>
    <t>Iberia - Cambio Interfaces códigos de cliente</t>
  </si>
  <si>
    <t>GB-1378</t>
  </si>
  <si>
    <t>México UAT Integración Optimizacion, Compensaciones (Grupo 2)</t>
  </si>
  <si>
    <t>GB-1375</t>
  </si>
  <si>
    <t>México CR interfaz cruce de Anden</t>
  </si>
  <si>
    <t>579-DEVTEAM-SLD</t>
  </si>
  <si>
    <t>TAREAS A NIVEL DE DEPARTAMENTO  (DEV TEAM)</t>
  </si>
  <si>
    <t>GB-1381</t>
  </si>
  <si>
    <t>Perú Guia Remision x cada OC_BPE</t>
  </si>
  <si>
    <t>GB-1382</t>
  </si>
  <si>
    <t>Perú Cambio MFP_BPE</t>
  </si>
  <si>
    <t>095-156-SENARA</t>
  </si>
  <si>
    <t>Proyecto de Implementación - SENARA</t>
  </si>
  <si>
    <t>579-203-EDU ACC</t>
  </si>
  <si>
    <t>EDUS ACCESIBILIDAD</t>
  </si>
  <si>
    <t>579-203- SIFF M</t>
  </si>
  <si>
    <t>SIFF MEJORAS</t>
  </si>
  <si>
    <t>579-203-P.A.V</t>
  </si>
  <si>
    <t>PLATAFORMA DE ANÁLISIS VISUAL</t>
  </si>
  <si>
    <t>GB-1377</t>
  </si>
  <si>
    <t>México Roll-Out Integracion FTP, Fix (Grupo 1)</t>
  </si>
  <si>
    <t>151-203-SIGES</t>
  </si>
  <si>
    <t>SIGES 2.0</t>
  </si>
  <si>
    <t>GB-1335</t>
  </si>
  <si>
    <t>México Apoyo a Roll Out GB-1331 - GB-1332</t>
  </si>
  <si>
    <t>GB-1387</t>
  </si>
  <si>
    <t>México Manejo de Carrier GPRS</t>
  </si>
  <si>
    <t>400-PROJ-LABS</t>
  </si>
  <si>
    <t>PLANTILLA DEFINICIÓN PROYECTO - LABS</t>
  </si>
  <si>
    <t>401-SPRINT-LABS</t>
  </si>
  <si>
    <t>PLANTILLA SPRINT - SCRUM LABS</t>
  </si>
  <si>
    <t>402-INN-LABS</t>
  </si>
  <si>
    <t>INNOVATION AL LABS</t>
  </si>
  <si>
    <t>151-400-TSA</t>
  </si>
  <si>
    <t>DESARROLLO DE SOLUCIÓN - TSA</t>
  </si>
  <si>
    <t>151-400-REC.DIG</t>
  </si>
  <si>
    <t>DESARROLLO DE SOLUCIÓN - RECETA DIGITAL - MOVIL</t>
  </si>
  <si>
    <t>151-400-TAPP</t>
  </si>
  <si>
    <t>DESARROLLOS APLICACIÓN TAPP</t>
  </si>
  <si>
    <t>GB-1376</t>
  </si>
  <si>
    <t>Brasil Cambio Frete en NF</t>
  </si>
  <si>
    <t>151-190-GF</t>
  </si>
  <si>
    <t>Generador de Formularios</t>
  </si>
  <si>
    <t>151-190-MR</t>
  </si>
  <si>
    <t>Modulo de Reportes</t>
  </si>
  <si>
    <t>151-SCRM-CORP</t>
  </si>
  <si>
    <t>HERRAMIENTA CORPORATIVO</t>
  </si>
  <si>
    <t>151-400-BLOCKC</t>
  </si>
  <si>
    <t>DESARROLLO DE SOLUCION - BLOCKCHAIN</t>
  </si>
  <si>
    <t>151-400-TEDX</t>
  </si>
  <si>
    <t>DESARROLLO SOLUCIONES - TEDX</t>
  </si>
  <si>
    <t>151-400-APP-PAC</t>
  </si>
  <si>
    <t>DESARROLLO DE SOLUCION - APP PACIENTE RECETA</t>
  </si>
  <si>
    <t>151-400-WEBSOIN</t>
  </si>
  <si>
    <t>DESARROLLO DE SOLUCION - WEB SOIN</t>
  </si>
  <si>
    <t>151-402-INNOVA</t>
  </si>
  <si>
    <t>GB-1365</t>
  </si>
  <si>
    <t>Chile Mejoras MFP SPA</t>
  </si>
  <si>
    <t>GB-1386</t>
  </si>
  <si>
    <t>Perú Modificaciones a comprobantes de pago electrónico</t>
  </si>
  <si>
    <t>151-024-ADM-LAB</t>
  </si>
  <si>
    <t>Tareas Generales y Administrativas no reportadas en proyectos Labs</t>
  </si>
  <si>
    <t>018-154-BNV2019</t>
  </si>
  <si>
    <t>Gestión de Servicios al Cliente (AMPARADO A CONTRATO) - BNValores 2019</t>
  </si>
  <si>
    <t>GB-1389</t>
  </si>
  <si>
    <t>Honduras Ticket Fiscal</t>
  </si>
  <si>
    <t>151-158-ONERP19</t>
  </si>
  <si>
    <t>Actividades asociadas a Nuevas Oportunidades de Negocio (ERP) 2019</t>
  </si>
  <si>
    <t>151-154-SIGES19</t>
  </si>
  <si>
    <t>Gestión de Servicio al Cliente - SIGES 2019</t>
  </si>
  <si>
    <t>095-175-PANI</t>
  </si>
  <si>
    <t>PROYECTO CALIDAD DE DATOS - PANI</t>
  </si>
  <si>
    <t>500-RM</t>
  </si>
  <si>
    <t>Tareas asociadas a Release Management</t>
  </si>
  <si>
    <t>GB-1154</t>
  </si>
  <si>
    <t>México Domicilio código de cliente Generico</t>
  </si>
  <si>
    <t>400-162-HENKEL</t>
  </si>
  <si>
    <t>ACTUALIZACIÓN DE SISTEMA - HENKEL</t>
  </si>
  <si>
    <t>151-160-ERP2019</t>
  </si>
  <si>
    <t>GB.1396</t>
  </si>
  <si>
    <t>Cloud Pedido definitivo</t>
  </si>
  <si>
    <t>GB-1401</t>
  </si>
  <si>
    <t>Honduras CR Ticket Fiscal</t>
  </si>
  <si>
    <t>GB-1403</t>
  </si>
  <si>
    <t>Perú Cambio en XML</t>
  </si>
  <si>
    <t>GB-1404</t>
  </si>
  <si>
    <t>Perú Cambio impresión de guías por orden de compra en modelo MFP</t>
  </si>
  <si>
    <t>GB-1405</t>
  </si>
  <si>
    <t>México Manejo de Carrier GPRS(APN)</t>
  </si>
  <si>
    <t>151-PMO-COR2019</t>
  </si>
  <si>
    <t>SERVICIOS INTERNOS PMO CORPORATIVA 2019</t>
  </si>
  <si>
    <t>151-024-OBJ-LAB</t>
  </si>
  <si>
    <t>Objetivos estrategicos LABS 2019</t>
  </si>
  <si>
    <t>095-154-RACSA</t>
  </si>
  <si>
    <t>579-203-HCDR</t>
  </si>
  <si>
    <t>SOIN Healthchain</t>
  </si>
  <si>
    <t>313-162-PM</t>
  </si>
  <si>
    <t>ACTUALIZACIÓN DE SISTEMA - PURDY MOTORS</t>
  </si>
  <si>
    <t>163-SICOP-ERP</t>
  </si>
  <si>
    <t>Integración SICOP</t>
  </si>
  <si>
    <t>095-163-CENCI</t>
  </si>
  <si>
    <t>INTEGRACIÓN SICOP - CENCINAI</t>
  </si>
  <si>
    <t>151-QA-ERP</t>
  </si>
  <si>
    <t>Proyecto certificación QA ERP</t>
  </si>
  <si>
    <t>742-156-MSJ</t>
  </si>
  <si>
    <t>GB-1367</t>
  </si>
  <si>
    <t>México Timbrado en Plan B</t>
  </si>
  <si>
    <t>GB-1417</t>
  </si>
  <si>
    <t>México CR Cancelacion timbrados y plan B (1)</t>
  </si>
  <si>
    <t>GB-1419</t>
  </si>
  <si>
    <t>México CR Soporte Encuestas de mercado</t>
  </si>
  <si>
    <t>151-190-BUS</t>
  </si>
  <si>
    <t>Bus de Interoperabilidad</t>
  </si>
  <si>
    <t>151-PMO-AGIL</t>
  </si>
  <si>
    <t>PROYECTO DE RENOVACIÓN DE LA PMO CORPORATIVA</t>
  </si>
  <si>
    <t>051-800-PREPAGO</t>
  </si>
  <si>
    <t>CONSULTA 800 PREPAGO</t>
  </si>
  <si>
    <t>095-163-INDER</t>
  </si>
  <si>
    <t>INTEGRACIÓN SICOP - INDER</t>
  </si>
  <si>
    <t>579-203-EDU M.R</t>
  </si>
  <si>
    <t>EDUS - REGISTRO DE SALUD</t>
  </si>
  <si>
    <t>151-400-SOCIAL</t>
  </si>
  <si>
    <t>DESARROLLO DE SOLUCION - REDES SOCIALES</t>
  </si>
  <si>
    <t>151-400-REM.INS</t>
  </si>
  <si>
    <t>DESARROLLO DE SOLUCION - REMESAS INSTANTANEAS</t>
  </si>
  <si>
    <t>151-EST-CONV</t>
  </si>
  <si>
    <t>Actividades de Estabilización de la Plataforma Convergente</t>
  </si>
  <si>
    <t>151-400-COCR</t>
  </si>
  <si>
    <t>DESARROLLO DE SOLUCIÓN - CORREOS DE CR</t>
  </si>
  <si>
    <t>151-MS-PRACT-1</t>
  </si>
  <si>
    <t>PROPUESTA DE MEJORA DE LA GESTIÓN DE LA MESA DE SERVICIO - SOSTENIBILIDAD</t>
  </si>
  <si>
    <t>151-MS-PRACT-2</t>
  </si>
  <si>
    <t>PROPUESTA DE OPTIMIZACIÓN DE LOS FLUJOS DE PROCESOS - KOLBI</t>
  </si>
  <si>
    <t>151-MD-PRACT-3</t>
  </si>
  <si>
    <t>Minería de logs de ECE y BRM</t>
  </si>
  <si>
    <t>151-GNR-LABS</t>
  </si>
  <si>
    <t>Gestión de nuevos requerimientos LABS</t>
  </si>
  <si>
    <t>ICE.NF.SO.NCP2</t>
  </si>
  <si>
    <t>Actividades asociadas a Sostenibilidad NCP2 no Facturable</t>
  </si>
  <si>
    <t>ICE.SO.GC.NCP2</t>
  </si>
  <si>
    <t>Gestión de la Calidad Sostenibilidad ICE - NCP2</t>
  </si>
  <si>
    <t>ICE.SO.PMO.NCP2</t>
  </si>
  <si>
    <t>Gestión de Proyectos Sostenibilidad ICE  - NCP2</t>
  </si>
  <si>
    <t>ICE.SO.GNR.NCP2</t>
  </si>
  <si>
    <t>Gestión de nuevos requerimiento Sostenibilidad ICE - NC - Prórroga 2</t>
  </si>
  <si>
    <t>ICE.SO.GI.NCP2</t>
  </si>
  <si>
    <t>Gestión de Incidencias Sostenibilidad ICE - NCP2</t>
  </si>
  <si>
    <t>ICE.SO.SO.NCP2</t>
  </si>
  <si>
    <t>Soporte a la Operación Sostenibilidad ICE - NCP2</t>
  </si>
  <si>
    <t>742-152-MSJ</t>
  </si>
  <si>
    <t>GESTIÓN DE NUEVOS REQUERIMIENTOS - MSJ</t>
  </si>
  <si>
    <t>TAREAS ASOCIADAS A PROYECTOS DE PRACTICANTES INA</t>
  </si>
  <si>
    <t>151-RM-PRACT-4</t>
  </si>
  <si>
    <t>INTEGRACIÓN ISO 9001 E ISO 2000</t>
  </si>
  <si>
    <t>151-BRM-PRACT-5</t>
  </si>
  <si>
    <t>ORACLE PDC SYSTEM</t>
  </si>
  <si>
    <t>151-CAP-PRACT-6</t>
  </si>
  <si>
    <t>SOLUCIÓN DE GESTIÓN DE CONOCIMIENTOS PARA LAS CAPACITACIONES DEL ERP</t>
  </si>
  <si>
    <t>151-ERR-PRACT-7</t>
  </si>
  <si>
    <t>SISTEMA DE ERRORES CONOCIDOS DEL ERP</t>
  </si>
  <si>
    <t>151-EST-PILARES</t>
  </si>
  <si>
    <t>Pilares Empresariales</t>
  </si>
  <si>
    <t>151-WIK-PRACT-8</t>
  </si>
  <si>
    <t>Documentación de procesos en sitio WIKI BRM</t>
  </si>
  <si>
    <t>and cc.PRYCcodigo in ( 'ICE.SO', '2013CD-000930 ')</t>
  </si>
  <si>
    <t>and aa.PRYAcodigo in ( '2.3', '2.4' )</t>
  </si>
  <si>
    <t>Todas</t>
  </si>
  <si>
    <t>Columna1</t>
  </si>
  <si>
    <t>PRYAcodigo</t>
  </si>
  <si>
    <t>PRYAdescripcion</t>
  </si>
  <si>
    <t>PRYAnivel</t>
  </si>
  <si>
    <t>PRYApath</t>
  </si>
  <si>
    <t>PRYRAfecha</t>
  </si>
  <si>
    <t>PRYRAcomentario</t>
  </si>
  <si>
    <t>PRYRAhoras</t>
  </si>
  <si>
    <t>Nivel</t>
  </si>
  <si>
    <t>Total Actividad</t>
  </si>
  <si>
    <t>No. Usuario</t>
  </si>
  <si>
    <t>No. Actividad</t>
  </si>
  <si>
    <t>Actividad</t>
  </si>
  <si>
    <t>and cc.PRYCcodigo in ( 'PC-4500009239', 'PC-4500009239-G ')</t>
  </si>
  <si>
    <t>Total</t>
  </si>
  <si>
    <t>151-ERP-PRACT-9</t>
  </si>
  <si>
    <t>GESTIÓN DE NUEVOS REQUERIMIENTOS - IAFA</t>
  </si>
  <si>
    <t>151-ERPPRACT-10</t>
  </si>
  <si>
    <t>jamaral</t>
  </si>
  <si>
    <t>asibajan</t>
  </si>
  <si>
    <t>ALEJANDRO SIBAJA NAVARRO</t>
  </si>
  <si>
    <t>sn.SNid, sn.SNcodigo, sn.Snnombre</t>
  </si>
  <si>
    <t>cc.PRYCid, cc.PRYCcodigo, cc.PRYCdescripcion</t>
  </si>
  <si>
    <t xml:space="preserve">tt.PRYTid, tt.PRYTcodigo, tt.PRYTdescripcion + ' (' + (select Usunombre from PRYUsuarios where Ecodigo=tt.Ecodigo and Usucodigo=tt.Usucodigo) + ')' as PRYTdescripcion, </t>
  </si>
  <si>
    <t xml:space="preserve">pp.PRYid, pp.PRYcodigo, pp.PRYdescripcion, </t>
  </si>
  <si>
    <t xml:space="preserve">ap.PRYAid, ap.PRYAcodigo, ap.PRYAdescripcion, ap.PRYAesTarea, ap.PRYAnivel, ap.PRYApath </t>
  </si>
  <si>
    <t>Cliente ID</t>
  </si>
  <si>
    <t>Cliente Código</t>
  </si>
  <si>
    <t>Cliente Nombre</t>
  </si>
  <si>
    <t>Contrato ID</t>
  </si>
  <si>
    <t>Contrato Código</t>
  </si>
  <si>
    <t>Contrato Nombre</t>
  </si>
  <si>
    <t>Area ID</t>
  </si>
  <si>
    <t>Area Código</t>
  </si>
  <si>
    <t>Area Nombre</t>
  </si>
  <si>
    <t>Proyecto ID</t>
  </si>
  <si>
    <t>Proyecto Código</t>
  </si>
  <si>
    <t>Proyecto Nombre</t>
  </si>
  <si>
    <t>Actividad ID</t>
  </si>
  <si>
    <t>Actividad Código</t>
  </si>
  <si>
    <t>Actividad Nombre</t>
  </si>
  <si>
    <t>, cc.PRYCcodigo, cc.PRYCdescripcion</t>
  </si>
  <si>
    <t>, tt.PRYTcodigo, tt.PRYTdescripcion + ' (' + (select Usunombre from PRYUsuarios where Ecodigo=tt.Ecodigo and Usucodigo=tt.Usucodigo) + ')' as PRYTdescripcion</t>
  </si>
  <si>
    <t>, pp.PRYcodigo, pp.PRYdescripcion</t>
  </si>
  <si>
    <t xml:space="preserve">, ap.PRYAcodigo, ap.PRYAdescripcion, ap.PRYAesTarea, ap.PRYAnivel, ap.PRYApath </t>
  </si>
  <si>
    <t>Group by</t>
  </si>
  <si>
    <t>Horas</t>
  </si>
  <si>
    <t>Monto</t>
  </si>
  <si>
    <t>SOSTENIBILIDAD - ERP</t>
  </si>
  <si>
    <t>SOLUCIÓN INTEGRAL PARA PROCESO TC EN LA CAPACITACION MODULOS ERP</t>
  </si>
  <si>
    <t>151-023-ADM-ERP</t>
  </si>
  <si>
    <t>TAREAS ADMINISTRATIVAS Y DE GESTIÓN - ERP</t>
  </si>
  <si>
    <t>151-190-RUT</t>
  </si>
  <si>
    <t>Proyecto Registro Único Tributario</t>
  </si>
  <si>
    <t>151-400-OPORTA</t>
  </si>
  <si>
    <t>PAGINA WEB JUNIOR OPORTA</t>
  </si>
  <si>
    <t>S5</t>
  </si>
  <si>
    <t>SPRINT DISTRICT</t>
  </si>
  <si>
    <t>cc</t>
  </si>
  <si>
    <t>CAPACITACIÓN</t>
  </si>
  <si>
    <t>wsusatama</t>
  </si>
  <si>
    <t>WILSON SUSATAMA GRIJALBA</t>
  </si>
  <si>
    <t>sherrera</t>
  </si>
  <si>
    <t>SERGIO HERRERA VARGAS</t>
  </si>
  <si>
    <t>msolorzano</t>
  </si>
  <si>
    <t>MARCELO SOLORZANO ASTORGA</t>
  </si>
  <si>
    <t>mdoganieri</t>
  </si>
  <si>
    <t>MARIA SOLEDAD DOGANIERI TORRES</t>
  </si>
  <si>
    <t>dwheathey</t>
  </si>
  <si>
    <t>DALIA VERONICA WHEATHEY BALLADARES</t>
  </si>
  <si>
    <t>PROC.TELCO</t>
  </si>
  <si>
    <t>PROC.RH</t>
  </si>
  <si>
    <t>PROY-INT.-RH</t>
  </si>
  <si>
    <t>PROYECTOS INTERNOS DE PROCESO RRHH</t>
  </si>
  <si>
    <t>EDGARDO CUBILLO HERNANDEZ</t>
  </si>
  <si>
    <t>cpitti</t>
  </si>
  <si>
    <t>CRIS MARIEL PITTI QUIROS</t>
  </si>
  <si>
    <t>HR Assistant</t>
  </si>
  <si>
    <t>emeza</t>
  </si>
  <si>
    <t>ERICK MEZA BARBOZA</t>
  </si>
  <si>
    <t>gmorales</t>
  </si>
  <si>
    <t>GIOVANNY JOSE MORALES MENESES</t>
  </si>
  <si>
    <t>ohidalgo</t>
  </si>
  <si>
    <t>ORLANDO JOSE HIDALGO RAMIREZ</t>
  </si>
  <si>
    <t>PROCESO DE RECURSOS HUMANOS</t>
  </si>
  <si>
    <t>MW.INFRA.H</t>
  </si>
  <si>
    <t>Middleware Infraestructura (Horas Jorge)</t>
  </si>
  <si>
    <t>Portal Web y app movil para ANAGOLF</t>
  </si>
  <si>
    <t>095-156-IAFA</t>
  </si>
  <si>
    <t>095-154-IAFA</t>
  </si>
  <si>
    <t>ACTIVIDADES DEL PROCESO COMERCIAL - 2019</t>
  </si>
  <si>
    <t>095-152-IAFA</t>
  </si>
  <si>
    <t>151-400-FANFAM</t>
  </si>
  <si>
    <t>DESARROLLO APLICACION FANFAM</t>
  </si>
  <si>
    <t>871-154-CTP2019</t>
  </si>
  <si>
    <t>403-DISEN-LABS</t>
  </si>
  <si>
    <t>PLANTILLA DISEÑOS EQUIPO LABS</t>
  </si>
  <si>
    <t>SOP.GES.AMB</t>
  </si>
  <si>
    <t>RQ19-0110-A  Soporte gestión ambientes</t>
  </si>
  <si>
    <t>SOP.SOLIC.SERVI</t>
  </si>
  <si>
    <t>RQ19-0442-A  Soporte mensual para la atención de Solicitudes de Servicio al Clie</t>
  </si>
  <si>
    <t>PROYECTO DE IDENTIDAD NACIONAL DIGITAL</t>
  </si>
  <si>
    <t>Requerimientos por inversión equipo BI</t>
  </si>
  <si>
    <t>181-REU-TEC</t>
  </si>
  <si>
    <t>Reuniones y Gestión de Equipo Técnicos</t>
  </si>
  <si>
    <t>197-SPRINT</t>
  </si>
  <si>
    <t>151-158-BI</t>
  </si>
  <si>
    <t>OPORTUNIDADES DE NEGOCIO EQUIPO BI</t>
  </si>
  <si>
    <t>693-140-BIMBO</t>
  </si>
  <si>
    <t>SOPORTE BIMBO MEXICO</t>
  </si>
  <si>
    <t>BI-095-175-RD</t>
  </si>
  <si>
    <t>PROYECTO RECETA DIGITAL - BI</t>
  </si>
  <si>
    <t>095-152-PANI</t>
  </si>
  <si>
    <t>GESTION DE NUEVOS REQUERIMIENTOS - PANI</t>
  </si>
  <si>
    <t>400-154-HNKL-19</t>
  </si>
  <si>
    <t>Gestión de Servicios al Cliente (AMPARADO A CONTRATO) - HENKEL</t>
  </si>
  <si>
    <t>400-152-HNKL-19</t>
  </si>
  <si>
    <t>GESTION DE NUEVOS REQUERIMIENTOS - HENKEL 2019</t>
  </si>
  <si>
    <t>151-190-GES.DOC</t>
  </si>
  <si>
    <t>PROYECTO DE IMPLEMEMTACIÓN DEL GESTOR DOCUMENTAL</t>
  </si>
  <si>
    <t>151-400-TRAMITE</t>
  </si>
  <si>
    <t>DESARROLLO DE SOLUCIÓN - TRAMITE YA</t>
  </si>
  <si>
    <t>151-160-ERP2020</t>
  </si>
  <si>
    <t>151-300-DG2020</t>
  </si>
  <si>
    <t>ACTIVIDADES DISEÑO GRAFICO 2020</t>
  </si>
  <si>
    <t>151-SOP-2020</t>
  </si>
  <si>
    <t>ACTIVIDADES AREA DE SOPORTE (INTERNO / EXTERNO) 2020</t>
  </si>
  <si>
    <t>151-CMRCL-2020</t>
  </si>
  <si>
    <t>ACTIVIDADES DEL PROCESO COMERCIAL - 2020</t>
  </si>
  <si>
    <t>151-QA-CORP2020</t>
  </si>
  <si>
    <t>TAREAS ASOCIADAS AL EQUIPO QA CORPORATIVO 2020</t>
  </si>
  <si>
    <t>151-PMO-COR2020</t>
  </si>
  <si>
    <t>SERVICIOS INTERNOS PMO CORPORATIVA 2020</t>
  </si>
  <si>
    <t>CB</t>
  </si>
  <si>
    <t>CLIENTES BI</t>
  </si>
  <si>
    <t>I1</t>
  </si>
  <si>
    <t>SPRINT CEMP</t>
  </si>
  <si>
    <t>I2</t>
  </si>
  <si>
    <t>SPRINT PTI</t>
  </si>
  <si>
    <t>I3</t>
  </si>
  <si>
    <t>SPRINT FACTO</t>
  </si>
  <si>
    <t>S6</t>
  </si>
  <si>
    <t>CSP-012-2019</t>
  </si>
  <si>
    <t>096-04-2019</t>
  </si>
  <si>
    <t>Soporte, Sost. Mant preventivo, Nuevo Requerimiento y Actualizacion SIF</t>
  </si>
  <si>
    <t>2019CD-10-149-1</t>
  </si>
  <si>
    <t>Soporte Mantenimiento correctivo y evolutivo de la versión actual del Sistema ER</t>
  </si>
  <si>
    <t>400-HENKEL-2019</t>
  </si>
  <si>
    <t>Soporte, Sostenibilidad, Mantenimiento Correctivo, Nuevos Requerimientos</t>
  </si>
  <si>
    <t>PROY-INT.-BI</t>
  </si>
  <si>
    <t>PROYECTOS INTERNOS DE PROCESO BI</t>
  </si>
  <si>
    <t>PROY-INT.-DG</t>
  </si>
  <si>
    <t>PROYECTOS INTERNOS DE PROCESO D.G.</t>
  </si>
  <si>
    <t>PROY-INT.-LABS</t>
  </si>
  <si>
    <t>PROYECTOS INTERNOS DE PROCESO LABS</t>
  </si>
  <si>
    <t>PROY-INT.-PM0</t>
  </si>
  <si>
    <t>PROYECTOS INTERNOS DE PROCESO P.M.O.</t>
  </si>
  <si>
    <t>PROY-INT.-QA</t>
  </si>
  <si>
    <t>PROYECTOS INTERNOS DE PROCESO QA</t>
  </si>
  <si>
    <t>PROY-INT.-RM</t>
  </si>
  <si>
    <t>PROYECTOS INTERNOS DE PROCESO R.M.</t>
  </si>
  <si>
    <t>PROY-INT.-SLD</t>
  </si>
  <si>
    <t>PROYECTOS INTERNOS DE PROCESO SALUD</t>
  </si>
  <si>
    <t>PROY-INT.-SP</t>
  </si>
  <si>
    <t>PROYECTOS INTERNOS DE PROCESO SOPORTE</t>
  </si>
  <si>
    <t>PROY-INT.-TLCO</t>
  </si>
  <si>
    <t>PROYECTOS INTERNOS DE PROCESO TELCO</t>
  </si>
  <si>
    <t>PROY-INT.-COM</t>
  </si>
  <si>
    <t>PROYECTOS INTERNOS DE PROCESO COMERCIAL</t>
  </si>
  <si>
    <t>PROY-INT.-STR</t>
  </si>
  <si>
    <t>PROYECTOS INTERNOS DE PROCESO STRATEGY</t>
  </si>
  <si>
    <t>PROC.BI</t>
  </si>
  <si>
    <t>PROCESO DE INTELIGENCIA DE NEGOCIOS</t>
  </si>
  <si>
    <t>PROC.SOPOR</t>
  </si>
  <si>
    <t>PROCESO SOPORTE AL CLIENTE</t>
  </si>
  <si>
    <t>PROC.ERP</t>
  </si>
  <si>
    <t>PROC.VENTA</t>
  </si>
  <si>
    <t>PROCESO COMERCIAL</t>
  </si>
  <si>
    <t>PROC.PMO</t>
  </si>
  <si>
    <t>PROCESO GESTION DE PROYECTOS</t>
  </si>
  <si>
    <t>PROC.CONTA</t>
  </si>
  <si>
    <t>PROCESO DE GESTION FINANCIERO CONTABLE</t>
  </si>
  <si>
    <t>PROC.INTER</t>
  </si>
  <si>
    <t>PROCESO DE INTEROPERABILIDAD</t>
  </si>
  <si>
    <t>PROC.LABS</t>
  </si>
  <si>
    <t>PROC.SALUD</t>
  </si>
  <si>
    <t>PROCESO SECTOR SALUD</t>
  </si>
  <si>
    <t>PROC.DG</t>
  </si>
  <si>
    <t>PROCESO DE DISEÑO CORPORATIVO</t>
  </si>
  <si>
    <t>PROC.QA</t>
  </si>
  <si>
    <t>PROCESO DE ASEGURAMIENTO DE LA CALIDAD</t>
  </si>
  <si>
    <t>PROCESO DE DIRECCIÓN ESTRATEGICA</t>
  </si>
  <si>
    <t>PROC.RM</t>
  </si>
  <si>
    <t>PROCESO DE LIBERACIÓN DE SOFTWARE</t>
  </si>
  <si>
    <t>PROCESO DE TELECOMUNICACIONES</t>
  </si>
  <si>
    <t>HRG.01</t>
  </si>
  <si>
    <t>HR Generalist</t>
  </si>
  <si>
    <t>ICE.SO.46</t>
  </si>
  <si>
    <t>ssolanoz</t>
  </si>
  <si>
    <t>svillalobos</t>
  </si>
  <si>
    <t>SABRINA ANDREA VILLALOBOS ARIAS</t>
  </si>
  <si>
    <t>aharwood</t>
  </si>
  <si>
    <t>ANDY HARWOOD</t>
  </si>
  <si>
    <t>mmorales</t>
  </si>
  <si>
    <t>MARIO MORALES ASTORGA</t>
  </si>
  <si>
    <t>acubillo</t>
  </si>
  <si>
    <t>ANGIE CUBILLO RAMIREZ</t>
  </si>
  <si>
    <t>Recurso</t>
  </si>
  <si>
    <t>Fecha</t>
  </si>
  <si>
    <t>Detalle</t>
  </si>
  <si>
    <t>Tarea</t>
  </si>
  <si>
    <t>Subtarea</t>
  </si>
  <si>
    <t>Nivel1</t>
  </si>
  <si>
    <t>HORAS</t>
  </si>
  <si>
    <t>Grupo temporal para apoyo en reportes</t>
  </si>
  <si>
    <t>051-QA-CORP</t>
  </si>
  <si>
    <t>SOIN-ADM-2020</t>
  </si>
  <si>
    <t>TAREAS ADMINISTRATIVAS SOIN 2020</t>
  </si>
  <si>
    <t>151-RM-COR2020</t>
  </si>
  <si>
    <t>TAREAS ASOCIADAS AL EQUIPO RM CORPORATIVO 2020</t>
  </si>
  <si>
    <t>151-RH-2020</t>
  </si>
  <si>
    <t>ACTIVIDADES ASOCIADAS A RECURSOS HUMANOS -2020</t>
  </si>
  <si>
    <t>151-400-FITO</t>
  </si>
  <si>
    <t>DESARROLLO DE SOLUCIÓN - FITOSANITARIO</t>
  </si>
  <si>
    <t>BI-011-152-BCR</t>
  </si>
  <si>
    <t>GESTION DE NUEVO REQUERIMIENTOS (RQ Y ADICIONALES)</t>
  </si>
  <si>
    <t>151-BI-PRACT-11</t>
  </si>
  <si>
    <t>PROYECTO EAGLE EYE</t>
  </si>
  <si>
    <t>579-203-EDU-FAR</t>
  </si>
  <si>
    <t>EDUS - Farmacia</t>
  </si>
  <si>
    <t>579-203-ACTSIFF</t>
  </si>
  <si>
    <t>ACTUALIZACIÓN SIFF</t>
  </si>
  <si>
    <t>151-156-SOIN 20</t>
  </si>
  <si>
    <t>Actualización del  ERP en SOIN - SIF/Nómina/RH - 2020</t>
  </si>
  <si>
    <t>S7</t>
  </si>
  <si>
    <t>SPRINT FITO</t>
  </si>
  <si>
    <t>CT-068-JPS</t>
  </si>
  <si>
    <t>2016CD-000052</t>
  </si>
  <si>
    <t>Actualizacion versiones, soporte, mejoras y mantenimiento SIFF SAPIENS</t>
  </si>
  <si>
    <t>JUAN DIEGO CASTRO ECHEVERRI</t>
  </si>
  <si>
    <t>ANA GABRIELA SOLIS SOTO</t>
  </si>
  <si>
    <t>ABEL ALFARO CASTRO</t>
  </si>
  <si>
    <t>PABLO EMILIO MURILLO CRUZ</t>
  </si>
  <si>
    <t>KEVIN FRANCISCO ESPINOZA BERMUDEZ</t>
  </si>
  <si>
    <t>SHIRIAM RAFAEL VARGAS DIJERES</t>
  </si>
  <si>
    <t>REIDY VALENCIA RUBI</t>
  </si>
  <si>
    <t>DIEGO ARMANDO VIDAL MENDEZ</t>
  </si>
  <si>
    <t>BIVEKI BALZA RANGEL</t>
  </si>
  <si>
    <t>chliang</t>
  </si>
  <si>
    <t>JESUS ARNOLDO AMARAL DESIDERIO</t>
  </si>
  <si>
    <t>SHARON REBECA SOLANO ZAPATA</t>
  </si>
  <si>
    <t>jpgonzalez</t>
  </si>
  <si>
    <t>JOSE PABLO GONZALEZ ALVARADO</t>
  </si>
  <si>
    <t>jgutierrez</t>
  </si>
  <si>
    <t>JASON GUTIERREZ QUIROS</t>
  </si>
  <si>
    <t>JORGE TANAKA CAZUMI</t>
  </si>
  <si>
    <t>VICTOR ANDRES CHAVES DIAZ</t>
  </si>
  <si>
    <t>DAVID ALEXANDER BARRANTES AGUILAR</t>
  </si>
  <si>
    <t>WENDY ALEXANDRA MADRIGAL BOLAÑOS</t>
  </si>
  <si>
    <t>salarcon</t>
  </si>
  <si>
    <t>SEAN ALARCON ALFARO</t>
  </si>
  <si>
    <t>acordobav</t>
  </si>
  <si>
    <t>ANDRES CORDOBA VILLALTA</t>
  </si>
  <si>
    <t>Select DISTINCT</t>
  </si>
  <si>
    <t>, ra.PRYRAid</t>
  </si>
  <si>
    <t>PRYRAid</t>
  </si>
  <si>
    <t>Perfil</t>
  </si>
  <si>
    <t>095-203-RD-ATM</t>
  </si>
  <si>
    <t>PROYECTO RECETA DIGITAL ATM</t>
  </si>
  <si>
    <t>151-190-EST-LAB</t>
  </si>
  <si>
    <t>PROYECTO DE IMPLEMENTACIÓN DE SEGUIMIENTO DE PRODUCTO TERMINADO</t>
  </si>
  <si>
    <t>DEV.05</t>
  </si>
  <si>
    <t>Mes</t>
  </si>
  <si>
    <t>M1NCP2</t>
  </si>
  <si>
    <t>M4NCP2</t>
  </si>
  <si>
    <t>M7NCP2</t>
  </si>
  <si>
    <t>M3NCP2</t>
  </si>
  <si>
    <t>M5NCP2</t>
  </si>
  <si>
    <t>M9NCP2</t>
  </si>
  <si>
    <t>M10NCP2</t>
  </si>
  <si>
    <t>M6NCP2</t>
  </si>
  <si>
    <t>M8NCP2</t>
  </si>
  <si>
    <t>M2NCP2</t>
  </si>
  <si>
    <t>Columna2</t>
  </si>
  <si>
    <t>F Inicio</t>
  </si>
  <si>
    <t>F. Final</t>
  </si>
  <si>
    <t>Desde / Hasta</t>
  </si>
  <si>
    <t>Semana</t>
  </si>
  <si>
    <t>Del 22/06/12 al 22/07/12</t>
  </si>
  <si>
    <t>M1</t>
  </si>
  <si>
    <t>Semana 50
23/08/14 - 31/08/14</t>
  </si>
  <si>
    <t>CA</t>
  </si>
  <si>
    <t>Del 23/07/12 al 22/08/12</t>
  </si>
  <si>
    <t>M2</t>
  </si>
  <si>
    <t>Semana 54
23/09/14 - 28/09/14</t>
  </si>
  <si>
    <t>Del 23/08/12 al 22/09/12</t>
  </si>
  <si>
    <t>M3</t>
  </si>
  <si>
    <t>Semana 54
23/09/14 - 28/09/15</t>
  </si>
  <si>
    <t>Del 23/09/12 al 22/10/12</t>
  </si>
  <si>
    <t>M4</t>
  </si>
  <si>
    <t>Semana 55
29/09/14 - 05/10/14</t>
  </si>
  <si>
    <t>Del 23/10/12 al 22/11/12</t>
  </si>
  <si>
    <t>M5</t>
  </si>
  <si>
    <t>Semana 56
06/10/14 - 12/10/14</t>
  </si>
  <si>
    <t>Del 23/11/12 al 22/12/12</t>
  </si>
  <si>
    <t>M6</t>
  </si>
  <si>
    <t>Semana 57
13/10/14 - 22/10/14</t>
  </si>
  <si>
    <t>Del 23/12/12 al 22/01/13</t>
  </si>
  <si>
    <t>M7</t>
  </si>
  <si>
    <t>Semana 58
23/10/14 - 02/11/14</t>
  </si>
  <si>
    <t>Del 23/01/13 al 22/02/13</t>
  </si>
  <si>
    <t>M8</t>
  </si>
  <si>
    <t>Semana 59
03/11/14 - 09/11/14</t>
  </si>
  <si>
    <t>Del 23/02/13 al 22/03/13</t>
  </si>
  <si>
    <t>M9</t>
  </si>
  <si>
    <t>Semana 60
10/11/14 - 16/11/14</t>
  </si>
  <si>
    <t>Del 23/03/13 al 22/04/13</t>
  </si>
  <si>
    <t>M10</t>
  </si>
  <si>
    <t>Semana 61
17/11/14 - 22/11/14</t>
  </si>
  <si>
    <t>Del 23/04/13 al 22/05/13</t>
  </si>
  <si>
    <t>M11</t>
  </si>
  <si>
    <t>Semana 1
23/11/14 - 30/11/14</t>
  </si>
  <si>
    <t>Del 23/05/13 al 22/06/13</t>
  </si>
  <si>
    <t>M12</t>
  </si>
  <si>
    <t>Semana 2
01/12/14 - 07/12/14</t>
  </si>
  <si>
    <t>Del 23/06/13 al 22/07/13</t>
  </si>
  <si>
    <t>M13</t>
  </si>
  <si>
    <t>Semana 3
08/12/14 - 14/12/14</t>
  </si>
  <si>
    <t>Del 23/07/13 al 22/08/13</t>
  </si>
  <si>
    <t>M14</t>
  </si>
  <si>
    <t>Semana 4
15/12/14 - 22/12/14</t>
  </si>
  <si>
    <t>Del 23/08/13 al 22/09/13</t>
  </si>
  <si>
    <t>M1P1</t>
  </si>
  <si>
    <t>Semana 5
23/12/14 - 28/12/14</t>
  </si>
  <si>
    <t>NC</t>
  </si>
  <si>
    <t>Del 23/09/13 al 22/10/13</t>
  </si>
  <si>
    <t>M2P1</t>
  </si>
  <si>
    <t>Semana 6
29/12/14 - 04/01/15</t>
  </si>
  <si>
    <t>Del 23/10/13 al 22/11/13</t>
  </si>
  <si>
    <t>M3P1</t>
  </si>
  <si>
    <t>Semana 7
05/01/15 - 11/01/15</t>
  </si>
  <si>
    <t>Del 23/11/13 al 22/12/13</t>
  </si>
  <si>
    <t>M4P1</t>
  </si>
  <si>
    <t>Semana 8
12/01/15 - 18/01/15</t>
  </si>
  <si>
    <t>Del 23/12/13 al 22/01/14</t>
  </si>
  <si>
    <t>M5P1</t>
  </si>
  <si>
    <t>Semana 9
19/01/15 - 22/01/15</t>
  </si>
  <si>
    <t>Del 23/01/14 al 22/02/14</t>
  </si>
  <si>
    <t>M6P1</t>
  </si>
  <si>
    <t>Semana 10
23/01/15 -01/02/15</t>
  </si>
  <si>
    <t>Del 23/02/14 al 22/03/14</t>
  </si>
  <si>
    <t>M7P1</t>
  </si>
  <si>
    <t>Semana 11
02/02/15 - 08/02/15</t>
  </si>
  <si>
    <t>Del 23/03/14 al 22/04/14</t>
  </si>
  <si>
    <t>M8P1</t>
  </si>
  <si>
    <t>Semana 12
09/02/15 - 15/02/15</t>
  </si>
  <si>
    <t>Del 23/04/14 al 22/05/14</t>
  </si>
  <si>
    <t>M9P1</t>
  </si>
  <si>
    <t>Semana 13
16/02/15 - 22/02/15</t>
  </si>
  <si>
    <t>Del 23/05/14 al 22/06/14</t>
  </si>
  <si>
    <t>M10P1</t>
  </si>
  <si>
    <t>Semana 14
23/02/15 -01/03/15</t>
  </si>
  <si>
    <t>Del 23/06/14 al 22/07/14</t>
  </si>
  <si>
    <t>M11P1</t>
  </si>
  <si>
    <t>Semana 15
02/03/15 - 08/03/15</t>
  </si>
  <si>
    <t>Del 23/07/14 al 22/08/14</t>
  </si>
  <si>
    <t>M12P1</t>
  </si>
  <si>
    <t>Semana 16
09/03/15 - 15/03/15</t>
  </si>
  <si>
    <t>Del 23/08/14 al 22/09/14</t>
  </si>
  <si>
    <t>M13P1</t>
  </si>
  <si>
    <t>Semana 17
16/03/15 - 22/03/15</t>
  </si>
  <si>
    <t>Del 23/09/14 al 22/10/14</t>
  </si>
  <si>
    <t>M14P1</t>
  </si>
  <si>
    <t>Semana 18
23/03/15 -29/03/15</t>
  </si>
  <si>
    <t>Del 23/10/14 al 22/11/14</t>
  </si>
  <si>
    <t>M15P1</t>
  </si>
  <si>
    <t>Semana 19
30/03/15 - 05/04/15</t>
  </si>
  <si>
    <t>NCP1</t>
  </si>
  <si>
    <t>Del 23/11/14 al 22/12/14</t>
  </si>
  <si>
    <t>M1P2</t>
  </si>
  <si>
    <t>Semana 20
06/04/15 - 12/04/15</t>
  </si>
  <si>
    <t>Del 23/12/14 al 22/01/15</t>
  </si>
  <si>
    <t>M2P2</t>
  </si>
  <si>
    <t>Semana 21
13/04/15 - 22/04/15</t>
  </si>
  <si>
    <t>Del 23/01/15 al 22/02/15</t>
  </si>
  <si>
    <t>M3P2</t>
  </si>
  <si>
    <t>Semana 22
23/04/15 -03/05/15</t>
  </si>
  <si>
    <t>Del 23/02/15 al 22/03/15</t>
  </si>
  <si>
    <t>M4P2</t>
  </si>
  <si>
    <t>Semana 23
04/05/15 - 10/05/15</t>
  </si>
  <si>
    <t>Del 23/03/15 al 22/04/15</t>
  </si>
  <si>
    <t>M5P2</t>
  </si>
  <si>
    <t>Semana 24
11/05/15 - 17/05/15</t>
  </si>
  <si>
    <t>Del 23/04/15 al 22/05/15</t>
  </si>
  <si>
    <t>M6P2</t>
  </si>
  <si>
    <t>Semana 25
18/05/15 - 22/05/15</t>
  </si>
  <si>
    <t>Del 23/05/15 al 22/06/15</t>
  </si>
  <si>
    <t>M7P2</t>
  </si>
  <si>
    <t>Semana 26
23/05/15 31/05/15</t>
  </si>
  <si>
    <t>Del 23/06/15 al 22/07/15</t>
  </si>
  <si>
    <t>M8P2</t>
  </si>
  <si>
    <t>Semana 27
01/06/15 - 07/06/15</t>
  </si>
  <si>
    <t>Del 23/07/15 al 22/08/15</t>
  </si>
  <si>
    <t>M9P2</t>
  </si>
  <si>
    <t>Semana 28
08/06/15 - 14/06/15</t>
  </si>
  <si>
    <t>Del 23/08/15 al 22/09/15</t>
  </si>
  <si>
    <t>M10P2</t>
  </si>
  <si>
    <t>Semana 29
15/06/15 - 22/06/15</t>
  </si>
  <si>
    <t>Del 23/09/15 al 22/10/15</t>
  </si>
  <si>
    <t>M11P2</t>
  </si>
  <si>
    <t>Semana30
23/06/15 28/06/15</t>
  </si>
  <si>
    <t>Del 23/10/15 al 22/11/15</t>
  </si>
  <si>
    <t>M12P2</t>
  </si>
  <si>
    <t>Semana 31
29/06/15 - 05/07/15</t>
  </si>
  <si>
    <t>Del 23/11/15 al 22/12/15</t>
  </si>
  <si>
    <t>M13P2</t>
  </si>
  <si>
    <t>Semana32
06/07/15 - 12/07/15</t>
  </si>
  <si>
    <t>Del 23/12/15 al 22/01/16</t>
  </si>
  <si>
    <t>M14P2</t>
  </si>
  <si>
    <t>Semana33
13/07/15 - 22/07/15</t>
  </si>
  <si>
    <t>NCP2</t>
  </si>
  <si>
    <t>Del 23/01/16 al 22/02/16</t>
  </si>
  <si>
    <t>M1CA</t>
  </si>
  <si>
    <t>Semana 34
23/07/15 02/08/15</t>
  </si>
  <si>
    <t>Del 23/02/16 al 22/03/16</t>
  </si>
  <si>
    <t>M2CA</t>
  </si>
  <si>
    <t>Semana 35
03/08/15 - 09/08/15</t>
  </si>
  <si>
    <t>Del 23/03/16 al 22/04/16</t>
  </si>
  <si>
    <t>M3CA</t>
  </si>
  <si>
    <t>Semana 36
10/08/15 - 16/08/15</t>
  </si>
  <si>
    <t>Del 23/04/16 al 22/05/16</t>
  </si>
  <si>
    <t>M4CA</t>
  </si>
  <si>
    <t>Semana 37
17/08/15 - 22/08/15</t>
  </si>
  <si>
    <t>Del 23/05/16 al 22/06/16</t>
  </si>
  <si>
    <t>M5CA</t>
  </si>
  <si>
    <t>Semana 38
23/08/15 30/08/15</t>
  </si>
  <si>
    <t>Del 23/06/16 al 22/07/16</t>
  </si>
  <si>
    <t>M6CA</t>
  </si>
  <si>
    <t>Semana 39
31/08/15 - 06/09/15</t>
  </si>
  <si>
    <t>Del 23/07/16 al 22/08/16</t>
  </si>
  <si>
    <t>M7CA</t>
  </si>
  <si>
    <t>Semana 40
07/09/15 - 13/09/15</t>
  </si>
  <si>
    <t>Del 23/08/16 al 22/09/16</t>
  </si>
  <si>
    <t>M8CA</t>
  </si>
  <si>
    <t>Semana 41
14/09/15 - 22/09/15</t>
  </si>
  <si>
    <t>Del 23/09/16 al 22/10/16</t>
  </si>
  <si>
    <t>M9CA</t>
  </si>
  <si>
    <t>Semana 42
23/09/15 04/10/15</t>
  </si>
  <si>
    <t>Del 23/10/16 al 22/11/16</t>
  </si>
  <si>
    <t>M10CA</t>
  </si>
  <si>
    <t>Semana 43
05/10/15 - 11/10/15</t>
  </si>
  <si>
    <t>Del 23/11/16 al 22/12/16</t>
  </si>
  <si>
    <t>M11CA</t>
  </si>
  <si>
    <t>Semana 44
12/10/15 - 18/10/15</t>
  </si>
  <si>
    <t>Del 23/12/16 al 22/01/17</t>
  </si>
  <si>
    <t>M12CA</t>
  </si>
  <si>
    <t>Semana 45
19/10/15 - 22/10/15</t>
  </si>
  <si>
    <t>Del 23/01/17 al 22/02/17</t>
  </si>
  <si>
    <t>M13CA</t>
  </si>
  <si>
    <t>Semana 46
23/10/15 01/11/15</t>
  </si>
  <si>
    <t>Del 23/02/17 al 22/03/17</t>
  </si>
  <si>
    <t>M14CA</t>
  </si>
  <si>
    <t>Semana 47
02/11/15 - 08/11/15</t>
  </si>
  <si>
    <t>Del 23/03/17 al 22/04/17</t>
  </si>
  <si>
    <t>M1NC</t>
  </si>
  <si>
    <t>Semana 48
09/11/15 - 15/11/15</t>
  </si>
  <si>
    <t>Del 23/04/17 al 22/05/17</t>
  </si>
  <si>
    <t>M2NC</t>
  </si>
  <si>
    <t>Semana 49
16/11/15 - 22/11/15</t>
  </si>
  <si>
    <t>Del 23/05/17 al 22/06/17</t>
  </si>
  <si>
    <t>M3NC</t>
  </si>
  <si>
    <t>Semana 50
23/11/15 29/11/15</t>
  </si>
  <si>
    <t>Del 23/06/17 al 22/07/17</t>
  </si>
  <si>
    <t>M4NC</t>
  </si>
  <si>
    <t>Anterior</t>
  </si>
  <si>
    <t>Semana 51
30/11/15 - 06/12/15</t>
  </si>
  <si>
    <t>Del 23/07/17 al 22/08/17</t>
  </si>
  <si>
    <t>M5NC</t>
  </si>
  <si>
    <t>Semana 52
07/12/15 - 13/12/15</t>
  </si>
  <si>
    <t>Del 23/08/17 al 22/09/17</t>
  </si>
  <si>
    <t>M6NC</t>
  </si>
  <si>
    <t>Semana 53
14/12/15 - 22/12/15</t>
  </si>
  <si>
    <t>Del 23/09/17 al 22/10/17</t>
  </si>
  <si>
    <t>M7NC</t>
  </si>
  <si>
    <t>Semana 54
23/12/15 03/01/16</t>
  </si>
  <si>
    <t>Del 23/10/17 al 22/11/17</t>
  </si>
  <si>
    <t>M8NC</t>
  </si>
  <si>
    <t>Semana 55
04/01/16 - 10/01/16</t>
  </si>
  <si>
    <t>Del 23/11/17 al 22/12/17</t>
  </si>
  <si>
    <t>M9NC</t>
  </si>
  <si>
    <t>Semana 56
11/01/16 - 17/01/16</t>
  </si>
  <si>
    <t>Del 23/12/17 al 22/01/18</t>
  </si>
  <si>
    <t>M10NC</t>
  </si>
  <si>
    <t>Semana 57
18/01/16- 22/01/16</t>
  </si>
  <si>
    <t>Del 23/01/18 al 22/02/18</t>
  </si>
  <si>
    <t>M11NC</t>
  </si>
  <si>
    <t>Semana 1</t>
  </si>
  <si>
    <t>Semana 1
23/01/16 - 31/01/16</t>
  </si>
  <si>
    <t>Del 23/02/18 al 22/03/18</t>
  </si>
  <si>
    <t>M12NC</t>
  </si>
  <si>
    <t>Semana 2</t>
  </si>
  <si>
    <t>Semana 2
01/02/16 - 07/02/16</t>
  </si>
  <si>
    <t>Del 23/03/18 al 22/04/18</t>
  </si>
  <si>
    <t>M13NC</t>
  </si>
  <si>
    <t>Semana 3</t>
  </si>
  <si>
    <t>Semana 3
08/02/16 - 14/02/16</t>
  </si>
  <si>
    <t>Del 23/04/18 al 22/05/18</t>
  </si>
  <si>
    <t>M14NC</t>
  </si>
  <si>
    <t>Semana 4</t>
  </si>
  <si>
    <t>Semana 4
15/02/16 - 22/02/16</t>
  </si>
  <si>
    <t>NA</t>
  </si>
  <si>
    <t>Semana 5</t>
  </si>
  <si>
    <t>Semana 5
23/02/16 - 28/02/16</t>
  </si>
  <si>
    <t>Del 24/05/18 al 23/06/18</t>
  </si>
  <si>
    <t>M1NCP1</t>
  </si>
  <si>
    <t>Semana 6</t>
  </si>
  <si>
    <t>Semana 6
29/02/16 - 06/03/16</t>
  </si>
  <si>
    <t>Del 24/08/18 al 23/07/18</t>
  </si>
  <si>
    <t>M2NCP1</t>
  </si>
  <si>
    <t>Semana 7</t>
  </si>
  <si>
    <t>Semana 7
07/03/16 - 13/03/16</t>
  </si>
  <si>
    <t>Del 24/09/18 al 23/08/18</t>
  </si>
  <si>
    <t>M3NCP1</t>
  </si>
  <si>
    <t>Semana 8</t>
  </si>
  <si>
    <t>Semana 8
14/03/16 - 22/03/16</t>
  </si>
  <si>
    <t>Del 24/10/18 al 23/09/18</t>
  </si>
  <si>
    <t>M4NCP1</t>
  </si>
  <si>
    <t>Semana 9</t>
  </si>
  <si>
    <t>Semana 9
23/03/16 - 03/04/16</t>
  </si>
  <si>
    <t>Del 24/11/18 al 23/10/18</t>
  </si>
  <si>
    <t>M5NCP1</t>
  </si>
  <si>
    <t>Semana 10</t>
  </si>
  <si>
    <t>Semana 10
04/04/16 - 10/04/16</t>
  </si>
  <si>
    <t>Del 24/12/18 al 23/11/18</t>
  </si>
  <si>
    <t>M6NCP1</t>
  </si>
  <si>
    <t>Semana 11</t>
  </si>
  <si>
    <t>Semana 11
11/04/16 - 17/04/16</t>
  </si>
  <si>
    <t>Del 24/01/19 al 23/12/18</t>
  </si>
  <si>
    <t>M7NCP1</t>
  </si>
  <si>
    <t>Semana 12</t>
  </si>
  <si>
    <t>Semana 12
18/04/16 - 22/04/16</t>
  </si>
  <si>
    <t>Del 24/02/19 al 23/01/19</t>
  </si>
  <si>
    <t>M8NCP1</t>
  </si>
  <si>
    <t>Semana 13</t>
  </si>
  <si>
    <t>Semana 13
23/04/16 - 01/05/16</t>
  </si>
  <si>
    <t>Del 24/03/19 al 23/02/19</t>
  </si>
  <si>
    <t>M9NCP1</t>
  </si>
  <si>
    <t>Semana 14</t>
  </si>
  <si>
    <t>Semana 14
02/05/16 - 08/05/16</t>
  </si>
  <si>
    <t>Del 24/04/19 al 23/03/19</t>
  </si>
  <si>
    <t>M10NCP1</t>
  </si>
  <si>
    <t>Semana 15</t>
  </si>
  <si>
    <t>Semana 15
09/05/16 - 15/05/16</t>
  </si>
  <si>
    <t>Del 24/05/19 al 23/04/19</t>
  </si>
  <si>
    <t>M11NCP1</t>
  </si>
  <si>
    <t>Semana 16</t>
  </si>
  <si>
    <t>Semana 16
16/05/16 - 22/05/16</t>
  </si>
  <si>
    <t>Del 24/06/19 al 23/05/19</t>
  </si>
  <si>
    <t>M12NCP1</t>
  </si>
  <si>
    <t>Semana 17</t>
  </si>
  <si>
    <t>Semana 17
23/05/16 - 29/05/16</t>
  </si>
  <si>
    <t>Del 24/07/19 al 23/06/19</t>
  </si>
  <si>
    <t>M13NCP1</t>
  </si>
  <si>
    <t>Semana 18</t>
  </si>
  <si>
    <t>Semana 18
30/05/16 - 05/06/16</t>
  </si>
  <si>
    <t>Del 24/08/19 al 23/07/19</t>
  </si>
  <si>
    <t>M14NCP1</t>
  </si>
  <si>
    <t>Semana 19</t>
  </si>
  <si>
    <t>Semana 19
06/06/16 - 12/06/16</t>
  </si>
  <si>
    <t>Del 24/07/19 al 23/08/19</t>
  </si>
  <si>
    <t>Semana 20</t>
  </si>
  <si>
    <t>Del 24/08/19 al 23/09/19</t>
  </si>
  <si>
    <t>Semana 21</t>
  </si>
  <si>
    <t>Del 24/09/19 al 23/10/19</t>
  </si>
  <si>
    <t>Semana 22</t>
  </si>
  <si>
    <t>Del 24/10/19 al 23/11/19</t>
  </si>
  <si>
    <t>Semana 23</t>
  </si>
  <si>
    <t>Semana 23
11/07/16 - 17/07/16</t>
  </si>
  <si>
    <t>Del 24/11/19 al 23/12/19</t>
  </si>
  <si>
    <t>Semana 24</t>
  </si>
  <si>
    <t>Semana 24
18/07/16 - 22/07/16</t>
  </si>
  <si>
    <t>Del 24/12/19 al 23/01/20</t>
  </si>
  <si>
    <t>Semana 25</t>
  </si>
  <si>
    <t>Semana 25
23/07/16 - 31/07/16</t>
  </si>
  <si>
    <t>Del 24/01/20 al 23/02/20</t>
  </si>
  <si>
    <t>Semana 26</t>
  </si>
  <si>
    <t>Semana 26
01/08/16 - 07/08/16</t>
  </si>
  <si>
    <t>Del 24/02/20 al 23/03/20</t>
  </si>
  <si>
    <t>Semana 27</t>
  </si>
  <si>
    <t>Semana 27
08/08/16 - 14/08/16</t>
  </si>
  <si>
    <t>Del 24/03/20 al 23/04/20</t>
  </si>
  <si>
    <t>Semana 28</t>
  </si>
  <si>
    <t>Semana 28
15/08/16 - 22/08/16</t>
  </si>
  <si>
    <t>Del 24/04/20 al 23/05/20</t>
  </si>
  <si>
    <t>Semana 29</t>
  </si>
  <si>
    <t>Semana 29
23/08/16 - 28/08/16</t>
  </si>
  <si>
    <t>Del 24/05/20 al 23/06/20</t>
  </si>
  <si>
    <t>M11NCP2</t>
  </si>
  <si>
    <t>Semana 30</t>
  </si>
  <si>
    <t>Semana 30
29/08/16 - 04/09/16</t>
  </si>
  <si>
    <t>Del 24/06/20 al 23/07/20</t>
  </si>
  <si>
    <t>M12NCP2</t>
  </si>
  <si>
    <t>Semana 31</t>
  </si>
  <si>
    <t>Semana 31
05/09/16 - 11/09/16</t>
  </si>
  <si>
    <t>Del 24/07/20 al 23/08/20</t>
  </si>
  <si>
    <t>M13NCP2</t>
  </si>
  <si>
    <t>Semana 32</t>
  </si>
  <si>
    <t>Semana 32
12/09/16 - 22/09/16</t>
  </si>
  <si>
    <t>Del 24/08/20 al 23/09/20</t>
  </si>
  <si>
    <t>M14NCP2</t>
  </si>
  <si>
    <t>Semana 33</t>
  </si>
  <si>
    <t>Semana 33
23/09/16 - 02/10/16</t>
  </si>
  <si>
    <t>Semana 34</t>
  </si>
  <si>
    <t>Semana 34
03/10/16 - 09/10/16</t>
  </si>
  <si>
    <t>Semana 35</t>
  </si>
  <si>
    <t>Semana 35
10/10/16 - 16/10/16</t>
  </si>
  <si>
    <t>Semana 36</t>
  </si>
  <si>
    <t>Semana 36
17/10/16 - 22/10/16</t>
  </si>
  <si>
    <t>Semana 37</t>
  </si>
  <si>
    <t>Semana 37
23/10/16 - 30/10/16</t>
  </si>
  <si>
    <t>Semana 38</t>
  </si>
  <si>
    <t>Semana 38
31/10/16 - 06/11/16</t>
  </si>
  <si>
    <t>Semana 39</t>
  </si>
  <si>
    <t>Semana 39
07/11/16 - 13/11/16</t>
  </si>
  <si>
    <t>Semana 40</t>
  </si>
  <si>
    <t>Semana 40
14/11/16 - 22/11/16</t>
  </si>
  <si>
    <t>Semana 41</t>
  </si>
  <si>
    <t>Semana 41
23/11/16 - 04/12/16</t>
  </si>
  <si>
    <t>Semana 42</t>
  </si>
  <si>
    <t>Semana 42
05/12/16 - 11/12/16</t>
  </si>
  <si>
    <t>Semana 43</t>
  </si>
  <si>
    <t>Semana 43
12/12/16 - 18/12/16</t>
  </si>
  <si>
    <t>Semana 44</t>
  </si>
  <si>
    <t>Semana 44
19/12/16 - 22/12/16</t>
  </si>
  <si>
    <t>Semana 45</t>
  </si>
  <si>
    <t>Semana 45
23/12/16 - 01/01/17</t>
  </si>
  <si>
    <t>Semana 46</t>
  </si>
  <si>
    <t>Semana 46
02/01/17 - 08/01/17</t>
  </si>
  <si>
    <t>Semana 47</t>
  </si>
  <si>
    <t>Semana 47
09/01/17 - 15/01/17</t>
  </si>
  <si>
    <t>Semana 48</t>
  </si>
  <si>
    <t>Semana 48
16/01/17 - 22/01/17</t>
  </si>
  <si>
    <t>Semana 49</t>
  </si>
  <si>
    <t>Semana 49
23/01/17 - 29/01/17</t>
  </si>
  <si>
    <t>Semana 50</t>
  </si>
  <si>
    <t>Semana 50
30/01/17 - 05/02/17</t>
  </si>
  <si>
    <t>Semana 51</t>
  </si>
  <si>
    <t>Semana 51
06/02/17 - 12/02/17</t>
  </si>
  <si>
    <t>Semana 52</t>
  </si>
  <si>
    <t>Semana 52
13/02/17 - 22/02/17</t>
  </si>
  <si>
    <t>Semana 53</t>
  </si>
  <si>
    <t>Semana 53
23/02/17 - 05/03/17</t>
  </si>
  <si>
    <t>Semana 54</t>
  </si>
  <si>
    <t>Semana 54
06/03/17 - 12/03/17</t>
  </si>
  <si>
    <t>Semana 55</t>
  </si>
  <si>
    <t>Semana 55
13/03/17 - 19/03/17</t>
  </si>
  <si>
    <t>Semana 56</t>
  </si>
  <si>
    <t>Semana 56
20/03/17 - 22/03/17</t>
  </si>
  <si>
    <t>Días</t>
  </si>
  <si>
    <t>Cantidad</t>
  </si>
  <si>
    <t>Semana 1
23/03/17 - 02/04/17</t>
  </si>
  <si>
    <t>Semana 2
03/04/17 - 09/04/17</t>
  </si>
  <si>
    <t>Semana 3
10/04/17 - 16/04/17</t>
  </si>
  <si>
    <t>Semana 4
17/04/17 - 22/04/17</t>
  </si>
  <si>
    <t>Semana 5
23/04/17 - 30/04/17</t>
  </si>
  <si>
    <t>Semana 6
01/05/17 - 07/05/17</t>
  </si>
  <si>
    <t>Semana 7
08/05/17 - 14/05/17</t>
  </si>
  <si>
    <t>Semana 8
15/05/17 - 22/05/17</t>
  </si>
  <si>
    <t>Feriados 2017</t>
  </si>
  <si>
    <t>Semana 9
23/05/17 - 28/05/17</t>
  </si>
  <si>
    <t>Nicoya</t>
  </si>
  <si>
    <t>Semana 10
29/05/17 - 04/06/17</t>
  </si>
  <si>
    <t>Virgen</t>
  </si>
  <si>
    <t>Semana 11
05/06/17 - 11/06/17</t>
  </si>
  <si>
    <t>Madre</t>
  </si>
  <si>
    <t>Semana 12
12/06/17 - 22/06/17</t>
  </si>
  <si>
    <t>Independencia</t>
  </si>
  <si>
    <t>Semana 13
23/06/17 - 02/07/17</t>
  </si>
  <si>
    <t>Culturas</t>
  </si>
  <si>
    <t>Semana 14
03/07/17 - 09/07/17</t>
  </si>
  <si>
    <t>Navidad</t>
  </si>
  <si>
    <t>Semana 15
10/07/17 - 16/07/17</t>
  </si>
  <si>
    <t>Semana 16
17/07/17 - 22/07/17</t>
  </si>
  <si>
    <t>Semana 17
23/07/17 - 30/07/17</t>
  </si>
  <si>
    <t>Feriados 2018</t>
  </si>
  <si>
    <t>Semana 18
31/07/17 - 06/08/17</t>
  </si>
  <si>
    <t>Año nuevo</t>
  </si>
  <si>
    <t>Semana 19
07/08/17 - 13/08/17</t>
  </si>
  <si>
    <t>Jueves Santo</t>
  </si>
  <si>
    <t>Semana 20
14/08/17 - 22/08/17</t>
  </si>
  <si>
    <t>Viernes Santo</t>
  </si>
  <si>
    <t>Semana 21
23/08/17 - 03/09/17</t>
  </si>
  <si>
    <t>Juan Santa</t>
  </si>
  <si>
    <t>Semana 22
04/09/17 - 10/09/17</t>
  </si>
  <si>
    <t>Trabajo</t>
  </si>
  <si>
    <t>Semana 23
11/09/17 - 17/09/17</t>
  </si>
  <si>
    <t>Semana 24
18/09/17 - 22/09/17</t>
  </si>
  <si>
    <t>Semana 25
23/09/17 - 01/10/17</t>
  </si>
  <si>
    <t>Semana 26
02/10/17 - 08/10/17</t>
  </si>
  <si>
    <t>Semana 27
09/10/17 - 15/10/17</t>
  </si>
  <si>
    <t>Semana 28
16/10/17 - 22/10/17</t>
  </si>
  <si>
    <t>Semana 29
23/10/17 - 29/10/17</t>
  </si>
  <si>
    <t>Semana 30
30/10/17 - 05/11/17</t>
  </si>
  <si>
    <t>Feriados 2019</t>
  </si>
  <si>
    <t>Semana 31
06/11/17 - 12/11/17</t>
  </si>
  <si>
    <t>Semana 32
13/11/17 - 22/11/17</t>
  </si>
  <si>
    <t>Semana 33
23/11/17 - 03/12/17</t>
  </si>
  <si>
    <t>Semana 34
04/12/17 - 10/12/17</t>
  </si>
  <si>
    <t>Semana 35
11/12/17 - 17/12/17</t>
  </si>
  <si>
    <t>Semana 36
18/12/17 - 22/12/17</t>
  </si>
  <si>
    <t>Semana 37
23/12/17 - 31/12/17</t>
  </si>
  <si>
    <t>Semana 38
01/01/18 - 07/01/18</t>
  </si>
  <si>
    <t>Semana 39
08/01/18 - 14/01/18</t>
  </si>
  <si>
    <t>Semana 40
15/01/18 - 22/01/18</t>
  </si>
  <si>
    <t>Semana 41
23/01/18 - 28/01/18</t>
  </si>
  <si>
    <t>Semana 42
29/01/18 - 04/02/18</t>
  </si>
  <si>
    <t>Semana 43
05/02/18 - 11/02/18</t>
  </si>
  <si>
    <t>Feriados 2020</t>
  </si>
  <si>
    <t>Semana 44
12/02/18 - 22/02/18</t>
  </si>
  <si>
    <t>Semana 45
23/02/18 - 04/03/18</t>
  </si>
  <si>
    <t>Semana 46
05/03/18 - 11/03/18</t>
  </si>
  <si>
    <t>Semana 47
12/03/18 - 18/03/18</t>
  </si>
  <si>
    <t>Semana 48
19/03/18 - 22/03/18</t>
  </si>
  <si>
    <t>Semana 49
23/03/18 - 01/04/18</t>
  </si>
  <si>
    <t>Semana 50
02/04/18 - 08/04/18</t>
  </si>
  <si>
    <t>Semana 51
09/04/18 - 15/04/18</t>
  </si>
  <si>
    <t>Semana 52
16/04/18 - 22/04/18</t>
  </si>
  <si>
    <t>Semana 53
23/04/18 - 29/04/18</t>
  </si>
  <si>
    <t>Semana 54
30/04/18 - 06/05/18</t>
  </si>
  <si>
    <t>Semana 55
07/05/18 - 13/05/18</t>
  </si>
  <si>
    <t>Semana 56
14/05/18 - 22/05/18</t>
  </si>
  <si>
    <t>Semana 1
24/05/18 - 03/06/18</t>
  </si>
  <si>
    <t>Semana 2
04/06/18 - 10/06/18</t>
  </si>
  <si>
    <t>Semana 3
11/06/18 - 17/06/18</t>
  </si>
  <si>
    <t>Semana 4
18/06/18 - 23/06/18</t>
  </si>
  <si>
    <t>Semana 5
24/06/18 - 01/07/18</t>
  </si>
  <si>
    <t>Semana 6
02/07/18 - 08/07/18</t>
  </si>
  <si>
    <t>Semana 7
09/07/18 - 15/07/18</t>
  </si>
  <si>
    <t>Semana 8
16/07/18 - 23/07/18</t>
  </si>
  <si>
    <t>Semana 9
24/07/18 - 05/08/18</t>
  </si>
  <si>
    <t>Semana 10
06/08/18 - 12/08/18</t>
  </si>
  <si>
    <t>Semana 11
13/08/18 - 19/08/18</t>
  </si>
  <si>
    <t>Semana 12
20/08/18 - 23/08/18</t>
  </si>
  <si>
    <t>Semana 13
24/08/18 - 02/09/18</t>
  </si>
  <si>
    <t>Semana 14
03/09/18 - 09/09/18</t>
  </si>
  <si>
    <t>Semana 15
10/09/18 - 16/09/18</t>
  </si>
  <si>
    <t>Semana 16
17/09/18 - 23/09/18</t>
  </si>
  <si>
    <t>Semana 17
24/09/18 - 30/09/18</t>
  </si>
  <si>
    <t>Semana 18
01/10/18 - 07/10/18</t>
  </si>
  <si>
    <t>Semana 19
08/10/18 - 14/10/18</t>
  </si>
  <si>
    <t>Semana 20
15/10/18 - 23/10/18</t>
  </si>
  <si>
    <t>Semana 21
24/10/18 - 04/11/18</t>
  </si>
  <si>
    <t>Semana 22
05/11/18 - 11/11/18</t>
  </si>
  <si>
    <t>Semana 23
12/11/18 - 18/11/18</t>
  </si>
  <si>
    <t>Semana 24
19/11/18 - 23/11/18</t>
  </si>
  <si>
    <t>Semana 25
24/11/18 - 02/12/18</t>
  </si>
  <si>
    <t>Semana 26
03/12/18 - 09/12/18</t>
  </si>
  <si>
    <t>Semana 27
10/12/18 - 16/12/18</t>
  </si>
  <si>
    <t>Semana 28
17/12/18 - 23/12/18</t>
  </si>
  <si>
    <t>Semana 29
24/12/18 - 30/12/18</t>
  </si>
  <si>
    <t>Semana 30
31/12/18 - 06/01/19</t>
  </si>
  <si>
    <t>Semana 31
07/01/19 - 13/01/19</t>
  </si>
  <si>
    <t>Semana 32
14/01/19 - 23/01/19</t>
  </si>
  <si>
    <t>Semana 33
24/01/19 - 03/02/19</t>
  </si>
  <si>
    <t>Semana 34
04/02/19 - 10/02/19</t>
  </si>
  <si>
    <t>Semana 35
11/02/19 - 17/02/19</t>
  </si>
  <si>
    <t>Semana 36
18/02/19 - 23/02/19</t>
  </si>
  <si>
    <t>Semana 37
24/02/19 - 03/03/19</t>
  </si>
  <si>
    <t>Semana 38
04/03/19 - 10/03/19</t>
  </si>
  <si>
    <t>Semana 39
11/03/19 - 17/03/19</t>
  </si>
  <si>
    <t>Semana 40
18/03/19 - 23/03/19</t>
  </si>
  <si>
    <t>Semana 41
24/03/19 - 31/03/19</t>
  </si>
  <si>
    <t>Semana 42
01/04/19 - 07/04/19</t>
  </si>
  <si>
    <t>Semana 43
08/04/19 - 14/04/19</t>
  </si>
  <si>
    <t>Semana 44
15/04/19 - 23/04/19</t>
  </si>
  <si>
    <t>Semana 45
24/04/19 - 05/05/19</t>
  </si>
  <si>
    <t>Semana 46
06/05/19 - 12/05/19</t>
  </si>
  <si>
    <t>Semana 47
13/05/19 - 19/05/19</t>
  </si>
  <si>
    <t>Semana 48
20/05/19 - 23/05/19</t>
  </si>
  <si>
    <t>Semana 49
24/05/19 - 02/06/19</t>
  </si>
  <si>
    <t>Semana 50
03/06/19 - 09/06/19</t>
  </si>
  <si>
    <t>Semana 51
10/06/19 - 16/06/19</t>
  </si>
  <si>
    <t>Semana 52
17/06/19 - 23/06/19</t>
  </si>
  <si>
    <t>Semana 53
24/06/19 - 30/06/19</t>
  </si>
  <si>
    <t>Semana 54
01/07/19 - 07/07/19</t>
  </si>
  <si>
    <t>Semana 55
08/07/19 - 14/07/19</t>
  </si>
  <si>
    <t>Semana 56
15/07/19 - 23/07/19</t>
  </si>
  <si>
    <t>Semana 1
24/07/19 - 04/08/19</t>
  </si>
  <si>
    <t>Semana 2
05/08/19 - 11/08/19</t>
  </si>
  <si>
    <t>Semana 3
12/08/19 - 18/08/19</t>
  </si>
  <si>
    <t>Semana 4
19/08/19 - 23/08/19</t>
  </si>
  <si>
    <t>Semana 5
24/08/19 - 01/09/19</t>
  </si>
  <si>
    <t>Semana 6
02/09/19 - 08/09/19</t>
  </si>
  <si>
    <t>Semana 7
09/09/19 - 15/09/19</t>
  </si>
  <si>
    <t>Semana 8
16/09/19 - 23/09/19</t>
  </si>
  <si>
    <t>Semana 9
24/09/19 - 29/09/19</t>
  </si>
  <si>
    <t>Semana 10
30/09/19 - 06/10/19</t>
  </si>
  <si>
    <t>Semana 11
07/10/19 - 13/10/19</t>
  </si>
  <si>
    <t>Semana 12
14/10/19 - 23/10/19</t>
  </si>
  <si>
    <t>Semana 13
24/10/19 - 03/11/19</t>
  </si>
  <si>
    <t>Semana 14
04/11/19 - 10/11/19</t>
  </si>
  <si>
    <t>Semana 15
11/11/19 - 17/11/19</t>
  </si>
  <si>
    <t>Semana 16
18/11/19 - 23/11/19</t>
  </si>
  <si>
    <t>Semana 17
24/11/19 - 01/12/19</t>
  </si>
  <si>
    <t>Semana 18
02/12/19 - 08/12/19</t>
  </si>
  <si>
    <t>Semana 19
09/12/19 - 15/12/19</t>
  </si>
  <si>
    <t>Semana 20
16/12/19 - 23/12/19</t>
  </si>
  <si>
    <t>Semana 21
24/12/19 - 05/01/20</t>
  </si>
  <si>
    <t>Semana 22
06/01/20 - 12/01/20</t>
  </si>
  <si>
    <t>Semana 23
13/01/20 - 19/01/20</t>
  </si>
  <si>
    <t>Semana 24
20/01/20 - 23/01/20</t>
  </si>
  <si>
    <t>Semana 25
24/01/20 - 02/02/20</t>
  </si>
  <si>
    <t>Semana 26
03/02/20 - 09/02/20</t>
  </si>
  <si>
    <t>Semana 27
10/02/20 - 16/02/20</t>
  </si>
  <si>
    <t>Semana 28
17/02/20 - 23/02/20</t>
  </si>
  <si>
    <t>Semana 29
24/02/20 - 01/03/20</t>
  </si>
  <si>
    <t>Semana 30
02/03/20 - 08/03/20</t>
  </si>
  <si>
    <t>Semana 31
09/03/20 - 15/03/20</t>
  </si>
  <si>
    <t>Semana 32
16/03/20 - 23/03/20</t>
  </si>
  <si>
    <t>Semana 33
24/03/20 - 29/03/20</t>
  </si>
  <si>
    <t>Semana 34
30/03/20 - 05/04/20</t>
  </si>
  <si>
    <t>Semana 35
06/04/20 - 12/04/20</t>
  </si>
  <si>
    <t>Semana 36
13/04/20 - 23/04/20</t>
  </si>
  <si>
    <t>Semana 37
24/04/20 - 03/05/20</t>
  </si>
  <si>
    <t>Semana 38
04/05/20 - 10/05/20</t>
  </si>
  <si>
    <t>Semana 39
11/05/20 - 17/05/20</t>
  </si>
  <si>
    <t>Semana 40
18/05/20 - 23/05/20</t>
  </si>
  <si>
    <t>Semana 41
24/05/20 - 31/05/20</t>
  </si>
  <si>
    <t>Semana 42
01/06/20 - 07/06/20</t>
  </si>
  <si>
    <t>Semana 43
08/06/20 - 14/06/20</t>
  </si>
  <si>
    <t>Semana 44
15/06/20 - 23/06/20</t>
  </si>
  <si>
    <t>Semana 45
24/06/20 - 05/07/20</t>
  </si>
  <si>
    <t>Semana 46
06/07/20 - 12/07/20</t>
  </si>
  <si>
    <t>Semana 47
13/07/20 - 19/07/20</t>
  </si>
  <si>
    <t>Semana 48
20/07/20 - 23/07/20</t>
  </si>
  <si>
    <t>Semana 49
24/07/20 - 02/08/20</t>
  </si>
  <si>
    <t>Semana 50
03/08/20 - 09/08/20</t>
  </si>
  <si>
    <t>Semana 51
10/08/20 - 16/08/20</t>
  </si>
  <si>
    <t>Semana 52
17/08/20 - 23/08/20</t>
  </si>
  <si>
    <t>Semana 53
24/08/20 - 30/08/20</t>
  </si>
  <si>
    <t>Semana 54
31/08/20 - 06/09/20</t>
  </si>
  <si>
    <t>Semana 55
07/09/20 - 13/09/20</t>
  </si>
  <si>
    <t>MIGUEL ALVARADO ABARCA</t>
  </si>
  <si>
    <t>TOMAS MONTERROSO</t>
  </si>
  <si>
    <t>MARIANO VILLALTA</t>
  </si>
  <si>
    <t>JORGE PALMA PORRAS</t>
  </si>
  <si>
    <t>FERNANDA URBINA VALLE</t>
  </si>
  <si>
    <t>PAMELA SANCHEZ MARTINEZ</t>
  </si>
  <si>
    <t>MARCOS GASTON CARAMURO</t>
  </si>
  <si>
    <t>DAVID PARVINPOUR</t>
  </si>
  <si>
    <t>BERNAL MENDOZA PICHARDO</t>
  </si>
  <si>
    <t>CHRISTIAN ENRIQUE IRSCHNICK</t>
  </si>
  <si>
    <t>GLORIANA ANGULO VILLALOBOS</t>
  </si>
  <si>
    <t>MIRELA DEL VALLE VERRELLI SUAREZ</t>
  </si>
  <si>
    <t>CRISTOBAL FONSECA ROMERO</t>
  </si>
  <si>
    <t>GEOVANELA BERMIDEZ GARCIA</t>
  </si>
  <si>
    <t>lfernandez</t>
  </si>
  <si>
    <t>LUIS ANDRES FERNANDEZ CALDERON</t>
  </si>
  <si>
    <t>jrojas</t>
  </si>
  <si>
    <t>JOSE ANDRES ROJAS GUTIERREZ</t>
  </si>
  <si>
    <t>sgarita</t>
  </si>
  <si>
    <t>SOFIA MARCELA GARITA MEDAGLIA</t>
  </si>
  <si>
    <t>MICHAEL PALMA SALAZAR</t>
  </si>
  <si>
    <t>mjangulo</t>
  </si>
  <si>
    <t>MARIA JOSE ANGULO GUTIERREZ</t>
  </si>
  <si>
    <t>jsandoval</t>
  </si>
  <si>
    <t>JASON STEVEN SANDOVAL SALAZAR</t>
  </si>
  <si>
    <t>jbrenesr</t>
  </si>
  <si>
    <t>JOSUE BENJAMIN BRENES ROJAS</t>
  </si>
  <si>
    <t>mzuniga</t>
  </si>
  <si>
    <t>MEYLIN ALEJANDRA ZUÑIGA NUÑEZ</t>
  </si>
  <si>
    <t>garayan</t>
  </si>
  <si>
    <t>GERSON ARAYA NAVARRO</t>
  </si>
  <si>
    <t>achacon</t>
  </si>
  <si>
    <t>ALEJANDRO CHACÓN BARRIENTOS</t>
  </si>
  <si>
    <t>gmatarrita</t>
  </si>
  <si>
    <t>GUSTAVO MATARRITA MADRIGAL</t>
  </si>
  <si>
    <t>jchavarria</t>
  </si>
  <si>
    <t>JOSE RAFAEL CHAVARRIA CASCANTE</t>
  </si>
  <si>
    <t>fguevara</t>
  </si>
  <si>
    <t>FRANCELA GUEVARA RAMIREZ</t>
  </si>
  <si>
    <t>dnunezp</t>
  </si>
  <si>
    <t>DANIEL NUÑEZ PICADO</t>
  </si>
  <si>
    <t>isanchezc</t>
  </si>
  <si>
    <t>IVANNIA SANCHEZ CALDERON</t>
  </si>
  <si>
    <t>spozuelo</t>
  </si>
  <si>
    <t>SANTIAGO POZUELO CLACHAR</t>
  </si>
  <si>
    <t>nvargasm</t>
  </si>
  <si>
    <t>NATHALY MICHELLE VARGAS MORALES</t>
  </si>
  <si>
    <t>fmorales</t>
  </si>
  <si>
    <t>FABRICIO MORALES MORALES</t>
  </si>
  <si>
    <t>jchavarriar</t>
  </si>
  <si>
    <t>JEANCARLO CHAVARRIA ROJAS</t>
  </si>
  <si>
    <t>gsolano</t>
  </si>
  <si>
    <t>GUSTAVO SOLANO JIMENEZ</t>
  </si>
  <si>
    <t>scarvajal</t>
  </si>
  <si>
    <t>STEVEN ALBERTO CARVAJAL CHAVES</t>
  </si>
  <si>
    <t>EDUARDO CORDOBA VILLALTA</t>
  </si>
  <si>
    <t>ICE.SO.GNR.NCP3</t>
  </si>
  <si>
    <t>900-154-BNVITAL</t>
  </si>
  <si>
    <t>SOPORTE, MANTENIMIENTO Y ASISTENCIA  SAPIENS - IICA</t>
  </si>
  <si>
    <t>PROCESOS DE MEJORA CONTINUA - SGRM</t>
  </si>
  <si>
    <t>Gestión de Servicio al Cliente - SOIN ERP 2019_2020</t>
  </si>
  <si>
    <t>SOPORTE HERRAMIENTA SAPIENS - RACSA</t>
  </si>
  <si>
    <t>GESTIÓN DE CALIDAD (ISO-9001-2015, CARBONO N, ESENCIAL CR)</t>
  </si>
  <si>
    <t>Servicio Soporte, y Mantenimiento del sistema financiero - CTP</t>
  </si>
  <si>
    <t>151-158-IND</t>
  </si>
  <si>
    <t>151-152-INV-BI</t>
  </si>
  <si>
    <t>151-140-SOIN</t>
  </si>
  <si>
    <t>SERVICIOS SOPORTE E INFRAESTRUCTURA SOIN 2020</t>
  </si>
  <si>
    <t>871-140-CTP2020</t>
  </si>
  <si>
    <t>SERVICIOS DE SOPORTE E INFRAESTRUCTURA - CTP</t>
  </si>
  <si>
    <t>095-140-DGME</t>
  </si>
  <si>
    <t>SERVICIO DE MANTENIMIENTO DE SOFTWARE DEL SIST. DE ADM. DE BASE DE DATOS (DGME)</t>
  </si>
  <si>
    <t>293-140-TRISAN</t>
  </si>
  <si>
    <t>SERVICIOS SOPORTE  LICENCIA BO  BI EDGE</t>
  </si>
  <si>
    <t>925-140-PTO CAL</t>
  </si>
  <si>
    <t>Licenciamiento de BD SyBase Versión 15.7 Para 6 cores ambiente de producción,  l</t>
  </si>
  <si>
    <t>075-140-MEP</t>
  </si>
  <si>
    <t>ACTUALIZACION SAP - ASE</t>
  </si>
  <si>
    <t>095-140-ASE-RCS</t>
  </si>
  <si>
    <t>ACTUALIZACIÓN DE LICENCIAS SAP SYBASE ASE Y HORAS DE SOPORTE - RACSA</t>
  </si>
  <si>
    <t>159-GNR-PREL</t>
  </si>
  <si>
    <t>Análisis Prepliminar de Nuevos Requimientos</t>
  </si>
  <si>
    <t>118-140-U.LATIN</t>
  </si>
  <si>
    <t>SERVICIOS DE SOPORTE E INFRAESTRUCTURA - U.LATINA</t>
  </si>
  <si>
    <t>068-140-JPS</t>
  </si>
  <si>
    <t>MANTENIMIENTO MOTOR BD, REPLICAR RS Sybase SISTEMA OPERATIVO</t>
  </si>
  <si>
    <t>054-140-IMAS</t>
  </si>
  <si>
    <t>DERECHO DE ACTUALIZACION Y SOPORTE DE LICENCIA SAP</t>
  </si>
  <si>
    <t>734-140-DAVIVIE</t>
  </si>
  <si>
    <t>SERVICIOS DE SOPORTE E INFRAESTRUCTURA - DAVIVIENDA</t>
  </si>
  <si>
    <t>015-140-BCCR</t>
  </si>
  <si>
    <t>RENOVACION DERECHO ACTUALIZAR Y SOPORTE TEC SYBASE</t>
  </si>
  <si>
    <t>003-140-ASAM.LE</t>
  </si>
  <si>
    <t>ACTUALIZACION ACTIVACION  SOPORTE LICENCIAMIENTO MOTOR BD</t>
  </si>
  <si>
    <t>851-140-MIGRA</t>
  </si>
  <si>
    <t>SERVICIOS DE SOPORTE E INFRAESTRUCTURA - MIGRACION</t>
  </si>
  <si>
    <t>180-140 - SCOTI</t>
  </si>
  <si>
    <t>ACTUALIZACION Y SOPORTE PARA LICENCIAS SAP ASE</t>
  </si>
  <si>
    <t>900-152-BNVITAL</t>
  </si>
  <si>
    <t>GESTIÓN DE NUEVOS REQUERIMIENTOS - BNVITAL</t>
  </si>
  <si>
    <t>018-152-BNVALOR</t>
  </si>
  <si>
    <t>GESTIÓN DE NUEVOS REQUERIMIENTOS - BNVALORES</t>
  </si>
  <si>
    <t>095-152-RACSA</t>
  </si>
  <si>
    <t>GESTIÓN DE NUEVOS REQUERIMIENTOS -  SOPORTE HERRAMIENTA SAPIENS - RACSA</t>
  </si>
  <si>
    <t>087-140-PJ</t>
  </si>
  <si>
    <t>ACTUALIZACION Y SOPORTE PARA LICENCIAS SAP</t>
  </si>
  <si>
    <t>579-203-COVID19</t>
  </si>
  <si>
    <t>DETECCIÓN COVID-19</t>
  </si>
  <si>
    <t>018-140-BN VA</t>
  </si>
  <si>
    <t>Soporte por Demanda software administrativo financiero</t>
  </si>
  <si>
    <t>578-140 - BNVAL</t>
  </si>
  <si>
    <t>actualizaciones y soporte remoto de SAP ASE Adaptive</t>
  </si>
  <si>
    <t>001-156-ARESEP</t>
  </si>
  <si>
    <t>Servicios Profesionales para la implementación de SIFA - Aresep</t>
  </si>
  <si>
    <t>601-QA</t>
  </si>
  <si>
    <t>Objetivos Equipo QA Corporativo</t>
  </si>
  <si>
    <t>051-140-ICE-SYB</t>
  </si>
  <si>
    <t>SOPORTE DE LICENCIAS DE SERVIDORES DE BASE DE DATOS SYBASE</t>
  </si>
  <si>
    <t>001-140-ARESEP</t>
  </si>
  <si>
    <t>BI-734-175-DV-2</t>
  </si>
  <si>
    <t>ATENCIÓN DE REQUERIMIENTOS - DAVIVIENDA-2020</t>
  </si>
  <si>
    <t>151-400-ESTUVEA</t>
  </si>
  <si>
    <t>DESARROLLOS APLICACIÓN ESTUVE AQUI</t>
  </si>
  <si>
    <t>579-203-OX</t>
  </si>
  <si>
    <t>SATURACIÓN DE OXIGENO</t>
  </si>
  <si>
    <t>Gestión de Servicio Interno - SIGES</t>
  </si>
  <si>
    <t>140-579-CCSS</t>
  </si>
  <si>
    <t>licencias de Sybase Power Designer  )Floating License)  SAP SYBASE, y mantenimie</t>
  </si>
  <si>
    <t>304-152-COOPL 2</t>
  </si>
  <si>
    <t>Soporte, Sost, Nuevo Requ y actualización aplicativo</t>
  </si>
  <si>
    <t>051-140-ICE MED</t>
  </si>
  <si>
    <t>Renov Actual. Lic SW Mediacion interconex y Relac 3ro</t>
  </si>
  <si>
    <t>003-140-A.Leg</t>
  </si>
  <si>
    <t>Soporte Licencias ASE y Power Designer</t>
  </si>
  <si>
    <t>GESTIÓN DE NUEVOS REQUERIMIENTOS SOSTENIBILIDA ICE - NC - PRORROGA 3</t>
  </si>
  <si>
    <t>ICE.SO.GC.NCP3</t>
  </si>
  <si>
    <t>GESTIÓN DE LA CALIDAD SOSTENIBILIDAD ICE - NCP3</t>
  </si>
  <si>
    <t>ICE.SO.PMO.NCP3</t>
  </si>
  <si>
    <t>GESTIÓN DE PROYECTOS SOSTENIBILIDAD ICE - NCP3</t>
  </si>
  <si>
    <t>ICE.SO.GI.NCP3</t>
  </si>
  <si>
    <t>GESTIÓN DE INCIDENCIAS SOSTENIBILIDAD ICE-NCP3</t>
  </si>
  <si>
    <t>ICE.SO.SO.NCP3</t>
  </si>
  <si>
    <t>SOPORTE A LA OPERACIÓN SOSTENIBILIDAD ICE - NCP3</t>
  </si>
  <si>
    <t>ICE.NF.SO.NCP3</t>
  </si>
  <si>
    <t>ACTIVIDADES ASOCIADAS A SOSTENIBILIDAD NCP3 - NO FACTURABLES</t>
  </si>
  <si>
    <t>151-ACT-OTRS</t>
  </si>
  <si>
    <t>ACTUALIZACIÓN DE LA VERSIÓN DE OTRS</t>
  </si>
  <si>
    <t>ACTIVIDADES COMERCIALES ASOCIADAS AL PROC.NNEG</t>
  </si>
  <si>
    <t>304-154-CLSCA</t>
  </si>
  <si>
    <t>Coopelesca - Soporte, Sosten, NR y actualización aplicativo 2020-2021</t>
  </si>
  <si>
    <t>501-154-CNV2020</t>
  </si>
  <si>
    <t>MANTENIMIENTO Y SOPORTE SISTEMA FINAN-CONTA-CONAVI</t>
  </si>
  <si>
    <t>501-152-CNV2020</t>
  </si>
  <si>
    <t>GESTIÓN DE NUEVOS REQUERIMIENTOS PARA CONAVI</t>
  </si>
  <si>
    <t>810-140 - ESPH</t>
  </si>
  <si>
    <t>SOPORTE SW DISEÑO BD</t>
  </si>
  <si>
    <t>579-140-CCSS 20</t>
  </si>
  <si>
    <t>Actualización Lic para SW de modelaje de Datos PD</t>
  </si>
  <si>
    <t>Gestión General de Servicios al Cliente - Modelo SaaS</t>
  </si>
  <si>
    <t>151-175-DGME</t>
  </si>
  <si>
    <t>POC E INDICADORES TRAMITE YA - DGME</t>
  </si>
  <si>
    <t>095-140-RACSA</t>
  </si>
  <si>
    <t>Soporte de Sistema Informático (Por Excepción)</t>
  </si>
  <si>
    <t>742-154-MSJ</t>
  </si>
  <si>
    <t>Gestión de Servicio al Cliente - MSJ</t>
  </si>
  <si>
    <t>SOIN-ADM-2021</t>
  </si>
  <si>
    <t>TAREAS ADMINISTRATIVAS SOIN 2021</t>
  </si>
  <si>
    <t>151-301-DC2021</t>
  </si>
  <si>
    <t>ACTIVIDADES DISEÑO CORPORATIVO  2021</t>
  </si>
  <si>
    <t>700-RH</t>
  </si>
  <si>
    <t>TAREAS DEL EQUIPO DE RECURSOS HUMANOS</t>
  </si>
  <si>
    <t>151-QA-CORP2021</t>
  </si>
  <si>
    <t>TAREAS ASOCIADAS AL EQUIPO QA CORPORATIVO 2021</t>
  </si>
  <si>
    <t>701-PROYECTOS R</t>
  </si>
  <si>
    <t>PROYECTOS DE RECURSOS HUMANOS</t>
  </si>
  <si>
    <t>702-PROCESOS ES</t>
  </si>
  <si>
    <t>PROCESOS ESTRATEGICOS DE RH</t>
  </si>
  <si>
    <t>TAREAS ADMINISTRATIVAS RM CORP</t>
  </si>
  <si>
    <t>151-RH-2021</t>
  </si>
  <si>
    <t>ACTIVIDADES ASOCIADAS A RECURSOS HUMANOS -2021</t>
  </si>
  <si>
    <t>151-RM-CORP2021</t>
  </si>
  <si>
    <t>TAREAS ASOCIADAS AL EQUIPO RM CORPORATIVO 2021</t>
  </si>
  <si>
    <t>ADM-VENTAS - NU</t>
  </si>
  <si>
    <t>CMRCL ADMON  SOIN 2021</t>
  </si>
  <si>
    <t>151-CMRCL-2021</t>
  </si>
  <si>
    <t>TAREAS DEL PROCESO COMERCIAL 2021</t>
  </si>
  <si>
    <t>151-PMO-COR2021</t>
  </si>
  <si>
    <t>SERVICIOS INTERNOS PMO CORPORATIVA 2021</t>
  </si>
  <si>
    <t>800-ADM-PMO</t>
  </si>
  <si>
    <t>801-SIGES</t>
  </si>
  <si>
    <t>ADMINISTRATIVAS DEL SIGES</t>
  </si>
  <si>
    <t>151-400-TAPPPAY</t>
  </si>
  <si>
    <t>DESARROLLO DE SOLUCIÓN - TAPP PAY</t>
  </si>
  <si>
    <t>301-DIS-GRAF</t>
  </si>
  <si>
    <t>SOPORTE INTERNO SOIN</t>
  </si>
  <si>
    <t>151-SOP-2021</t>
  </si>
  <si>
    <t>400-154-HNKL-21</t>
  </si>
  <si>
    <t>Soporte, Sost, Manten Correctivo Y N Requerimientos - HENKEL</t>
  </si>
  <si>
    <t>400-152-HNKL 20</t>
  </si>
  <si>
    <t>GESTION DE NUEVOS REQUERIMIENTOS - HENKEL 2021</t>
  </si>
  <si>
    <t>734-140-DVIV 21</t>
  </si>
  <si>
    <t>SOPORTE Y MANTENIMIENTO SYBASE 2021 - DAVIVIENDA</t>
  </si>
  <si>
    <t>151-QA-ERP-2021</t>
  </si>
  <si>
    <t>DESARROLLO DE SOLUCIÓN - ERP</t>
  </si>
  <si>
    <t>578-140 - BNacV</t>
  </si>
  <si>
    <t>Sop, Mant 2021 - Bolsa Nac Valores</t>
  </si>
  <si>
    <t>313-154-PM 2021</t>
  </si>
  <si>
    <t>151-400-INSPECC</t>
  </si>
  <si>
    <t>DESARROLLO DE SOLUCIÓN - MODULO DE INSPECCIONES</t>
  </si>
  <si>
    <t>304-154-Coopl 2</t>
  </si>
  <si>
    <t>Soporte, Sost, N.R. y actualization  SIF Y SAP -Cooplesca 2021-2022</t>
  </si>
  <si>
    <t>118-140 - ULAT</t>
  </si>
  <si>
    <t>Mantenimiento Lic Sybase 01 - ULATINA 2021</t>
  </si>
  <si>
    <t>151-NF-MD-NC</t>
  </si>
  <si>
    <t>ACTIVIDADES DEL EQUIPO DE MIDD-INF - NO FACTURABLES</t>
  </si>
  <si>
    <t>151-175-OD</t>
  </si>
  <si>
    <t>207-SALUD</t>
  </si>
  <si>
    <t>Analisis del requerimientos</t>
  </si>
  <si>
    <t>579-203-REDIMED</t>
  </si>
  <si>
    <t>REDIMED</t>
  </si>
  <si>
    <t>Sistema de Gestión de Continuidad de Negocio</t>
  </si>
  <si>
    <t>GERENCIA GENERAL</t>
  </si>
  <si>
    <t>CF-200QA</t>
  </si>
  <si>
    <t>CF-200RM</t>
  </si>
  <si>
    <t>Infraestructura  TELCO</t>
  </si>
  <si>
    <t>SOS-INDICA</t>
  </si>
  <si>
    <t>INDICADORES PARA SOSTENIBILIDAD</t>
  </si>
  <si>
    <t>REP-ERP</t>
  </si>
  <si>
    <t>REPORTES ERP</t>
  </si>
  <si>
    <t>N.NEG</t>
  </si>
  <si>
    <t>EQUIPO NUEVOS NEGOCIOS Y TRAMITOLOGIA</t>
  </si>
  <si>
    <t>BD.M</t>
  </si>
  <si>
    <t>Base de Datos Middleware</t>
  </si>
  <si>
    <t>TELCO</t>
  </si>
  <si>
    <t>EQUIPO TELCO</t>
  </si>
  <si>
    <t>HRS.ARRIET</t>
  </si>
  <si>
    <t>HORAS DE ARRIETA</t>
  </si>
  <si>
    <t>REV-INC</t>
  </si>
  <si>
    <t>PARA REVISÓN DE iNCIDENCIAS</t>
  </si>
  <si>
    <t>Equipo REDIMED</t>
  </si>
  <si>
    <t>ecordoba</t>
  </si>
  <si>
    <t>DEV.08</t>
  </si>
  <si>
    <t>Entry Level Mobile Developer</t>
  </si>
  <si>
    <t>ovindas</t>
  </si>
  <si>
    <t>OSVALDO VINDAS JIMENEZ</t>
  </si>
  <si>
    <t>ACTUALIZACIÓN Y ACTIVACIÓN DE LICENCIAS MOTOR BD Y HERR. MODELADO</t>
  </si>
  <si>
    <t>O.C. 50048</t>
  </si>
  <si>
    <t>SAP BO Bundle for BISUITE,  SAP ASE Enterprise edtion,   SAP BI</t>
  </si>
  <si>
    <t>AC-008-21</t>
  </si>
  <si>
    <t>PROYECTO REDIMED</t>
  </si>
  <si>
    <t>WB.037</t>
  </si>
  <si>
    <t>avargasm</t>
  </si>
  <si>
    <t>ANTHONY VARGAS MENDEZ</t>
  </si>
  <si>
    <t>dperez</t>
  </si>
  <si>
    <t>DAVID PEREZ BOLAÑOS</t>
  </si>
  <si>
    <t>ecamacho</t>
  </si>
  <si>
    <t>EUDEZ CAMACHO GONZALEZ</t>
  </si>
  <si>
    <t>jcespedesm</t>
  </si>
  <si>
    <t>JOSUE DAVID CESPEDES MIRANDA</t>
  </si>
  <si>
    <t>rlayne</t>
  </si>
  <si>
    <t>RICHARD LAYNE BROWN</t>
  </si>
  <si>
    <t>atapia</t>
  </si>
  <si>
    <t>ALEJANDRO TAPIA BARBOZA</t>
  </si>
  <si>
    <t>kcastillo</t>
  </si>
  <si>
    <t>KEILOR CASTILLO MEDINA</t>
  </si>
  <si>
    <t>jrojasc</t>
  </si>
  <si>
    <t>JOSHUA ROJAS CARRANZA</t>
  </si>
  <si>
    <t>Mant, Soporte al Sistema Financiero Contable</t>
  </si>
  <si>
    <t>CSV-102020</t>
  </si>
  <si>
    <t>CONT-002-2021</t>
  </si>
  <si>
    <t>Soporte, Sostenibilidad, N.R y Actualizar SAP</t>
  </si>
  <si>
    <t>Serv. Soporte Oper. Capa Integ. Serv. BSS y el Midd. de Facturación Convergente</t>
  </si>
  <si>
    <t>EDUARDO LOVELL FLORES</t>
  </si>
  <si>
    <t>PC-4500103558</t>
  </si>
  <si>
    <t>PRORROGA # 3 - SERVICIO DE MANTENIMIENTO DE SOFTWARE</t>
  </si>
  <si>
    <t>PC-4500103558-G</t>
  </si>
  <si>
    <t>PRORROGA # 3 - SOSTENIBILIDAD A SOLUX BSS</t>
  </si>
  <si>
    <t>vmatamoros</t>
  </si>
  <si>
    <t>VALERIA MATAMOROS CASTILLO</t>
  </si>
  <si>
    <t>IICA-022021</t>
  </si>
  <si>
    <t>Soporte, Mantenimiento y Asistencia Técnica  SAPIENS</t>
  </si>
  <si>
    <t>0432017012800116-02</t>
  </si>
  <si>
    <t>SOPORTE HERRAMIENT SAPIENS</t>
  </si>
  <si>
    <t>CONT-009-2018</t>
  </si>
  <si>
    <t>Servicio Administrado para continuidad de la plataforma tecnológica Registrelo</t>
  </si>
  <si>
    <t>CONT-12-2019</t>
  </si>
  <si>
    <t>SERVICIO QUE GARANTICE LA OPER, SOP., MANT. Y MEJORAS DE PLATAFORMA TRAMITE YA</t>
  </si>
  <si>
    <t>aalfarov</t>
  </si>
  <si>
    <t>ANTONY JESUS ALFARO VAZQUEZ</t>
  </si>
  <si>
    <t>bbarrantes</t>
  </si>
  <si>
    <t>BRANDON BARRANTES ALFARO</t>
  </si>
  <si>
    <t>pblanco</t>
  </si>
  <si>
    <t>ebrenes</t>
  </si>
  <si>
    <t>EDWIN BRENES CAMBRONERO</t>
  </si>
  <si>
    <t>kangulo</t>
  </si>
  <si>
    <t>KATHERINE ANGULO MENDOZA</t>
  </si>
  <si>
    <t>drojas</t>
  </si>
  <si>
    <t>DANNY ROJAS ARGUEDAS</t>
  </si>
  <si>
    <t>JR.DSG</t>
  </si>
  <si>
    <t>JUNIOR DESIGNER</t>
  </si>
  <si>
    <t>mfaraya</t>
  </si>
  <si>
    <t>Servicios Administrados del ERP Modalidad SAAS - icoder</t>
  </si>
  <si>
    <t>DEV.07</t>
  </si>
  <si>
    <t>Entry Level Software / Soporte</t>
  </si>
  <si>
    <t>emunozr</t>
  </si>
  <si>
    <t>EMILY MUÑOZ RODRIGUEZ</t>
  </si>
  <si>
    <t>SR.DSG</t>
  </si>
  <si>
    <t>SENIOR DESIGNER</t>
  </si>
  <si>
    <t>MG.DSG</t>
  </si>
  <si>
    <t>ANA MARIA ALVARADO JIMENEZ</t>
  </si>
  <si>
    <t>cmontero</t>
  </si>
  <si>
    <t>CARLOS MONTERO ANGULO</t>
  </si>
  <si>
    <t>PROY-INT.-GNNEG</t>
  </si>
  <si>
    <t>PROYECTOS INTERNOS DE PROCESO GNNEG</t>
  </si>
  <si>
    <t>PROC.NNEG</t>
  </si>
  <si>
    <t>DEV.11</t>
  </si>
  <si>
    <t>Specialist Development Lead</t>
  </si>
  <si>
    <t>jchernandez</t>
  </si>
  <si>
    <t>JEAN CARLO HERNANDEZ ARGUEDAS</t>
  </si>
  <si>
    <t>jesquivel</t>
  </si>
  <si>
    <t>JOSEF ESQUIVEL JIMENEZ</t>
  </si>
  <si>
    <t>mmolina</t>
  </si>
  <si>
    <t>jsalas</t>
  </si>
  <si>
    <t>JOSEPH SALAS SOLANO</t>
  </si>
  <si>
    <t>jovargas</t>
  </si>
  <si>
    <t>JOSUE VARGAS ALVAREZ</t>
  </si>
  <si>
    <t>msalazar</t>
  </si>
  <si>
    <t>MARIANA SALAZAR CASTRO</t>
  </si>
  <si>
    <t>msolorzanor</t>
  </si>
  <si>
    <t>MELANY SOLORZANO ROJAS</t>
  </si>
  <si>
    <t>rmejias</t>
  </si>
  <si>
    <t>REBECA MEJIAS QUESADA</t>
  </si>
  <si>
    <t>SOIN.RH.03</t>
  </si>
  <si>
    <t>GES.CA.02</t>
  </si>
  <si>
    <t>Quality Project Coordinator</t>
  </si>
  <si>
    <t>tsolis</t>
  </si>
  <si>
    <t>TATIANA SOLIS ZAMORA</t>
  </si>
  <si>
    <t>cbadilla</t>
  </si>
  <si>
    <t>CESAR BADILLA ANCHIA</t>
  </si>
  <si>
    <t>DEV.10</t>
  </si>
  <si>
    <t>JUNIOR DEVOPS SOFTWARE DEVELOPER</t>
  </si>
  <si>
    <t>agaitan</t>
  </si>
  <si>
    <t>GEHISSON ANDRES GAITAN HERRERA</t>
  </si>
  <si>
    <t>HD.OS</t>
  </si>
  <si>
    <t>HELP DESK AND OPERATION SERVICES</t>
  </si>
  <si>
    <t>pmorales</t>
  </si>
  <si>
    <t>PAOLA MORALES CORDOBA</t>
  </si>
  <si>
    <t>fgomez</t>
  </si>
  <si>
    <t>FELIPE GOMEZ QUESADA</t>
  </si>
  <si>
    <t>JSOLS</t>
  </si>
  <si>
    <t>JUNIOR SOLUTION SPECIALIST</t>
  </si>
  <si>
    <t>jmorera</t>
  </si>
  <si>
    <t>JOCELINNE MORERA HERNANDEZ</t>
  </si>
  <si>
    <t>gjlobo</t>
  </si>
  <si>
    <t>GILBERT JOSUE LOBO GUIDO</t>
  </si>
  <si>
    <t>aalvarez</t>
  </si>
  <si>
    <t>ANDRES ALVAREZ ZUÑIGA</t>
  </si>
  <si>
    <t>amiranda</t>
  </si>
  <si>
    <t>ANFERNY MIRANDA CHAVEZ</t>
  </si>
  <si>
    <t>amonge</t>
  </si>
  <si>
    <t>ANDRES MONGE NARANJO</t>
  </si>
  <si>
    <t>darias</t>
  </si>
  <si>
    <t>ecortes</t>
  </si>
  <si>
    <t>ELIER CORTES BALTODANO</t>
  </si>
  <si>
    <t>fmonge</t>
  </si>
  <si>
    <t>FABIAN MONGE SANCHEZ</t>
  </si>
  <si>
    <t>hgomez</t>
  </si>
  <si>
    <t>HUMBERTO GOMEZ CASTAÑEDA</t>
  </si>
  <si>
    <t>jestrada</t>
  </si>
  <si>
    <t>JUAN ESTRADA RAMIREZ</t>
  </si>
  <si>
    <t>2019CD-00011200</t>
  </si>
  <si>
    <t>Servicios de Sostenibilidad y acceso a nuevas versiones</t>
  </si>
  <si>
    <t>M1NCP3</t>
  </si>
  <si>
    <t>NCP3</t>
  </si>
  <si>
    <t>M2NCP3</t>
  </si>
  <si>
    <t>M3NCP3</t>
  </si>
  <si>
    <t>M4NCP3</t>
  </si>
  <si>
    <t>M5NCP3</t>
  </si>
  <si>
    <t>M6NCP3</t>
  </si>
  <si>
    <t>M7NCP3</t>
  </si>
  <si>
    <t>M8NCP3</t>
  </si>
  <si>
    <t>M9NCP3</t>
  </si>
  <si>
    <t>M10NCP3</t>
  </si>
  <si>
    <t>M11NCP3</t>
  </si>
  <si>
    <t>M12NCP3</t>
  </si>
  <si>
    <t>M13NCP3</t>
  </si>
  <si>
    <t>Feriados 2021</t>
  </si>
  <si>
    <t>Semana 56
14/09/20 - 23/09/20</t>
  </si>
  <si>
    <t>Semana 1
01/10/20 - 07/10/20</t>
  </si>
  <si>
    <t>Semana 2
08/10/20 - 14/10/20</t>
  </si>
  <si>
    <t>Semana 3
15/10/20 - 21/10/20</t>
  </si>
  <si>
    <t>Semana 4
22/10/20 - 31/10/20</t>
  </si>
  <si>
    <t>Semana 5
01/11/20 - 11/11/20</t>
  </si>
  <si>
    <t>Semana 6
12/11/20 - 18/11/20</t>
  </si>
  <si>
    <t>Semana 7
19/11/20 - 25/11/20</t>
  </si>
  <si>
    <t>Semana 8
26/11/20 - 30/11/20</t>
  </si>
  <si>
    <t>Semana 9
01/12/20 - 09/12/20</t>
  </si>
  <si>
    <t>Semana 10
10/12/20 - 16/12/20</t>
  </si>
  <si>
    <t>Semana 11
17/12/20 - 23/12/20</t>
  </si>
  <si>
    <t>Semana 12
24/12/20 - 31/12/20</t>
  </si>
  <si>
    <t>Semana 13
01/01/21 - 06/01/21</t>
  </si>
  <si>
    <t>Semana 14
07/01/21 - 13/01/21</t>
  </si>
  <si>
    <t>Semana 15
14/01/21 - 20/01/21</t>
  </si>
  <si>
    <t>Semana 16
21/01/21 - 30/01/21</t>
  </si>
  <si>
    <t>Semana 17
31/01/21 - 10/02/21</t>
  </si>
  <si>
    <t>Semana 18
11/02/21 - 17/02/21</t>
  </si>
  <si>
    <t>Semana 19
18/02/21 - 24/02/21</t>
  </si>
  <si>
    <t>Semana 20
25/02/21 - 02/03/21</t>
  </si>
  <si>
    <t>Semana 21
03/03/21 - 10/03/21</t>
  </si>
  <si>
    <t>Semana 22
11/03/21 - 17/03/21</t>
  </si>
  <si>
    <t>Semana 23
18/03/21 - 24/03/21</t>
  </si>
  <si>
    <t>Semana 24
25/03/21 - 02/04/21</t>
  </si>
  <si>
    <t>Semana 25
03/04/21 - 07/04/21</t>
  </si>
  <si>
    <t>Semana 26
08/04/21 - 14/04/21</t>
  </si>
  <si>
    <t>Semana 27
15/04/21 - 21/04/21</t>
  </si>
  <si>
    <t>Semana 28
22/04/21 - 30/04/21</t>
  </si>
  <si>
    <t>Semana 29
01/05/21 - 12/05/21</t>
  </si>
  <si>
    <t>Semana 30
13/05/21 - 19/05/21</t>
  </si>
  <si>
    <t>Semana 31
20/05/21 - 26/05/21</t>
  </si>
  <si>
    <t>Semana 32
27/05/21 - 31/05/21</t>
  </si>
  <si>
    <t>Semana 33
01/06/21 - 09/06/21</t>
  </si>
  <si>
    <t>Semana 34
10/06/21 - 16/06/21</t>
  </si>
  <si>
    <t>Semana 35
17/06/21 - 23/06/21</t>
  </si>
  <si>
    <t>Semana 36
24/06/21 - 30/06/21</t>
  </si>
  <si>
    <t>Semana 37
01/07/21 - 07/07/21</t>
  </si>
  <si>
    <t>Semana 38
08/07/21 - 14/07/21</t>
  </si>
  <si>
    <t>Semana 39
15/07/21 - 21/07/21</t>
  </si>
  <si>
    <t>Semana 40
22/07/21 - 31/07/21</t>
  </si>
  <si>
    <t>Semana 41
01/08/21 - 11/08/21</t>
  </si>
  <si>
    <t>Semana 42
12/08/21 - 18/08/21</t>
  </si>
  <si>
    <t>Semana 43
19/08/21 - 25/08/21</t>
  </si>
  <si>
    <t>Semana 44
26/08/21 - 30/08/21</t>
  </si>
  <si>
    <t>Semana 45
31/08/21 - 08/09/21</t>
  </si>
  <si>
    <t>Semana 46
09/09/21 - 15/09/21</t>
  </si>
  <si>
    <t>Semana 47
16/09/21 - 22/09/21</t>
  </si>
  <si>
    <t>Semana 48
23/09/21 - 30/09/21</t>
  </si>
  <si>
    <t>Semana 49
01/10/21 - 06/10/21</t>
  </si>
  <si>
    <t>Semana 50
07/10/21 - 13/10/21</t>
  </si>
  <si>
    <t>Semana 51
14/10/21 - 20/10/21</t>
  </si>
  <si>
    <t>Del 24/09/20 al 23/10/20</t>
  </si>
  <si>
    <t>Del 24/10/20 al 23/11/20</t>
  </si>
  <si>
    <t>Del 24/11/20 al 23/12/20</t>
  </si>
  <si>
    <t>Del 24/12/20 al 23/01/21</t>
  </si>
  <si>
    <t>Del 24/01/21 al 23/02/21</t>
  </si>
  <si>
    <t>Del 24/02/21 al 23/03/21</t>
  </si>
  <si>
    <t>Del 24/03/21 al 23/04/21</t>
  </si>
  <si>
    <t>Del 24/04/21 al 23/05/21</t>
  </si>
  <si>
    <t>Del 24/05/21 al 23/06/21</t>
  </si>
  <si>
    <t>Del 24/06/21 al 23/07/21</t>
  </si>
  <si>
    <t>Del 24/07/21 al 23/08/21</t>
  </si>
  <si>
    <t>Del 24/08/21 al 23/09/21</t>
  </si>
  <si>
    <t>151-GNNEG-20/21</t>
  </si>
  <si>
    <t>404-PRAC-LABS</t>
  </si>
  <si>
    <t>Plantilla Practicantes - LABS</t>
  </si>
  <si>
    <t>900-TAPP-PAY</t>
  </si>
  <si>
    <t>243-900-TAPP</t>
  </si>
  <si>
    <t>PROYECTO DE TAPP PAY - ALIANZA COOPESERVIDORES</t>
  </si>
  <si>
    <t>B3</t>
  </si>
  <si>
    <t>Boleta NCP3</t>
  </si>
  <si>
    <t>TIPO TAREA DC</t>
  </si>
  <si>
    <t>INCIDENT MGMT.</t>
  </si>
  <si>
    <t>O5</t>
  </si>
  <si>
    <t>OB5-QA</t>
  </si>
  <si>
    <t>OQ</t>
  </si>
  <si>
    <t>OBJ-QA</t>
  </si>
  <si>
    <t>RD</t>
  </si>
  <si>
    <t>TramiteYa</t>
  </si>
  <si>
    <t>REQ. FULFILMEN:</t>
  </si>
  <si>
    <t>CSV-082019</t>
  </si>
  <si>
    <t>2019LA-08-86001</t>
  </si>
  <si>
    <t>ADQUISICION Y RENOVACION  LICENCIAS</t>
  </si>
  <si>
    <t>0432019012800082-00</t>
  </si>
  <si>
    <t>Servicio de Mantenimiento de Software del Sist. de Adm. de Base de Datos</t>
  </si>
  <si>
    <t>ACTUALIZACIÓN DE LICENCIAS SAP SYBASE ASE Y HORAS DE SOPORTE-PRORROGA 1</t>
  </si>
  <si>
    <t>2016LA-000034-0007300001</t>
  </si>
  <si>
    <t>ACTUALIZACION SAP-ASE</t>
  </si>
  <si>
    <t>0432016023000116-00</t>
  </si>
  <si>
    <t>2016CD-000089-00049000-01  RENOVACION DERECHO ACTUALIZAR Y SOPORTE TEC SYBASE</t>
  </si>
  <si>
    <t>613-2019</t>
  </si>
  <si>
    <t>Licencia SAP   BO, BI Edge y Soporte</t>
  </si>
  <si>
    <t>OCN-3131</t>
  </si>
  <si>
    <t>ACTUALIZACION Y SOPORTE LICENCIAS SAP ASE</t>
  </si>
  <si>
    <t>OC-0021173</t>
  </si>
  <si>
    <t>LICENCIAS BD SYBASE Y SOPORTE</t>
  </si>
  <si>
    <t>2019-095466</t>
  </si>
  <si>
    <t>ACTUALIZACION Y SOPORTE LICENCIAS SAP</t>
  </si>
  <si>
    <t>O.C. 4500000427</t>
  </si>
  <si>
    <t>ACTUALIZACION Y SOPORTE REMOTO SAP ASE</t>
  </si>
  <si>
    <t>SOPORTE LICENCIAS SERVIDORES BASE DATOS SYBASE</t>
  </si>
  <si>
    <t>0432020180300099-00</t>
  </si>
  <si>
    <t>IMPLEMENTAR EN BASE DE DATOS ESQUEMAS DE ENCRIPTACION DE DATOS PARA EL USO DE WE</t>
  </si>
  <si>
    <t>Adq. Derecho Actual. de Lic. Base Datos y Diseño SAP/Sybase</t>
  </si>
  <si>
    <t>CLSCA-2020-2021</t>
  </si>
  <si>
    <t>Soporte, Sost, Nuev.Requer y actualización aplicativo</t>
  </si>
  <si>
    <t>0432018521000088-02</t>
  </si>
  <si>
    <t>Actualización  de Licencias SAP  BO</t>
  </si>
  <si>
    <t>SOPORTE SW DISEÑO ESTRUCTURAS BD</t>
  </si>
  <si>
    <t>2020CD-000005-1150</t>
  </si>
  <si>
    <t>Actualización  Lics para SW de modelaje de Datos PD</t>
  </si>
  <si>
    <t>O.C. CR03-0000011135</t>
  </si>
  <si>
    <t>Actualización y Mantenimiento SAP</t>
  </si>
  <si>
    <t>0432020014200100-00</t>
  </si>
  <si>
    <t>Actualizar y dar Soporte Lic SAP BO</t>
  </si>
  <si>
    <t>0432020018200019-00</t>
  </si>
  <si>
    <t>Soporte de Sistema Informatico</t>
  </si>
  <si>
    <t>400-HENKEL-2021</t>
  </si>
  <si>
    <t>Soporte, Sost, Manten Correctivo,  N.Requerimiento</t>
  </si>
  <si>
    <t>OC 50596</t>
  </si>
  <si>
    <t>SOPORTE Y MANTENIMIENTO SW  SYBASE</t>
  </si>
  <si>
    <t>578-BNac Val 2021</t>
  </si>
  <si>
    <t>Mant y Sop  productos SAP-ASE 2021</t>
  </si>
  <si>
    <t>CONT-001-2021</t>
  </si>
  <si>
    <t>LAT-633</t>
  </si>
  <si>
    <t>Mantenimiento Lic Sybase 01</t>
  </si>
  <si>
    <t>2020LA-000086-PROV</t>
  </si>
  <si>
    <t>Actualizacion y Soporte Tecnico Licencias SAP BO</t>
  </si>
  <si>
    <t>2020PP-000075-0000800001</t>
  </si>
  <si>
    <t>HRS CONSUMO SOPORTE SAPIENS - POR EXCEPCION</t>
  </si>
  <si>
    <t>TAPP PAY - Pago Electronico</t>
  </si>
  <si>
    <t>Desarrollar Implemen, Ejecución, Comercializar TAPP-PAU</t>
  </si>
  <si>
    <t>PROCESO DE GESTION DE NUEVOS NEGOCIOS</t>
  </si>
  <si>
    <t>PROC.TAPP</t>
  </si>
  <si>
    <t>PROCESO TAPP</t>
  </si>
  <si>
    <t>Project Manager - Salud</t>
  </si>
  <si>
    <t>Consultor Experto OC3C</t>
  </si>
  <si>
    <t>PMO.03</t>
  </si>
  <si>
    <t>Specialist PMO Officer</t>
  </si>
  <si>
    <t>DEV.09</t>
  </si>
  <si>
    <t>Entry Level DevOps Software Developer</t>
  </si>
  <si>
    <t>andrey</t>
  </si>
  <si>
    <t>HUBERT ANDREY ARIAS BADILLA</t>
  </si>
  <si>
    <t>spanigrahi</t>
  </si>
  <si>
    <t>SWETALANA PANIGRAHI</t>
  </si>
  <si>
    <t>adas</t>
  </si>
  <si>
    <t>AYAN DAS</t>
  </si>
  <si>
    <t>mubbalagandi</t>
  </si>
  <si>
    <t>MEGHANA UBBALAGANDI CHANDRASHEKHAR</t>
  </si>
  <si>
    <t>pgowthamapura</t>
  </si>
  <si>
    <t>PRAHLADA GOWTHAMAPURA VENKATESHA</t>
  </si>
  <si>
    <t>aalvareza</t>
  </si>
  <si>
    <t>ALEJANDRA ALVAREZ ALFARO</t>
  </si>
  <si>
    <t>crodriguezv</t>
  </si>
  <si>
    <t>JAVIER VARGAS VILLALTA</t>
  </si>
  <si>
    <t>Horas Laborales</t>
  </si>
  <si>
    <t>Facturable</t>
  </si>
  <si>
    <t>F. Fin</t>
  </si>
  <si>
    <t>F. Inicio</t>
  </si>
  <si>
    <t>jcapineri</t>
  </si>
  <si>
    <t>JESUS CAPINERI</t>
  </si>
  <si>
    <t>lalvarado</t>
  </si>
  <si>
    <t>MONSERRATH MOLINA SANCHEZ</t>
  </si>
  <si>
    <t>DIANA ARIAS QUESADA</t>
  </si>
  <si>
    <t>CHRISTIAN RODRIGUEZ VILLALOBOS</t>
  </si>
  <si>
    <t>sgonzalezm</t>
  </si>
  <si>
    <t>STEVEN GONZALEZ MONESTEL</t>
  </si>
  <si>
    <t>mmirault</t>
  </si>
  <si>
    <t>MARCO MIRAULT MATAMOROS</t>
  </si>
  <si>
    <t>david</t>
  </si>
  <si>
    <t>DAVID ALONSO MUÑOZ MORALES</t>
  </si>
  <si>
    <t>fquesada</t>
  </si>
  <si>
    <t>FABIAN QUESADA SANCHEZ</t>
  </si>
  <si>
    <t>cfraguela</t>
  </si>
  <si>
    <t>CRISTINA FRAGUELA ESQUIVEL</t>
  </si>
  <si>
    <t>eportuguez</t>
  </si>
  <si>
    <t>ELENA PORTUGUEZ MORA</t>
  </si>
  <si>
    <t>mrojasr</t>
  </si>
  <si>
    <t>MARIO ROJAS RODRIGUEZ</t>
  </si>
  <si>
    <t>arabjan</t>
  </si>
  <si>
    <t>ABHINAV RANJAN</t>
  </si>
  <si>
    <t>zgonzalez</t>
  </si>
  <si>
    <t>ZULMA GONZALEZ</t>
  </si>
  <si>
    <t>mcastillo</t>
  </si>
  <si>
    <t>MIGUEL CASTILLO ESPITIA</t>
  </si>
  <si>
    <t>cvillalobos</t>
  </si>
  <si>
    <t>CARLOS ANDRES VILLALOBOS SALAS</t>
  </si>
  <si>
    <t>aortiz</t>
  </si>
  <si>
    <t>ADOLFO ORTIZ</t>
  </si>
  <si>
    <t>nbhargava</t>
  </si>
  <si>
    <t>NEHA BHARGAVA</t>
  </si>
  <si>
    <t>cmuller</t>
  </si>
  <si>
    <t>CLAUBER MULLER</t>
  </si>
  <si>
    <t>emarin</t>
  </si>
  <si>
    <t>ESTEFANIA MARIN BARAQUISO</t>
  </si>
  <si>
    <t>avargasg</t>
  </si>
  <si>
    <t>ARLEN VARGAS GALVEZ</t>
  </si>
  <si>
    <t>jaguero</t>
  </si>
  <si>
    <t>JOSTEN AGÜERO MAROTO</t>
  </si>
  <si>
    <t>pgollipelly</t>
  </si>
  <si>
    <t>PRIYANKA GOLLIPELLY</t>
  </si>
  <si>
    <t>sbadilla</t>
  </si>
  <si>
    <t>SELENIA BADILLA ANCHIA</t>
  </si>
  <si>
    <t>hfallas</t>
  </si>
  <si>
    <t>HENRY FALLAS SALAZAR</t>
  </si>
  <si>
    <t>srangana</t>
  </si>
  <si>
    <t>SURESHBABU RANGANA</t>
  </si>
  <si>
    <t>LUIS ALVARADO JIMENEZ</t>
  </si>
  <si>
    <t>galvarado</t>
  </si>
  <si>
    <t>GABRIELA ALVARADO SALAS</t>
  </si>
  <si>
    <t>dcamacho</t>
  </si>
  <si>
    <t>DANIELA CAMACHO BARRANTES</t>
  </si>
  <si>
    <t>fmolina</t>
  </si>
  <si>
    <t>FERNANDO MOLINA CORREA</t>
  </si>
  <si>
    <t>lfuentes</t>
  </si>
  <si>
    <t>LUIS FUENTES ROBLES</t>
  </si>
  <si>
    <t>jcastroo</t>
  </si>
  <si>
    <t>JAVIER CASTRO OROZCO</t>
  </si>
  <si>
    <t>respinoza</t>
  </si>
  <si>
    <t>ROSMERY ESPINOZA URBINA</t>
  </si>
  <si>
    <t>ICE.SO.GNR.INV</t>
  </si>
  <si>
    <t>GESTIÓN DE NUEVOS REQUERIMIENTOS SOSTENIBILIDAD ICE - INVERSIÓN</t>
  </si>
  <si>
    <t>Semana Inv</t>
  </si>
  <si>
    <t>Gestión de Servicios de  BI</t>
  </si>
  <si>
    <t>191-GEST-SER-TC</t>
  </si>
  <si>
    <t>Gestión de Servicio al Cliente T.D.  - NFC</t>
  </si>
  <si>
    <t>192-GEST-SER-TC</t>
  </si>
  <si>
    <t>Gestión de Servicio al Cliente T.D. - FC</t>
  </si>
  <si>
    <t>193-RTB-T.C.</t>
  </si>
  <si>
    <t>194-CAP-T.C.</t>
  </si>
  <si>
    <t>Capacitaciones de T.C.</t>
  </si>
  <si>
    <t>195-ADGR-T.C.</t>
  </si>
  <si>
    <t>Administrativas / Gerenciales Transf Digital</t>
  </si>
  <si>
    <t>190-PRY-EJEC-TC</t>
  </si>
  <si>
    <t>Proyectos en Ejecución de T.D.</t>
  </si>
  <si>
    <t>PROYECTO DE IMPLEMENTACIÓN MUNICIPALIDAD DE SAN JOSÉ   MSJ</t>
  </si>
  <si>
    <t>PLANTILLA SPRINT T.C.</t>
  </si>
  <si>
    <t>151-152-ERP20-2</t>
  </si>
  <si>
    <t>151-154-SIGES</t>
  </si>
  <si>
    <t>PROYECTO BI ON DEMAND</t>
  </si>
  <si>
    <t>TAPP PAY - VENTAS Y MERCADEO</t>
  </si>
  <si>
    <t>151-400-DEVOPS</t>
  </si>
  <si>
    <t>Desarrollo Solucion DevOps</t>
  </si>
  <si>
    <t>218-162-S911</t>
  </si>
  <si>
    <t>ACTUALIZACIÓN DE SISTEMA - 911</t>
  </si>
  <si>
    <t>151-400-FACTORE</t>
  </si>
  <si>
    <t>DESARROLLO DE SOLUCIÓN - FACTOREO</t>
  </si>
  <si>
    <t>095-152-CENCINA</t>
  </si>
  <si>
    <t>095-154- CENCIN</t>
  </si>
  <si>
    <t>095-140-CENCINA</t>
  </si>
  <si>
    <t>SOPORTE ERP - CENCINAI</t>
  </si>
  <si>
    <t>901-TAPP-PAY</t>
  </si>
  <si>
    <t>TAPP PAY - COMUNICACIÓN Y MERCADEO</t>
  </si>
  <si>
    <t>BI-151-177-SOIN</t>
  </si>
  <si>
    <t>GESTIÓN DE SERVICIO INTERNO - SOIN</t>
  </si>
  <si>
    <t>051-OPI-ICE</t>
  </si>
  <si>
    <t>Soporte Operativo Capa Integración Servicios BSS</t>
  </si>
  <si>
    <t>171-OPI</t>
  </si>
  <si>
    <t>SOPORTE OPERATIVO PARA LA CAPA DE INTEGRACIÓN DE SERVICIOS BSS</t>
  </si>
  <si>
    <t>172-OPI</t>
  </si>
  <si>
    <t>INTERNO - SOPORTE OPERATIVO PARA LA CAPA DE INTEGRACIÓN DE SERVICIOS BSS</t>
  </si>
  <si>
    <t>024-140 - AviaC</t>
  </si>
  <si>
    <t>Suscripcion de BO  - Aviacion Civil</t>
  </si>
  <si>
    <t>151-403-N.NEG.</t>
  </si>
  <si>
    <t>Atención de IN-P2 - Prototipos de Innovación</t>
  </si>
  <si>
    <t>151-400-CORE LA</t>
  </si>
  <si>
    <t>DESARROLLO DE SOLUCIÓN - CORE LABS</t>
  </si>
  <si>
    <t>151-400-RGT2.0</t>
  </si>
  <si>
    <t>DESARROLLO DE SOLUCIÓN - REGISTRELO 2.0</t>
  </si>
  <si>
    <t>198-GEST-CTR</t>
  </si>
  <si>
    <t>Tareas asociadas a gestión de proyectos y control</t>
  </si>
  <si>
    <t>Actividades Administrativas y Gerenciales - TRANSFORMACION DIGITAL</t>
  </si>
  <si>
    <t>196-ARQUITEC</t>
  </si>
  <si>
    <t>Labores del arquitecto de solución</t>
  </si>
  <si>
    <t>151-SOIN-TRACK</t>
  </si>
  <si>
    <t>SOLUCION DE MONITOREO</t>
  </si>
  <si>
    <t>151-GST-TRIBUTA</t>
  </si>
  <si>
    <t>COMPONENTE DE GESTIÓN TRIBUTARIA</t>
  </si>
  <si>
    <t>ICE.SO.GC.NCA</t>
  </si>
  <si>
    <t>GESTIÓN DE LA CALIDAD SOSTENIBILIDAD ICE - NCA</t>
  </si>
  <si>
    <t>ICE.SO.GI.NCA</t>
  </si>
  <si>
    <t>GESTIÓN DE INCIDENCIAS SOSTENIBILIDAD ICE - NCA</t>
  </si>
  <si>
    <t>ICE.SO.SO.NCA</t>
  </si>
  <si>
    <t>SOPORTE A LA OPERACIÓN SOSTENIBILIDAD ICE - NCA</t>
  </si>
  <si>
    <t>ICE.SO.PMO.NCA</t>
  </si>
  <si>
    <t>GESTIÓN DE PROYECTOS SOSTENIBILIDAD ICE - NCA</t>
  </si>
  <si>
    <t>ICE.SO.GI.INV</t>
  </si>
  <si>
    <t>GESTIÓN DE INCIDENCIAS SOSTENIBILIDAD ICE - INVERSION</t>
  </si>
  <si>
    <t>ICE.SO.SO.INV</t>
  </si>
  <si>
    <t>SOPORTE A LA OPERACIÓN SOSTENIBILIDAD ICE - INVERSIÓN</t>
  </si>
  <si>
    <t>ICE.SO.PMO.INV</t>
  </si>
  <si>
    <t>GESTIÓN DE PROYECTOS SOSTENIBILIDAD ICE - INVERSIÓN</t>
  </si>
  <si>
    <t>ICE.SO.GC.INV</t>
  </si>
  <si>
    <t>GESTIÓN DE LA CALIDAD SOSTENIBILIDAD ICE - INV</t>
  </si>
  <si>
    <t>202-SALUD-PRY</t>
  </si>
  <si>
    <t>Proyectos de implementación - SALUD</t>
  </si>
  <si>
    <t>ICE.SO.GNR.NCA</t>
  </si>
  <si>
    <t>GESTIÓN DE NUEVOS REQUERIMIENTOS SOSTENIBILIDAD ICE - NCA</t>
  </si>
  <si>
    <t>ICE.NF.SO.NCA</t>
  </si>
  <si>
    <t>ACTIVIDADES ASOCIADAS A SOSTENIBILIDAD NCA - NO FACTURABLES</t>
  </si>
  <si>
    <t>151-400-CERTCOV</t>
  </si>
  <si>
    <t>DESARROLLO DE SOLUCIÓN -  CERTIFICADO COVID</t>
  </si>
  <si>
    <t>151-TELENOR</t>
  </si>
  <si>
    <t>Oracle Asia - Telenor</t>
  </si>
  <si>
    <t>151-196-RPA</t>
  </si>
  <si>
    <t>Robotic Process Automation</t>
  </si>
  <si>
    <t>Soporte  Mantenimiento Correctivo Sistema SIFCO 2021</t>
  </si>
  <si>
    <t>M1NCA</t>
  </si>
  <si>
    <t>NCA</t>
  </si>
  <si>
    <t>M2NCA</t>
  </si>
  <si>
    <t>M3NCA</t>
  </si>
  <si>
    <t>M4NCA</t>
  </si>
  <si>
    <t>M5NCA</t>
  </si>
  <si>
    <t>M6NCA</t>
  </si>
  <si>
    <t>M7NCA</t>
  </si>
  <si>
    <t>M8NCA</t>
  </si>
  <si>
    <t>M9NCA</t>
  </si>
  <si>
    <t>M10NCA</t>
  </si>
  <si>
    <t>M11NCA</t>
  </si>
  <si>
    <t>M12NCA</t>
  </si>
  <si>
    <t>M13NCA</t>
  </si>
  <si>
    <t>Columna3</t>
  </si>
  <si>
    <t>PROC.ADM</t>
  </si>
  <si>
    <t>SOIN-ADM-2022</t>
  </si>
  <si>
    <t>TAREAS ADMINISTRATIVAS SOIN 2022</t>
  </si>
  <si>
    <t>CAPACITACIONES</t>
  </si>
  <si>
    <t>PC-4500150749-G</t>
  </si>
  <si>
    <t>SOSTENIBILIDAD A SOLUX BSS - NCA</t>
  </si>
  <si>
    <t>Columna4</t>
  </si>
  <si>
    <t>MARIA FERNANDA ARAYA ARGUEDAS</t>
  </si>
  <si>
    <t>mramasani</t>
  </si>
  <si>
    <t>MADHAVI RAMASANI</t>
  </si>
  <si>
    <t>lmesen</t>
  </si>
  <si>
    <t>LETICIA MESEN ZELEDON</t>
  </si>
  <si>
    <t>dcerdas</t>
  </si>
  <si>
    <t>DIANA MURILLO CERDAS</t>
  </si>
  <si>
    <t>evallejos</t>
  </si>
  <si>
    <t>EDDY VALLEJOS GOMEZ</t>
  </si>
  <si>
    <t>rgarciaf</t>
  </si>
  <si>
    <t>ROGER GARCIA FERNANDEZ</t>
  </si>
  <si>
    <t>dbarrantesb</t>
  </si>
  <si>
    <t>DANIELA BARRANTES BARRANTES</t>
  </si>
  <si>
    <t>nvillegas</t>
  </si>
  <si>
    <t>NANDY VILLEGAS MOREIRA</t>
  </si>
  <si>
    <t>arivera</t>
  </si>
  <si>
    <t>ANDREY RIVERA ELIZONDO</t>
  </si>
  <si>
    <t>vorozco</t>
  </si>
  <si>
    <t>VIVIANA OROZCO FERNANDEZ</t>
  </si>
  <si>
    <t>kumana</t>
  </si>
  <si>
    <t>KAROLINA UMAÑA PERAZA</t>
  </si>
  <si>
    <t>diego</t>
  </si>
  <si>
    <t>LUIS DIEGO BRENES VALVERDE</t>
  </si>
  <si>
    <t>jarroyo</t>
  </si>
  <si>
    <t>JUAN JOSE ARROYO UGALDE</t>
  </si>
  <si>
    <t>gfernandeze</t>
  </si>
  <si>
    <t>GEOVANNI FERNANDEZ ELIZONDO</t>
  </si>
  <si>
    <t>rpalma</t>
  </si>
  <si>
    <t>RUTH PALMA GUIDO</t>
  </si>
  <si>
    <t>mpineiro</t>
  </si>
  <si>
    <t>MARCELA PIÑEIRO RETANA</t>
  </si>
  <si>
    <t>rretana</t>
  </si>
  <si>
    <t>ROBERTO RETANA MOREIRA</t>
  </si>
  <si>
    <t>mbrenesq</t>
  </si>
  <si>
    <t>MERIBETH BRENES QUESADA</t>
  </si>
  <si>
    <t>kfernandezb</t>
  </si>
  <si>
    <t>KEVIN FERNANDEZ BONILLA</t>
  </si>
  <si>
    <t>jfernandez</t>
  </si>
  <si>
    <t>JAVIER MATIAS FERNANDEZ</t>
  </si>
  <si>
    <t>nbarboza</t>
  </si>
  <si>
    <t>NOHELIA BARBOZA SALAZAR</t>
  </si>
  <si>
    <t>aalvarezn</t>
  </si>
  <si>
    <t>ANTHONY ALVAREZ NAVARRO</t>
  </si>
  <si>
    <t>mcastroa</t>
  </si>
  <si>
    <t>MARCELA CASTRO ARIAS</t>
  </si>
  <si>
    <t>jguevara</t>
  </si>
  <si>
    <t>JOSSELINE DANIELA GUEVARA VEGA</t>
  </si>
  <si>
    <t>eolivares</t>
  </si>
  <si>
    <t>ESTEBAN OLIVARES BONILLA</t>
  </si>
  <si>
    <t>jarguello</t>
  </si>
  <si>
    <t>JOSHUA ARGUELLO CAMPOS</t>
  </si>
  <si>
    <t>jibarra</t>
  </si>
  <si>
    <t>JAIME HERNÁN IBARRA  BENAVIDES</t>
  </si>
  <si>
    <t>jmoreno</t>
  </si>
  <si>
    <t>JAIME MORENO MORENO</t>
  </si>
  <si>
    <t>vurena</t>
  </si>
  <si>
    <t>VICTORIA UREÑA FERNANDEZ</t>
  </si>
  <si>
    <t>srojas</t>
  </si>
  <si>
    <t>STEPHANIE ROJAS ALFARO</t>
  </si>
  <si>
    <t>mlizano</t>
  </si>
  <si>
    <t>MAIKOL LIZANO JIMENEZ</t>
  </si>
  <si>
    <t>jrodriguez</t>
  </si>
  <si>
    <t>JAFET RODRIGUEZ MENDEZ</t>
  </si>
  <si>
    <t>farias</t>
  </si>
  <si>
    <t>FERNANDO ARIAS NUÑEZ</t>
  </si>
  <si>
    <t>kfloresb</t>
  </si>
  <si>
    <t>KENDAL FLORES BALLESTERO</t>
  </si>
  <si>
    <t>ygallo</t>
  </si>
  <si>
    <t>YOSELIN GALLO GUTIERREZ</t>
  </si>
  <si>
    <t>rmora</t>
  </si>
  <si>
    <t>MARIA RAQUEL MORA SALAZAR</t>
  </si>
  <si>
    <t>Gestión de Servicio al Cliente Interop - FC - REGISTRELO 1.0</t>
  </si>
  <si>
    <t>PROC.TDIG</t>
  </si>
  <si>
    <t>151-QA-CORP2022</t>
  </si>
  <si>
    <t>TAREAS ASOCIADAS AL EQUIPO QA CORPORATIVO 2022</t>
  </si>
  <si>
    <t>PROY-INT.-TD</t>
  </si>
  <si>
    <t>PROYECTOS INTERNOS DE TRANSFORMACIÓN DIGITAL</t>
  </si>
  <si>
    <t>151-190-HDA</t>
  </si>
  <si>
    <t>SOLUCION ADUANAS - MINISTERIO HACIENDA</t>
  </si>
  <si>
    <t>No Facturable</t>
  </si>
  <si>
    <t>Recursos</t>
  </si>
  <si>
    <t>ADM SOIN</t>
  </si>
  <si>
    <t>Columna5</t>
  </si>
  <si>
    <t>Otros</t>
  </si>
  <si>
    <t xml:space="preserve"> </t>
  </si>
  <si>
    <t>a</t>
  </si>
  <si>
    <t>Feriados 2022</t>
  </si>
  <si>
    <t>Ejercito</t>
  </si>
  <si>
    <t>TRANSFORMACION DIGITAL</t>
  </si>
  <si>
    <t>SGCN</t>
  </si>
  <si>
    <t>Continuidad del Negocio</t>
  </si>
  <si>
    <t>H.D.M</t>
  </si>
  <si>
    <t>Horas para Daniel Margolis</t>
  </si>
  <si>
    <t>TAPP.PAY</t>
  </si>
  <si>
    <t>Equipo asignado a TAPP PAY</t>
  </si>
  <si>
    <t>IM-RF</t>
  </si>
  <si>
    <t>INDICENTES Y REQUEST</t>
  </si>
  <si>
    <t>H.E</t>
  </si>
  <si>
    <t>Horas Emiliano</t>
  </si>
  <si>
    <t>OSORIO</t>
  </si>
  <si>
    <t>ALBERTO OSORIO</t>
  </si>
  <si>
    <t>H.I</t>
  </si>
  <si>
    <t>Horas  Isaak Espinoza</t>
  </si>
  <si>
    <t>PMO-ASEG</t>
  </si>
  <si>
    <t>PMO-ASEGURAMIENTO</t>
  </si>
  <si>
    <t>TELENOR</t>
  </si>
  <si>
    <t>H.G.G</t>
  </si>
  <si>
    <t>Horas para Gustavo Gutiérez</t>
  </si>
  <si>
    <t>PRH</t>
  </si>
  <si>
    <t>Pendiente de reporte de horas</t>
  </si>
  <si>
    <t>TD</t>
  </si>
  <si>
    <t>Equipo-TransformacionDigital</t>
  </si>
  <si>
    <t>CF-SP</t>
  </si>
  <si>
    <t>SERVICIOS PROFESIONALES</t>
  </si>
  <si>
    <t>MANT. PREV. Y CORRECTIVO DEL SIST. CONT. DE CONTR 2021CD-000107-000660000 - DGAC</t>
  </si>
  <si>
    <t>151-158-NOERP</t>
  </si>
  <si>
    <t>151-140 SOIN</t>
  </si>
  <si>
    <t>SERVICIOS SOPORTE E INFRAESTRUCTURA SOIN</t>
  </si>
  <si>
    <t xml:space="preserve"> ACTIVIDADES AREA DE SOPORTE (INTERNO / EXTERNO)</t>
  </si>
  <si>
    <t>151-160-ERP</t>
  </si>
  <si>
    <t>SOSTENIBILIDAD-ERP - SOIN</t>
  </si>
  <si>
    <t>051-NT/MID-NC</t>
  </si>
  <si>
    <t>Soporte Operativo del Middleware de Facturación y BD</t>
  </si>
  <si>
    <t>151-PMO-SGCN</t>
  </si>
  <si>
    <t>024-140-DGAC</t>
  </si>
  <si>
    <t>901-162- KFC</t>
  </si>
  <si>
    <t>ACTUALIZACION DEL SISTEMA PARA KFC -2021</t>
  </si>
  <si>
    <t>901-152 - KFC</t>
  </si>
  <si>
    <t>GESTION DE NUEVOS REQUERIMIENTOS - KFC</t>
  </si>
  <si>
    <t>054-140-IMAS SA</t>
  </si>
  <si>
    <t>SOPORTE SAP BO, EDGE EDITION</t>
  </si>
  <si>
    <t>151-301-DC2022</t>
  </si>
  <si>
    <t>ACTIVIDADES DISEÑO CORPORATIVO  2022</t>
  </si>
  <si>
    <t>579-202-HOSP-GR</t>
  </si>
  <si>
    <t>Internet of Things- Hospital de Grecia</t>
  </si>
  <si>
    <t>579-202-LEAN-HC</t>
  </si>
  <si>
    <t>Referencia y Contrarreferencia - Lean Healthcare</t>
  </si>
  <si>
    <t>BI-151-178-GNR-</t>
  </si>
  <si>
    <t>Actividades administrativas y Gerenciales del Equipo de BI 2022</t>
  </si>
  <si>
    <t>151-PMO-COR2022</t>
  </si>
  <si>
    <t>SERVICIOS INTERNOS PMO CORPORATIVA 2022</t>
  </si>
  <si>
    <t>151-RH-2022</t>
  </si>
  <si>
    <t>ACTIVIDADES ASOCIADAS A RECURSOS HUMANOS - 2022</t>
  </si>
  <si>
    <t>705-GENERALES A</t>
  </si>
  <si>
    <t>TAREAS ADMINISTRATIVAS GENERALES</t>
  </si>
  <si>
    <t>706-CAPACITACIO</t>
  </si>
  <si>
    <t>707-INDUCCIÓN</t>
  </si>
  <si>
    <t>INDUCCIÓN (RECURSOS DE 1° INGRESO)</t>
  </si>
  <si>
    <t>151-195-ADGER22</t>
  </si>
  <si>
    <t>Actividades Administrativas y Gerenciales - TRANSFORMACION DIGITAL 2022</t>
  </si>
  <si>
    <t>024_LABS</t>
  </si>
  <si>
    <t>Tareas Administrativas y Gerenciales</t>
  </si>
  <si>
    <t>151-024-ADL2022</t>
  </si>
  <si>
    <t>Tareas Generales y Administrativas no reportadas en proyectos Labs 2022</t>
  </si>
  <si>
    <t>151-QA-ERP-2022</t>
  </si>
  <si>
    <t>151-RM-CORP2022</t>
  </si>
  <si>
    <t>TAREAS ASOCIADAS AL EQUIPO RM CORPORATIVO 2022</t>
  </si>
  <si>
    <t>151-NF-BI-2022</t>
  </si>
  <si>
    <t>ACTIVIDADES NO FACTURABLES EQUIPO BI - 2022</t>
  </si>
  <si>
    <t>151-023-ERP-ADM</t>
  </si>
  <si>
    <t>151-158-TD</t>
  </si>
  <si>
    <t>Actividades asociadas a Nuevas Oportunidad Transformación Digital</t>
  </si>
  <si>
    <t>151-CMRL-2022</t>
  </si>
  <si>
    <t>TAREAS DEL PROCESO COMERCIAL 2022</t>
  </si>
  <si>
    <t>151-SOP 2022</t>
  </si>
  <si>
    <t>151-NF-INT-NC</t>
  </si>
  <si>
    <t>ACTIVIDADES DEL EQUIPO DE INTEGRACIÓN - INF - NO FACTURABLES</t>
  </si>
  <si>
    <t>151-LIC.CAN-SOI</t>
  </si>
  <si>
    <t>Actualización y Soporte Software SAP ASE Edge Edition</t>
  </si>
  <si>
    <t>304-154-COOPELE</t>
  </si>
  <si>
    <t>095-400-INS-REG</t>
  </si>
  <si>
    <t>DESARROLLO DE SOLUCION - APP INSPECCIONES REGISTRELO</t>
  </si>
  <si>
    <t>051-NT/MID-NCP1</t>
  </si>
  <si>
    <t>051-OPI-ICENCP1</t>
  </si>
  <si>
    <t>151-NF-MD-NCP1</t>
  </si>
  <si>
    <t>925-140- Calder</t>
  </si>
  <si>
    <t>901-140 - KFC</t>
  </si>
  <si>
    <t>SOPORTE Y MANTENIMIENTO  KFC</t>
  </si>
  <si>
    <t>734-140-DAVIV 2</t>
  </si>
  <si>
    <t>BA</t>
  </si>
  <si>
    <t>Boleta NCA</t>
  </si>
  <si>
    <t>ES</t>
  </si>
  <si>
    <t>ESTUDIO</t>
  </si>
  <si>
    <t>Horas Infra-ICE</t>
  </si>
  <si>
    <t>NO</t>
  </si>
  <si>
    <t>TD-N.OPORT</t>
  </si>
  <si>
    <t>CTES-TD</t>
  </si>
  <si>
    <t>WL</t>
  </si>
  <si>
    <t>WHITE LABEL</t>
  </si>
  <si>
    <t>2018PP-000082-0000800001</t>
  </si>
  <si>
    <t>2019CD-000138-0005300001</t>
  </si>
  <si>
    <t>2017LA-000013-0015600001</t>
  </si>
  <si>
    <t>2019CD-000562-0000400001</t>
  </si>
  <si>
    <t>0432019521000438-02</t>
  </si>
  <si>
    <t>CONT 07-2019</t>
  </si>
  <si>
    <t>2018CD-000289-0000400001</t>
  </si>
  <si>
    <t>2020CD-000019-0006000001</t>
  </si>
  <si>
    <t>OC-OC64598</t>
  </si>
  <si>
    <t>2021CD-000003-0000400001</t>
  </si>
  <si>
    <t>CONT- 09-2021 - Cencinai</t>
  </si>
  <si>
    <t>ERP bajo modelo SaaS - Cencinai</t>
  </si>
  <si>
    <t>MANT HARD, S.OP P/SERVID COBRO LIN CONV</t>
  </si>
  <si>
    <t>2020CD-000170-0006600001</t>
  </si>
  <si>
    <t>SOPORTE y ACTUALIZACION LICENCIAS BO</t>
  </si>
  <si>
    <t>Renovar Derechos Actualización Licencias  SW  de Aplicativos</t>
  </si>
  <si>
    <t>PC-4500150749</t>
  </si>
  <si>
    <t>SOP OPERAT P/LA CAPA INTEGR DE SERV BSS - NCA</t>
  </si>
  <si>
    <t>2021CD-000107-0006600001</t>
  </si>
  <si>
    <t>PROY-INT.-TAPP</t>
  </si>
  <si>
    <t>PROTECTOS INTERNOS DE TAPP</t>
  </si>
  <si>
    <t>OC-3427 - 2021-2022</t>
  </si>
  <si>
    <t>Actualizar y Mejoras modulo Sapien</t>
  </si>
  <si>
    <t>2021CD-000109-0005300001</t>
  </si>
  <si>
    <t>Soporte SAP BO, Edge Edition 2021-2022</t>
  </si>
  <si>
    <t>2020LN-000001-0008700001</t>
  </si>
  <si>
    <t>Compra y Renovacion Licencias</t>
  </si>
  <si>
    <t>2021CD-000061-001740000</t>
  </si>
  <si>
    <t>Sost (soporte)nueva version sistema nomina</t>
  </si>
  <si>
    <t>2018LN-000001-000830000</t>
  </si>
  <si>
    <t>Implementar SIFA</t>
  </si>
  <si>
    <t>578-B Nac Val 2022</t>
  </si>
  <si>
    <t>2019LN-000002-0015700001</t>
  </si>
  <si>
    <t>Sop Power Center y Data Quality de suite Informatica</t>
  </si>
  <si>
    <t>2021LA-000010-0008600001</t>
  </si>
  <si>
    <t>ADQUISICIÓN DE LOS SERVICIOS DE SOPORTE Y MANTENIMIENTO DEL SISTEMA FINANCIERO I</t>
  </si>
  <si>
    <t>CONT-006-2019</t>
  </si>
  <si>
    <t>Servicio Administrado Solución de procesos para calidad de datos para PANI, meto</t>
  </si>
  <si>
    <t>C.T-0095-006</t>
  </si>
  <si>
    <t>Contrato Temporal de Receta Digital - BI</t>
  </si>
  <si>
    <t>2021LA-000003-0008300001</t>
  </si>
  <si>
    <t>Adquirirr, renovar, SW licencia y suscripciones SAP BO</t>
  </si>
  <si>
    <t>2021LN-000013-0015700001</t>
  </si>
  <si>
    <t>Soporte Siostenibilidad y Nuevo Requerimento</t>
  </si>
  <si>
    <t>2019LA-000018-0015600001</t>
  </si>
  <si>
    <t>Implementar BD esquema encriptacion para WebService</t>
  </si>
  <si>
    <t>PC 4500161426</t>
  </si>
  <si>
    <t>Derecho usp y Actualizar Lic SCLC</t>
  </si>
  <si>
    <t>2021LA-000092-PROV</t>
  </si>
  <si>
    <t>Renovación de licencias de SAP Business Objects</t>
  </si>
  <si>
    <t>O.C. 179622</t>
  </si>
  <si>
    <t>Actualizacon y Soporte SAP ASE</t>
  </si>
  <si>
    <t>OC 51802</t>
  </si>
  <si>
    <t>Soporte Mantenimiento SAP BO, ASE, BISUITE Sybase</t>
  </si>
  <si>
    <t>PROCESO DE TRANSFORMACIÓN DIGITAL</t>
  </si>
  <si>
    <t>PROCESO ADMINISTRATIVO</t>
  </si>
  <si>
    <t>PROC.T.MW</t>
  </si>
  <si>
    <t>PROCESO DE TELCO MIDDLEWARE</t>
  </si>
  <si>
    <t>PROC.T.OPI</t>
  </si>
  <si>
    <t>PROCESO DE TELCO INTEGRACIÓN</t>
  </si>
  <si>
    <t>EX.AST</t>
  </si>
  <si>
    <t>PROJ.05</t>
  </si>
  <si>
    <t>Senior Project Manager</t>
  </si>
  <si>
    <t>GRP.DSG</t>
  </si>
  <si>
    <t>HD.AS</t>
  </si>
  <si>
    <t>HELP DESK ASSISTANT</t>
  </si>
  <si>
    <t>EL.EX.AST</t>
  </si>
  <si>
    <t>ENTRY LEVEL EXECUTIVE ASSISTANT</t>
  </si>
  <si>
    <t>OPE.SOL.SP</t>
  </si>
  <si>
    <t>SOL.AP.ES</t>
  </si>
  <si>
    <t>Solutions Application Specialist</t>
  </si>
  <si>
    <t>SOL.CON.ES</t>
  </si>
  <si>
    <t>Solutions Consultant Specialist</t>
  </si>
  <si>
    <t>CSTM 05</t>
  </si>
  <si>
    <t>Customer Succes</t>
  </si>
  <si>
    <t>HRS.04</t>
  </si>
  <si>
    <t>HR ADMINISTRATIVE ASSISTANT</t>
  </si>
  <si>
    <t>FIN.01</t>
  </si>
  <si>
    <t>FINANCIAL MANAGER LEAD</t>
  </si>
  <si>
    <t>SOIN.SP</t>
  </si>
  <si>
    <t>fbolanos</t>
  </si>
  <si>
    <t>FABIAN BOLAÑOS MUÑOZ</t>
  </si>
  <si>
    <t>151-400-WL TAPP</t>
  </si>
  <si>
    <t>802-PMO CONTRAT</t>
  </si>
  <si>
    <t>PROCEDIMIENTOS DE CONTRATOS</t>
  </si>
  <si>
    <t>DESARROLLO DE SOLUCIÓN - WHITE LABEL TAPP</t>
  </si>
  <si>
    <t>151-PMO-NF-SOST</t>
  </si>
  <si>
    <t>SERVICIOS PMO NF A SOSTENIBILIDAD</t>
  </si>
  <si>
    <t>803-PMO-SOST</t>
  </si>
  <si>
    <t>804-PMO-INDICAD</t>
  </si>
  <si>
    <t>PROCEDIMIENTO GENERACIÓN DE INDICADORES</t>
  </si>
  <si>
    <t>805-GESTION PRO</t>
  </si>
  <si>
    <t>SERVICIOS PMO DE GESTION DE PROYECTOS</t>
  </si>
  <si>
    <t>151-PMO-FI-2022</t>
  </si>
  <si>
    <t>SERVICIOS PMO A PROCESO FINANCIERO CONTABLE</t>
  </si>
  <si>
    <t>SERVICIOS PMO A TELCO (TELENOR)</t>
  </si>
  <si>
    <t>SUBEX</t>
  </si>
  <si>
    <t>Gestión de Mantenimiento Preventivo y Correctivo BO</t>
  </si>
  <si>
    <t>TR</t>
  </si>
  <si>
    <t>TRANSVERSAL</t>
  </si>
  <si>
    <t>CONT-12-2022 - M.Salud</t>
  </si>
  <si>
    <t>Serv Admon Plataforma  Tramitológica  M Salud</t>
  </si>
  <si>
    <t>2022CD-000020-001980000</t>
  </si>
  <si>
    <t>Soporte Tec Licencias, Mantenimiento SW Sistema SAP</t>
  </si>
  <si>
    <t>PROC.SOPIN</t>
  </si>
  <si>
    <t>PROCESO DE SOPORTE INTERNO</t>
  </si>
  <si>
    <t>pkulkarni</t>
  </si>
  <si>
    <t>PRAVEEN KULKARNI</t>
  </si>
  <si>
    <t>pbattistoni</t>
  </si>
  <si>
    <t>PABLO BATTISTONI</t>
  </si>
  <si>
    <t>araina</t>
  </si>
  <si>
    <t>ANKUSH RAINA</t>
  </si>
  <si>
    <t>rranjan</t>
  </si>
  <si>
    <t>RAJEEV RANJAN KISHORE</t>
  </si>
  <si>
    <t>skrishnakumar</t>
  </si>
  <si>
    <t>SIVAPRAGASAM KRISHNAKUMAR</t>
  </si>
  <si>
    <t>sshashikant</t>
  </si>
  <si>
    <t>SACHIN SHASHIKANT MANGAROLE</t>
  </si>
  <si>
    <t>tbhattacharjee</t>
  </si>
  <si>
    <t>TANMAY BHATTACHARJEE</t>
  </si>
  <si>
    <t>emartinez</t>
  </si>
  <si>
    <t>ERIC MARTINEZ</t>
  </si>
  <si>
    <t>MIGUEL MORALES</t>
  </si>
  <si>
    <t>gzapata</t>
  </si>
  <si>
    <t>GABRIEL ZAPATA</t>
  </si>
  <si>
    <t>imorales</t>
  </si>
  <si>
    <t>IVONNE MORALES</t>
  </si>
  <si>
    <t>ANTONIO CHAVES</t>
  </si>
  <si>
    <t>amahajan</t>
  </si>
  <si>
    <t>AJAY MAHAJAN</t>
  </si>
  <si>
    <t>MANUEL PEÑA</t>
  </si>
  <si>
    <t>lpineda</t>
  </si>
  <si>
    <t>LEONARDO PINEDA</t>
  </si>
  <si>
    <t>dvaron</t>
  </si>
  <si>
    <t>DANIEL VARON</t>
  </si>
  <si>
    <t>jcuitiva</t>
  </si>
  <si>
    <t>JEIMMY CUITIVA</t>
  </si>
  <si>
    <t>cpalmieri</t>
  </si>
  <si>
    <t>CLAUDIO PALMIERI</t>
  </si>
  <si>
    <t>tswaroop</t>
  </si>
  <si>
    <t>TRIPTI SWAROOP</t>
  </si>
  <si>
    <t>rshukla</t>
  </si>
  <si>
    <t>ROBIN SHUKLA</t>
  </si>
  <si>
    <t>msanadi</t>
  </si>
  <si>
    <t>sshekhar</t>
  </si>
  <si>
    <t>SUJAY SHEKHAR</t>
  </si>
  <si>
    <t>kavyark</t>
  </si>
  <si>
    <t>KAVYA R K</t>
  </si>
  <si>
    <t>savignas</t>
  </si>
  <si>
    <t>SAVIGNA S</t>
  </si>
  <si>
    <t>vburla</t>
  </si>
  <si>
    <t>VAMSI BURLA</t>
  </si>
  <si>
    <t>PRYInumero</t>
  </si>
  <si>
    <t>ra.PRYItipo, ra.PRYInumero, sn.SNcodigo, sn.SNnombre</t>
  </si>
  <si>
    <t>MD SOHAIL SANADI</t>
  </si>
  <si>
    <t>gaguero</t>
  </si>
  <si>
    <t>GLORIANA AGUERO ROJAS</t>
  </si>
  <si>
    <t>ecamposr</t>
  </si>
  <si>
    <t>EDGAR CAMPOS RIVERA</t>
  </si>
  <si>
    <t>GESTORES</t>
  </si>
  <si>
    <t>GESTORES DE PROCESOS DE NEGOCIO</t>
  </si>
  <si>
    <t>Equipo de Trabajo de Adolfo Ortiz</t>
  </si>
  <si>
    <t>ra.PRYItipo, ra.PRYInumero</t>
  </si>
  <si>
    <t>, tt.PRYTcodigo</t>
  </si>
  <si>
    <t xml:space="preserve">, ap.PRYAcodigo, ap.PRYAdescripcion, ap.PRYAnivel, ap.PRYApath </t>
  </si>
  <si>
    <t xml:space="preserve">inner join PRYTipoAreaRespons tt on tt.PRYTid = pp.PRYTid inner join PRYActividad ap on aa.PRYid=ap.PRYid and aa.PRYApath like ap.PRYApath + '%' inner join PRYEspecialidad ee on ee.PRYEid = ra.PRYEid inner join PRYUsuarios uu on uu.Usucodigo = rc.Usucodigo </t>
  </si>
  <si>
    <t>order by tt.PRYTcodigo, pp.PRYcodigo, ap.PRYApath, ee.PRYEcodigo, uu.Usulogin, ra.PRYRAfecha</t>
  </si>
  <si>
    <t>051-SO-NF-CI</t>
  </si>
  <si>
    <t>Gestión de Servicios de Soporte del ERP - SOIN</t>
  </si>
  <si>
    <t>600-QA</t>
  </si>
  <si>
    <t>151-GQ-CERTIFIC</t>
  </si>
  <si>
    <t>501-ADM-RM</t>
  </si>
  <si>
    <t>SOP INTERNO</t>
  </si>
  <si>
    <t>ACTIVIDADES AREA SOPORTE INTERNO 2022</t>
  </si>
  <si>
    <t>LICENCIAS POR CANJES - SOIN-2022</t>
  </si>
  <si>
    <t>151-158-TAPP23</t>
  </si>
  <si>
    <t>Actividades asociadas a Nuevas Oportunidad Tapp-2022-2023</t>
  </si>
  <si>
    <t>151-PMO-BI-23</t>
  </si>
  <si>
    <t>SERVICIOS PMO A PROCESO BI-2022-2023</t>
  </si>
  <si>
    <t>151-PMO-CO-23</t>
  </si>
  <si>
    <t>SERVICIOS PMO A PROCESO COMERCIAL-2022-2023</t>
  </si>
  <si>
    <t>151-PMO-DC-23</t>
  </si>
  <si>
    <t>SERVICIOS PMO A PROCESO DISEÑO CORPORATIVO - 2022 - 2023</t>
  </si>
  <si>
    <t>151-PMO-ERP-23</t>
  </si>
  <si>
    <t>SERVICIOS PMO A ERP-2022-2023</t>
  </si>
  <si>
    <t>151-PMO-LABS-23</t>
  </si>
  <si>
    <t>SERVICIOS PMO A LABS-2022-2023</t>
  </si>
  <si>
    <t>151-PMO-PMO-23</t>
  </si>
  <si>
    <t>SERVICIOS PMO A PMO-2022-2023</t>
  </si>
  <si>
    <t>151-PMO-QA-23</t>
  </si>
  <si>
    <t>SERVICIOS PMO A QA-2022-2023</t>
  </si>
  <si>
    <t>151-PMO-SLD-23</t>
  </si>
  <si>
    <t>SERVICIOS PMO A SALUD-2022-2023</t>
  </si>
  <si>
    <t>151-PMO-TD-23</t>
  </si>
  <si>
    <t>SERVICIOS PMO A TRANSFORMACIÓN DIGITAL-2022-2023</t>
  </si>
  <si>
    <t>151-PMO-TAPP-23</t>
  </si>
  <si>
    <t>SERVICIOS PMO A TAPP-2022-2023</t>
  </si>
  <si>
    <t>151-PMO-RM-23</t>
  </si>
  <si>
    <t>SERVICIOS PMO A RELEASE MANAGEMENT-2022-2023</t>
  </si>
  <si>
    <t>151-PMO-RH-23</t>
  </si>
  <si>
    <t>SERVICIOS PMO A RH-2022-2023</t>
  </si>
  <si>
    <t>151-PMO-NN-23</t>
  </si>
  <si>
    <t>SERVICIOS PMO A NUEVOS NEGOCIOS-2022-2023</t>
  </si>
  <si>
    <t>151-PMO-OPI-23</t>
  </si>
  <si>
    <t>SERVICIOS PMO A TELCO INFRA/INTEGRA-2022-2023</t>
  </si>
  <si>
    <t>151-PMO-MIDD-23</t>
  </si>
  <si>
    <t>SERVICIOS PMO A TELCO MIDDLE y BD - 2022-2023</t>
  </si>
  <si>
    <t>151-PMO-SI-23</t>
  </si>
  <si>
    <t>SERVICIOS PMO A SOPORTE INTERNO-2022-2023</t>
  </si>
  <si>
    <t>003-140-AL23</t>
  </si>
  <si>
    <t>Soporte Tec Licencias, y Software BD  SAP-2022-2023</t>
  </si>
  <si>
    <t>218-156-911  22</t>
  </si>
  <si>
    <t>Arrandamiento SW gestion admon, financiera y RRHH</t>
  </si>
  <si>
    <t>151-SOP EXT-202</t>
  </si>
  <si>
    <t>ACTIVIDADES DE SOPORTE EXTERNO 2022</t>
  </si>
  <si>
    <t>151-BENF-CORP-2</t>
  </si>
  <si>
    <t>BENEFICIO CORPORATIVOS 2022</t>
  </si>
  <si>
    <t>151-INFRA-SLD22</t>
  </si>
  <si>
    <t>TAREAS DE APOYO AL EQUIPO DE SALUD - INFRAESTRUCTURA</t>
  </si>
  <si>
    <t>151-TAPP-ADM</t>
  </si>
  <si>
    <t>ACTIVIDADES ADMINISTRATIVAS DEL EQUIPO DE TAPP</t>
  </si>
  <si>
    <t>902 -TAPP-LTD</t>
  </si>
  <si>
    <t>TAREAS DEL PROGRAMA DE LEALTAD</t>
  </si>
  <si>
    <t>903-TAPP-AGENCY</t>
  </si>
  <si>
    <t>TAREAS ASOCIADAS A TAPP AGENCY</t>
  </si>
  <si>
    <t>904-TAPP-DMP</t>
  </si>
  <si>
    <t>TAREAS DE DESARROLLO Y MEJORAS EN PROYECTOS</t>
  </si>
  <si>
    <t>905-TAPP-GT</t>
  </si>
  <si>
    <t>TAREAS ASOCIADAS A GERENCIA DE TAPP</t>
  </si>
  <si>
    <t>151-PMO-STR-23</t>
  </si>
  <si>
    <t>SERVICIOS PMO A PROCESO STR.MGMT-2022-2023</t>
  </si>
  <si>
    <t>243-152-CSV 202</t>
  </si>
  <si>
    <t>GESTION DE NUEVOS REQUERIMIENTOS - Coopeservidores</t>
  </si>
  <si>
    <t>051-140-ICE SAP</t>
  </si>
  <si>
    <t>SOPORTE ACTUALIZACION LICENCIAS SAP-BO - ICE</t>
  </si>
  <si>
    <t>501-154-CNV2022</t>
  </si>
  <si>
    <t>ACTUALIZACION SIFCO A ULTIMA VERSION 2022</t>
  </si>
  <si>
    <t>151-158-NR</t>
  </si>
  <si>
    <t>151-NF-INF-CLOU</t>
  </si>
  <si>
    <t>SOPORTE A LA OPERACIÓN DE LA INFRAESTRUCTURA CLOUD</t>
  </si>
  <si>
    <t>095-140-RACSA 2</t>
  </si>
  <si>
    <t>Licencias, Soporte  SAP SYBASE ASE ENTERPRISE 2022</t>
  </si>
  <si>
    <t>001-140-ARESEP-</t>
  </si>
  <si>
    <t>Soporte SW Adobe Enterprise 2022</t>
  </si>
  <si>
    <t>405-SPRINT-GRL</t>
  </si>
  <si>
    <t>TAREAS GENERALES DEL SPRINT - LABS</t>
  </si>
  <si>
    <t>406-SPRINT-DESA</t>
  </si>
  <si>
    <t>PLANTILLA DESARROLLO LABS</t>
  </si>
  <si>
    <t>407-PROY-TICKET</t>
  </si>
  <si>
    <t>PLANTILLA DEFINICION PROYECTO - TICKETS</t>
  </si>
  <si>
    <t>408-ADM-LABS</t>
  </si>
  <si>
    <t>PLANTILLA TAREAS ADMINISTRATIVAS</t>
  </si>
  <si>
    <t>243-162-CSV-202</t>
  </si>
  <si>
    <t>ACTUALIZACION DEL SISTEMA PARA COOPESERVIDORES</t>
  </si>
  <si>
    <t>250-CUST-SUCC</t>
  </si>
  <si>
    <t>ACTIVIDADES DEL PROCESO DE CUSTOMER SUCCESS</t>
  </si>
  <si>
    <t>151-250-CUST.SU</t>
  </si>
  <si>
    <t>ACTIVIDADES DEL PROCESO DE CUSTOMER SUCCESS - 2023</t>
  </si>
  <si>
    <t>024-140-DGAC-23</t>
  </si>
  <si>
    <t>Soporte  Mantenimiento Correctivo Sistema SIFCO 2022</t>
  </si>
  <si>
    <t>MANT. PREV. Y CORRECTIVO DEL SIST. CONT. DE CONTR 2022CD-000178-000660000 - DGAC</t>
  </si>
  <si>
    <t>151-GRL-SWAT</t>
  </si>
  <si>
    <t>ACTIVIDADES GENERALES DEL EQUIPO SWAT</t>
  </si>
  <si>
    <t>350-PRY-SWAT</t>
  </si>
  <si>
    <t>DESARROLLO DE PROYECTOS EQUIPO SWAT</t>
  </si>
  <si>
    <t>ACTIVIDADES DE NUEVAS OPORTUNIDADES - EQUIPO SWAT</t>
  </si>
  <si>
    <t>151-350-RCL</t>
  </si>
  <si>
    <t>PROYECTO DE IMPLEMENTACIÓN RECRUITER</t>
  </si>
  <si>
    <t>051-SOS-000836</t>
  </si>
  <si>
    <t>SERVICIOS DESARROLLO Y SOST DE PROD SOLUCION BSS CONVERGENTE</t>
  </si>
  <si>
    <t>550-INCIDENTES</t>
  </si>
  <si>
    <t>ATENCION DE INCIDENTES</t>
  </si>
  <si>
    <t>051-SOS-TRANSV</t>
  </si>
  <si>
    <t>TAREAS TRANSVERSALES PARA LA PRESTACIÓN DEL SERVICIO DE GNR - CI</t>
  </si>
  <si>
    <t>900-152-BNV23</t>
  </si>
  <si>
    <t>GESTIÓN DE NUEVOS REQUERIMIENTOS BN VITAL</t>
  </si>
  <si>
    <t>GESTION DE SERVICIOS AL CLIENTE - BNVITAL</t>
  </si>
  <si>
    <t>151-301-DC2023</t>
  </si>
  <si>
    <t>ACTIVIDADES DISEÑO CORPORATIVO  2023</t>
  </si>
  <si>
    <t>SOIN-ADM-2023</t>
  </si>
  <si>
    <t>TAREAS ADMINISTRATIVAS SOIN 2023</t>
  </si>
  <si>
    <t>260-COMRCL</t>
  </si>
  <si>
    <t>TAREAS DE COMERCIAL</t>
  </si>
  <si>
    <t>151-CMRCL-2023</t>
  </si>
  <si>
    <t>TAREAS DEL PROCESO COMERCIAL 2023</t>
  </si>
  <si>
    <t>151-QA-CORP2023</t>
  </si>
  <si>
    <t>TAREAS ASOCIADAS AL EQUIPO QA CORPORATIVO 2023</t>
  </si>
  <si>
    <t>151-LIC.CA-23</t>
  </si>
  <si>
    <t>LICENCIAS POR CANJES - SOIN-2023</t>
  </si>
  <si>
    <t>151-GNNEG-23</t>
  </si>
  <si>
    <t>ACTIVIDADES COMERCIALES ASOCIADAS AL PROC.NNEG-2023</t>
  </si>
  <si>
    <t>151-PMO-FI-23</t>
  </si>
  <si>
    <t>BI-NF-2023</t>
  </si>
  <si>
    <t>ACTIVIDADES NO FACTURABLES EQUIPO BI - 2023</t>
  </si>
  <si>
    <t>151-RM-CORP2023</t>
  </si>
  <si>
    <t>TAREAS ASOCIADAS AL EQUIPO RM CORPORATIVO 2023</t>
  </si>
  <si>
    <t>151-BENFCOR-23</t>
  </si>
  <si>
    <t>BENEFICIOS CORPORATIVOS 2023</t>
  </si>
  <si>
    <t>151-RH-2023</t>
  </si>
  <si>
    <t>ACTIVIDADES ASOCIADAS A RECURSOS HUMANOS - 2023</t>
  </si>
  <si>
    <t>270-SOP-INT</t>
  </si>
  <si>
    <t>TAREAS DEL EQUIPO DE SOPORTE INTERNO</t>
  </si>
  <si>
    <t>151-SOP-2023</t>
  </si>
  <si>
    <t>ACTIVIDADES AREA SOPORTE INTERNO 2023</t>
  </si>
  <si>
    <t>151-198-ADGER23</t>
  </si>
  <si>
    <t>Actividades Administrativas y Gerenciales - TRANSFORMACION DIGITAL 2023</t>
  </si>
  <si>
    <t>164-ADM-ERP</t>
  </si>
  <si>
    <t>TAREAS ADMINISTRATIVAS ERP</t>
  </si>
  <si>
    <t>208-SALUD</t>
  </si>
  <si>
    <t>DEV TEAM</t>
  </si>
  <si>
    <t>151-ERP-ADM-23</t>
  </si>
  <si>
    <t>TAREAS ADMINISTRATIVAS ERP 2023</t>
  </si>
  <si>
    <t>579-200-SLD-23</t>
  </si>
  <si>
    <t>ACTIVIDADES GENERALES ASOCIADAS A OPORTUNIDADES DEL SECTOR SALUD - 2023</t>
  </si>
  <si>
    <t>151-PMO-COR2023</t>
  </si>
  <si>
    <t>SERVICIOS INTERNOS PMO CORPORATIVA 2023</t>
  </si>
  <si>
    <t>579-DEVT-SLD-23</t>
  </si>
  <si>
    <t>TAREAS A NIVEL DE DEPARTAMENTO  (DEV TEAM) 2023</t>
  </si>
  <si>
    <t>BI-178-GNR-23</t>
  </si>
  <si>
    <t>Actividades administrativas y Gerenciales del Equipo de BI 2023</t>
  </si>
  <si>
    <t>151-PMO-SE-23</t>
  </si>
  <si>
    <t>SERVICIOS PMO A SOPORTE EXTERNO-2022-2023</t>
  </si>
  <si>
    <t>151-024-ADL2023</t>
  </si>
  <si>
    <t>Tareas Generales y Administrativas no reportadas en proyectos Labs 2023</t>
  </si>
  <si>
    <t>151-TAPP-ADM-23</t>
  </si>
  <si>
    <t>ACTIVIDADES ADMINISTRATIVAS DEL EQUIPO DE TAPP-2023</t>
  </si>
  <si>
    <t>151-SOP EXT-23</t>
  </si>
  <si>
    <t>ACTIVIDADES DE SOPORTE EXTERNO 2023</t>
  </si>
  <si>
    <t>579-204-APPM-23</t>
  </si>
  <si>
    <t>SOPORTE, MEJORAS Y REPROCESO - 2023</t>
  </si>
  <si>
    <t>600B-QA</t>
  </si>
  <si>
    <t>Tareas asociadas a Equipo QA Corporativo-TPO-SOST</t>
  </si>
  <si>
    <t>151-152-PREDTAP</t>
  </si>
  <si>
    <t>SOLUCIÓN PREDICTIVA Y DE MERCADEO PARA CLIENTES DE TAPP</t>
  </si>
  <si>
    <t>095-203-RGT</t>
  </si>
  <si>
    <t>Gestión de Servicio al Cliente - REGISTRELO 2.0</t>
  </si>
  <si>
    <t>TPO-3000</t>
  </si>
  <si>
    <t>OP22-0038-A Gestion pilar de incidencias y solicitudes de servicio</t>
  </si>
  <si>
    <t>151-158-DOT</t>
  </si>
  <si>
    <t>095-190-RNP-2.0</t>
  </si>
  <si>
    <t>PROYECTO RNP FACIL 2.0</t>
  </si>
  <si>
    <t>095-152-RACSA23</t>
  </si>
  <si>
    <t>GESTION DE NUEVOS REQUERIMIENTOS - RACSA</t>
  </si>
  <si>
    <t>ICE.SO.48</t>
  </si>
  <si>
    <t>ICE.SO.47</t>
  </si>
  <si>
    <t>Consultor Experto</t>
  </si>
  <si>
    <t>ICE.SO.49</t>
  </si>
  <si>
    <t>TEMP-SWAT</t>
  </si>
  <si>
    <t>SOS.BSS.CI</t>
  </si>
  <si>
    <t>Sostenibilidad a la solución BSS - CI</t>
  </si>
  <si>
    <t>SWAT</t>
  </si>
  <si>
    <t>EQUIPO SWAT</t>
  </si>
  <si>
    <t>CF-81</t>
  </si>
  <si>
    <t>CF-91</t>
  </si>
  <si>
    <t>CUSTOMER  SUCCESS</t>
  </si>
  <si>
    <t>SOS.CONS</t>
  </si>
  <si>
    <t>Consultores Externos de Sostenibilidad</t>
  </si>
  <si>
    <t>Equipo temporal de SWAT</t>
  </si>
  <si>
    <t>DEV.12</t>
  </si>
  <si>
    <t>AH.CO.01</t>
  </si>
  <si>
    <t>Backend Junior Staff Developer</t>
  </si>
  <si>
    <t>FIN.02</t>
  </si>
  <si>
    <t>PAYROLL ANALYST</t>
  </si>
  <si>
    <t>SALES.01</t>
  </si>
  <si>
    <t>Sales Assistant</t>
  </si>
  <si>
    <t>APLI.02.SL</t>
  </si>
  <si>
    <t>Aplications Specialist</t>
  </si>
  <si>
    <t>SALES.02</t>
  </si>
  <si>
    <t>Business Consultant Senior</t>
  </si>
  <si>
    <t>ADV.AST.TP</t>
  </si>
  <si>
    <t>Advertising Assistant</t>
  </si>
  <si>
    <t>HD.S</t>
  </si>
  <si>
    <t>HELP DESK AND SUPPORT</t>
  </si>
  <si>
    <t>DEV.13</t>
  </si>
  <si>
    <t>Backend Staff Developer (Mid)</t>
  </si>
  <si>
    <t>TPO-3000-5</t>
  </si>
  <si>
    <t>TPO-3000-3</t>
  </si>
  <si>
    <t>TPO-3000-4</t>
  </si>
  <si>
    <t>MInv</t>
  </si>
  <si>
    <t>Semana 01CI</t>
  </si>
  <si>
    <t>Semana 02CI</t>
  </si>
  <si>
    <t>Semana 03CI</t>
  </si>
  <si>
    <t>Semana 04CI</t>
  </si>
  <si>
    <t>Semana 05CI</t>
  </si>
  <si>
    <t>Semana 06CI</t>
  </si>
  <si>
    <t>Semana 07CI</t>
  </si>
  <si>
    <t>Semana 08CI</t>
  </si>
  <si>
    <t>Semana 09CI</t>
  </si>
  <si>
    <t>Semana 10CI</t>
  </si>
  <si>
    <t>Semana 11CI</t>
  </si>
  <si>
    <t>Semana 12CI</t>
  </si>
  <si>
    <t>Semana 13CI</t>
  </si>
  <si>
    <t>Semana 14CI</t>
  </si>
  <si>
    <t>Semana 15CI</t>
  </si>
  <si>
    <t>Semana 16CI</t>
  </si>
  <si>
    <t>Semana 17CI</t>
  </si>
  <si>
    <t>Semana 18CI</t>
  </si>
  <si>
    <t>Semana 19CI</t>
  </si>
  <si>
    <t>Semana 20CI</t>
  </si>
  <si>
    <t>Semana 21CI</t>
  </si>
  <si>
    <t>Semana 22CI</t>
  </si>
  <si>
    <t>Semana 23CI</t>
  </si>
  <si>
    <t>Semana 24CI</t>
  </si>
  <si>
    <t>Semana 25CI</t>
  </si>
  <si>
    <t>Semana 26CI</t>
  </si>
  <si>
    <t>Semana 27CI</t>
  </si>
  <si>
    <t>Semana 28CI</t>
  </si>
  <si>
    <t>Semana 29CI</t>
  </si>
  <si>
    <t>Semana 30CI</t>
  </si>
  <si>
    <t>Semana 31CI</t>
  </si>
  <si>
    <t>Semana 32CI</t>
  </si>
  <si>
    <t>Semana 33CI</t>
  </si>
  <si>
    <t>Semana 34CI</t>
  </si>
  <si>
    <t>Semana 35CI</t>
  </si>
  <si>
    <t>Semana 36CI</t>
  </si>
  <si>
    <t>Semana 37CI</t>
  </si>
  <si>
    <t>Semana 38CI</t>
  </si>
  <si>
    <t>Semana 39CI</t>
  </si>
  <si>
    <t>Semana 40CI</t>
  </si>
  <si>
    <t>Semana 41CI</t>
  </si>
  <si>
    <t>Semana 42CI</t>
  </si>
  <si>
    <t>Semana 43CI</t>
  </si>
  <si>
    <t>Semana 44CI</t>
  </si>
  <si>
    <t>Semana 45CI</t>
  </si>
  <si>
    <t>Semana 46CI</t>
  </si>
  <si>
    <t>Semana 47CI</t>
  </si>
  <si>
    <t>Semana 48CI</t>
  </si>
  <si>
    <t>TPO-SO-3012-X</t>
  </si>
  <si>
    <t>TPO-SO-3001-X</t>
  </si>
  <si>
    <t>TPO-SO-3004-X</t>
  </si>
  <si>
    <t>151-NF-INT-NCP2</t>
  </si>
  <si>
    <t>Actividades asociadas a Nuevas Oportunidad Dirección de Operaciones y Tecnología</t>
  </si>
  <si>
    <t>TPO-3000-1</t>
  </si>
  <si>
    <t>051-NT/MID-NCP2</t>
  </si>
  <si>
    <t>051-OPI-ICENCP2</t>
  </si>
  <si>
    <t>151-PMO-SWAT-23</t>
  </si>
  <si>
    <t>SERVICIOS PMO A PROCESO SWAT - 2023</t>
  </si>
  <si>
    <t>151-PMO-CUST-23</t>
  </si>
  <si>
    <t>SERVICIOS PMO A PROCESO CUST - 2023</t>
  </si>
  <si>
    <t>151-PMO-DOT-23</t>
  </si>
  <si>
    <t>SERVICIOS PMO A PROCESO DOT - 2023</t>
  </si>
  <si>
    <t>140-579-CCSS-23</t>
  </si>
  <si>
    <t>531-156-BNCR</t>
  </si>
  <si>
    <t>ADQ. IMPL. CONF. E INST. DE SOLUCIÓN COMO SERVICIO SAAS - NOMINA</t>
  </si>
  <si>
    <t>151-CORE-BI-TR</t>
  </si>
  <si>
    <t>Proyecto de mejoras al core y Dashboard de tramitologia</t>
  </si>
  <si>
    <t>119-156-UCR</t>
  </si>
  <si>
    <t>PROYECTOS DE IMPLEMENTACIÓN DE SIF EN LA NUBE- UCR</t>
  </si>
  <si>
    <t>151-NF-MD-NCP2</t>
  </si>
  <si>
    <t>095-162- RACSA</t>
  </si>
  <si>
    <t>ACTUALIZACION DEL SISTEMA PARA RACSA</t>
  </si>
  <si>
    <t>501-162-CNV</t>
  </si>
  <si>
    <t>ACTUALIZACION DEL SISTEMA PARA CONAVI</t>
  </si>
  <si>
    <t>150-N.E.-ERP</t>
  </si>
  <si>
    <t>Creación de nueva empresa</t>
  </si>
  <si>
    <t>243-150-C.EMP.</t>
  </si>
  <si>
    <t>CREACIÓN DE SEGUNDA EMPRESA</t>
  </si>
  <si>
    <t>602-QA-WEB</t>
  </si>
  <si>
    <t xml:space="preserve"> Automatización de Pruebas QA</t>
  </si>
  <si>
    <t>GESTIÓN DE SERVICIO AL CLIENTE -GARANTÍA DE PRODUCTO  (12 MESES) ARESEP</t>
  </si>
  <si>
    <t>TPO-3000-6</t>
  </si>
  <si>
    <t>REGTEMP</t>
  </si>
  <si>
    <t>REGISTRELO</t>
  </si>
  <si>
    <t>CX</t>
  </si>
  <si>
    <t>TPO-3000-7</t>
  </si>
  <si>
    <t>TPO-3000-8</t>
  </si>
  <si>
    <t>TPO-3000-9</t>
  </si>
  <si>
    <t>TPO-3000-10</t>
  </si>
  <si>
    <t>TPO-3000-11</t>
  </si>
  <si>
    <t>TPO-3000-12</t>
  </si>
  <si>
    <t>DEV.14</t>
  </si>
  <si>
    <t>Software Developer MID</t>
  </si>
  <si>
    <t>Entry Level Software Developer</t>
  </si>
  <si>
    <t>oarias</t>
  </si>
  <si>
    <t>OLMAN ARIAS JIMENEZ</t>
  </si>
  <si>
    <t>ACTIVIDADES ASOCIADAS AL EQUIPO DE SOSTENIBILIDAD CI - NO FACTURABLES</t>
  </si>
  <si>
    <t>magarcia</t>
  </si>
  <si>
    <t>MAIKOL GARCIA ALVARADO</t>
  </si>
  <si>
    <t>OX</t>
  </si>
  <si>
    <t>OP22-0038-A Gestion de incidencias y solicitudes de servicio</t>
  </si>
  <si>
    <t>QA.06</t>
  </si>
  <si>
    <t>Entry Level Automation Tester</t>
  </si>
  <si>
    <t>yguevara</t>
  </si>
  <si>
    <t>YOSELIN PAMELA GUEVARA VEGA</t>
  </si>
  <si>
    <t>scerdas</t>
  </si>
  <si>
    <t>STEVEN ANDRES CERDAS SANCHEZ</t>
  </si>
  <si>
    <t>QA.08</t>
  </si>
  <si>
    <t>Automation Tester Senior</t>
  </si>
  <si>
    <t>QA.07</t>
  </si>
  <si>
    <t>Automation Tester Specialist</t>
  </si>
  <si>
    <t>afernandez</t>
  </si>
  <si>
    <t>ANDRES FERNANDEZ RESTREPO</t>
  </si>
  <si>
    <t>PROC.MPW</t>
  </si>
  <si>
    <t>151-QA-MP</t>
  </si>
  <si>
    <t>APOYO Y SEGUIMIENTO DE EQUIPO QA - MANPOWER</t>
  </si>
  <si>
    <t>agonzalezr</t>
  </si>
  <si>
    <t>ARTURO GONZALEZ REYES</t>
  </si>
  <si>
    <t>mrussell</t>
  </si>
  <si>
    <t>MATTHEWS RUSSEL OBREGON</t>
  </si>
  <si>
    <t>QA.09</t>
  </si>
  <si>
    <t>Junior Automation Qa Tester</t>
  </si>
  <si>
    <t>BC</t>
  </si>
  <si>
    <t>ENTRY LEVEL RELEASE MANAGER</t>
  </si>
  <si>
    <t>151-162-ERP</t>
  </si>
  <si>
    <t>ACTUALIZACION DEL SISTEMA PARA ERP</t>
  </si>
  <si>
    <t>PROC.TELEN</t>
  </si>
  <si>
    <t>Feriados</t>
  </si>
  <si>
    <t>Feriados 2023</t>
  </si>
  <si>
    <t>F</t>
  </si>
  <si>
    <t>Horas laborales</t>
  </si>
  <si>
    <t>Hrs Extras Fact</t>
  </si>
  <si>
    <t>Extra de L a S</t>
  </si>
  <si>
    <t>Extra Domingo y Feriado</t>
  </si>
  <si>
    <t>L-S</t>
  </si>
  <si>
    <t>DyF</t>
  </si>
  <si>
    <t>Horas Extas de los Recursos Indicados</t>
  </si>
  <si>
    <t>Total Extra Facturable</t>
  </si>
  <si>
    <t>CHENG LIANG HUANG</t>
  </si>
  <si>
    <t>ana</t>
  </si>
  <si>
    <t>mmoralesm</t>
  </si>
  <si>
    <t>achavesa</t>
  </si>
  <si>
    <t>mpena</t>
  </si>
  <si>
    <t>pvillarreal</t>
  </si>
  <si>
    <t>PRISCILLA VILLARREAL MUÑOZ</t>
  </si>
  <si>
    <t>fcordoba</t>
  </si>
  <si>
    <t>FABIO CORDOBA VARGAS</t>
  </si>
  <si>
    <t>msalas</t>
  </si>
  <si>
    <t>MARIA SALAS MATHESSON</t>
  </si>
  <si>
    <t>rrodriguezc</t>
  </si>
  <si>
    <t>ROBERTO RODRIGUEZ CARRANZA</t>
  </si>
  <si>
    <t>jcedeno</t>
  </si>
  <si>
    <t>JUAN CEDEÑO ROJAS</t>
  </si>
  <si>
    <t>lbarrantes</t>
  </si>
  <si>
    <t>LUIS BARRANTES ALFARO</t>
  </si>
  <si>
    <t>kmayorga</t>
  </si>
  <si>
    <t>KARLA MAYORGA BRENES</t>
  </si>
  <si>
    <t>mgarciag</t>
  </si>
  <si>
    <t>MAURICIO GARCIA</t>
  </si>
  <si>
    <t>ilopez</t>
  </si>
  <si>
    <t>IVONNE LOPEZ</t>
  </si>
  <si>
    <t>lpacheco</t>
  </si>
  <si>
    <t>LEYDER PACHECO</t>
  </si>
  <si>
    <t>rtrejo</t>
  </si>
  <si>
    <t>RICARDO TREJO</t>
  </si>
  <si>
    <t>mlara</t>
  </si>
  <si>
    <t>MARCO LARA</t>
  </si>
  <si>
    <t>lheumann</t>
  </si>
  <si>
    <t>LUIS HEUMANN</t>
  </si>
  <si>
    <t>mcurvelo</t>
  </si>
  <si>
    <t>MARCELA CURVELO CURVELO</t>
  </si>
  <si>
    <t>vkumar</t>
  </si>
  <si>
    <t>VARUN KUMAR</t>
  </si>
  <si>
    <t>joconitrillo</t>
  </si>
  <si>
    <t>JOSE OCONITRILLO SANCHEZ</t>
  </si>
  <si>
    <t>msegura</t>
  </si>
  <si>
    <t>MARIA ISABEL SEGURA HERNANDEZ</t>
  </si>
  <si>
    <t>nsreenath</t>
  </si>
  <si>
    <t>SREENATH N</t>
  </si>
  <si>
    <t>kravikiran</t>
  </si>
  <si>
    <t>RAVIKIRAN K</t>
  </si>
  <si>
    <t>vdeepika</t>
  </si>
  <si>
    <t>DEEPIKA V</t>
  </si>
  <si>
    <t>jherrera</t>
  </si>
  <si>
    <t>JAZMIN HERRERA ORTEGA</t>
  </si>
  <si>
    <t>nleal</t>
  </si>
  <si>
    <t>NICOLE LEAL CHACON</t>
  </si>
  <si>
    <t>rzamora</t>
  </si>
  <si>
    <t>RAQUEL ZAMORA VARGAS</t>
  </si>
  <si>
    <t>dpalumbo</t>
  </si>
  <si>
    <t>DAMIAN PALUMBO</t>
  </si>
  <si>
    <t>dlondono</t>
  </si>
  <si>
    <t>DARIO LONDOÑO</t>
  </si>
  <si>
    <t>vcamacho</t>
  </si>
  <si>
    <t>VERBO CAMACHO</t>
  </si>
  <si>
    <t>jgonzalezb</t>
  </si>
  <si>
    <t>JULIAN GONZALEZ BETANCUR</t>
  </si>
  <si>
    <t>jcordero</t>
  </si>
  <si>
    <t>JOSE CORDERO ARLEY</t>
  </si>
  <si>
    <t>JOHANNA JARA ZUNIGA</t>
  </si>
  <si>
    <t>jrojasa</t>
  </si>
  <si>
    <t>JOHNNY ROJAS ALVARADO</t>
  </si>
  <si>
    <t>rbonilla</t>
  </si>
  <si>
    <t>RANDALL BONILLA CRUZ</t>
  </si>
  <si>
    <t>mariela</t>
  </si>
  <si>
    <t>MARIELA RAMIREZ MONTERO</t>
  </si>
  <si>
    <t>rjimenez</t>
  </si>
  <si>
    <t>RICARDO JIMÉNEZ RUGAMA</t>
  </si>
  <si>
    <t>cpalavicini</t>
  </si>
  <si>
    <t>CLAUDIA PALAVICINI JARQUIN</t>
  </si>
  <si>
    <t>esalasc</t>
  </si>
  <si>
    <t>EDUARDO SALAS CERDAS</t>
  </si>
  <si>
    <t>sbarrantes</t>
  </si>
  <si>
    <t>SOFIA BARRANTES GAMBOA</t>
  </si>
  <si>
    <t>jcquesada</t>
  </si>
  <si>
    <t>JEAN CARLO QUESADA ABARCA</t>
  </si>
  <si>
    <t>jbrenesm</t>
  </si>
  <si>
    <t>JOSE BRENES MURILLO</t>
  </si>
  <si>
    <t>gimbach</t>
  </si>
  <si>
    <t>GLORIA IMBACH</t>
  </si>
  <si>
    <t>ljimeneza</t>
  </si>
  <si>
    <t>LUIS JIMENEZ AGUILAR</t>
  </si>
  <si>
    <t>jcortes</t>
  </si>
  <si>
    <t>JORGE CORTES SANCHEZ</t>
  </si>
  <si>
    <t>dsandoval</t>
  </si>
  <si>
    <t>DANIEL SANDOVAL PEREIRA</t>
  </si>
  <si>
    <t>aacuna</t>
  </si>
  <si>
    <t>ARIEL ACUÑA LEIVA</t>
  </si>
  <si>
    <t>vvillalobos</t>
  </si>
  <si>
    <t>VERNY VILLALOBOS PORTUGUEZ</t>
  </si>
  <si>
    <t>vjahagirdar</t>
  </si>
  <si>
    <t>VYSHNAVI JAHAGIRDAR</t>
  </si>
  <si>
    <t>nrajendra</t>
  </si>
  <si>
    <t>NIKITA RAJENDRA</t>
  </si>
  <si>
    <t>carlosr</t>
  </si>
  <si>
    <t>CARLOS RODRIGUEZ ROMERO</t>
  </si>
  <si>
    <t>ecamposb</t>
  </si>
  <si>
    <t>ESTEFANIE CAMPOS BOLAÑOS</t>
  </si>
  <si>
    <t>celizondom</t>
  </si>
  <si>
    <t>CARLOS ALBERTO ELIZONDO MEJIAS</t>
  </si>
  <si>
    <t>jotero</t>
  </si>
  <si>
    <t>JESUS OTERO</t>
  </si>
  <si>
    <t>lrodriguezp</t>
  </si>
  <si>
    <t>LUIS RODRIGUEZ PIEDRA</t>
  </si>
  <si>
    <t>aespinoza</t>
  </si>
  <si>
    <t>ANTHONY ESPINOZA SANCHEZ</t>
  </si>
  <si>
    <t>jmorales</t>
  </si>
  <si>
    <t>JUAN CARLOS MORALES MARIN</t>
  </si>
  <si>
    <t>ssolis</t>
  </si>
  <si>
    <t>SURY SOLIS VILLALTA</t>
  </si>
  <si>
    <t>djimenez</t>
  </si>
  <si>
    <t>DIEGO JIMENEZ AGUILAR</t>
  </si>
  <si>
    <t>aaguero</t>
  </si>
  <si>
    <t>ADRIANA ELENA AGUERO OVARES</t>
  </si>
  <si>
    <t>dsolano</t>
  </si>
  <si>
    <t>DANIEL SOLANO RAMIREZ</t>
  </si>
  <si>
    <t>aaraya</t>
  </si>
  <si>
    <t>ALEJANDRO ARAYA RODRIGUEZ</t>
  </si>
  <si>
    <t>sprasad</t>
  </si>
  <si>
    <t>SANJAY PRASAD</t>
  </si>
  <si>
    <t>amedina</t>
  </si>
  <si>
    <t>ADRIAN MEDINA BARRIENTOS</t>
  </si>
  <si>
    <t>evalerio</t>
  </si>
  <si>
    <t>EDUARDO VALERIO MORÚA</t>
  </si>
  <si>
    <t>Horas Canjeadas</t>
  </si>
  <si>
    <t>AB</t>
  </si>
  <si>
    <t>CONSULTORIA</t>
  </si>
  <si>
    <t>AC</t>
  </si>
  <si>
    <t>PLANT SAPIENS</t>
  </si>
  <si>
    <t>AD</t>
  </si>
  <si>
    <t>Capacitaciones</t>
  </si>
  <si>
    <t>AE</t>
  </si>
  <si>
    <t>ALIADO ESTRATEG</t>
  </si>
  <si>
    <t>AF</t>
  </si>
  <si>
    <t>Sist Leg-BNCR</t>
  </si>
  <si>
    <t>Boleta CI</t>
  </si>
  <si>
    <t>CU</t>
  </si>
  <si>
    <t>CLT. CUST SUCC</t>
  </si>
  <si>
    <t>CW</t>
  </si>
  <si>
    <t>COMPE SWAT</t>
  </si>
  <si>
    <t>TPO CAPEX</t>
  </si>
  <si>
    <t>DT</t>
  </si>
  <si>
    <t>Doc Transicion</t>
  </si>
  <si>
    <t>EP</t>
  </si>
  <si>
    <t>Esc.pruebas</t>
  </si>
  <si>
    <t>GR</t>
  </si>
  <si>
    <t>GRADUACIÓN</t>
  </si>
  <si>
    <t>LICENCIAS VARIA</t>
  </si>
  <si>
    <t>OS</t>
  </si>
  <si>
    <t>OPORT SWAT</t>
  </si>
  <si>
    <t>TPO OPEX</t>
  </si>
  <si>
    <t>RT</t>
  </si>
  <si>
    <t>R.Focalizadas</t>
  </si>
  <si>
    <t>SC</t>
  </si>
  <si>
    <t>SCRUM</t>
  </si>
  <si>
    <t>SW</t>
  </si>
  <si>
    <t>PROYECTOS SWAT</t>
  </si>
  <si>
    <t>TF</t>
  </si>
  <si>
    <t>TIPO FACTURA</t>
  </si>
  <si>
    <t>173-DyM-SOIN</t>
  </si>
  <si>
    <t>Desarrollo y Mejoras (PBI - Adicionales y Mejoras)</t>
  </si>
  <si>
    <t>095-157-SAAS</t>
  </si>
  <si>
    <t>151-350-N.O</t>
  </si>
  <si>
    <t>095-154-RACSA 2</t>
  </si>
  <si>
    <t>157-ERP</t>
  </si>
  <si>
    <t>GESTIÓN GENERAL DE SERVICIOS AL CLIENTE - MODELO SAAS</t>
  </si>
  <si>
    <t>156.2</t>
  </si>
  <si>
    <t>SEGUIMIENTO Y CONTROL (DIRECCIÓN DE PROYECTOS)</t>
  </si>
  <si>
    <t>156.3</t>
  </si>
  <si>
    <t>CONSULTORÍA</t>
  </si>
  <si>
    <t>156.4</t>
  </si>
  <si>
    <t>INTEGRACIONES</t>
  </si>
  <si>
    <t>156.1</t>
  </si>
  <si>
    <t>PROYECTOS DE IMPLEMENTACIÓN ERP</t>
  </si>
  <si>
    <t>156</t>
  </si>
  <si>
    <t>PROYECTOS DE IMPLEMENTACIÓN</t>
  </si>
  <si>
    <t>151-350-C.N</t>
  </si>
  <si>
    <t>COMPETENCIAS NUBE</t>
  </si>
  <si>
    <t>151-350-S.W.S</t>
  </si>
  <si>
    <t>SITIO WEB SOIN</t>
  </si>
  <si>
    <t>151-350-M.G</t>
  </si>
  <si>
    <t>MI GESTIÓN</t>
  </si>
  <si>
    <t>Prueba1</t>
  </si>
  <si>
    <t>304-162-COOP</t>
  </si>
  <si>
    <t>ACTUALIZACION DEL SISTEMA PARA COOPELESCA</t>
  </si>
  <si>
    <t>151-401-CORE ER</t>
  </si>
  <si>
    <t>DESARROLLO DE SOLUCION - CORE ERP</t>
  </si>
  <si>
    <t>408.1-ADM LABS</t>
  </si>
  <si>
    <t>PLANTILLA TAREAS ADMINISTRATIVAS LABS</t>
  </si>
  <si>
    <t>402.1-CON-LABS</t>
  </si>
  <si>
    <t>CONOCIMIENTO LABS</t>
  </si>
  <si>
    <t>173.1-A.PBI</t>
  </si>
  <si>
    <t>Actividades previas a la asignación de un PBI</t>
  </si>
  <si>
    <t>011-173-BCR-INF</t>
  </si>
  <si>
    <t>Mantenimiento evolutivo PowerCenter y Data Quality suite INFORMATICA</t>
  </si>
  <si>
    <t>011-177-BCR-SOP</t>
  </si>
  <si>
    <t>Gestión de Servicio al cliente (Soporte BO) - BCR</t>
  </si>
  <si>
    <t>011-173-BCR-BO</t>
  </si>
  <si>
    <t>Licenciamiento, soporte, desarrollo evolutivo y TC SAP BO - Prog 2</t>
  </si>
  <si>
    <t>Derecho de actualiz. y sop. de lic. SAP  8 Cor.  150horas asistencia</t>
  </si>
  <si>
    <t>Soporte Mantenimieto ERP de Telecomunicaciones - Prórroga 2</t>
  </si>
  <si>
    <t>MM-4500137389</t>
  </si>
  <si>
    <t>2018CD-000137-0000400001</t>
  </si>
  <si>
    <t>Cont-004-2021</t>
  </si>
  <si>
    <t>2021LN-000001-0011700001</t>
  </si>
  <si>
    <t>Arrendamiento SW para Gestion Admon, financ y ERP en nube</t>
  </si>
  <si>
    <t>2018LA-00008-01</t>
  </si>
  <si>
    <t>Licenciamiento motor BaseDatos</t>
  </si>
  <si>
    <t>Renovación de Licencias de SAP Business Objects</t>
  </si>
  <si>
    <t>2021LA-000007-0006000001</t>
  </si>
  <si>
    <t>ACTUALIZACIÓN SIST NTEGR FIN CONT (SIFCO) ÚLTIMA VERS</t>
  </si>
  <si>
    <t>2022PP-000047-0000800001</t>
  </si>
  <si>
    <t>Licencias,Soporte SAP SYBASE ASE ENTERPRISE</t>
  </si>
  <si>
    <t>2022LA-000002-0008300001</t>
  </si>
  <si>
    <t>SOPORTE DE SOFTWARE -Adobe  Enterprise</t>
  </si>
  <si>
    <t>CONT-001-2023</t>
  </si>
  <si>
    <t>SERV. PARA EL SOP., SOST. Y ACCESO A LA ACTUALZIACIÓN DE LA VERSION SAPIENS</t>
  </si>
  <si>
    <t>PROY-INT.-CS</t>
  </si>
  <si>
    <t>PROYECTOS INTERNOS DE PROCESO CUSTOMER SUCCESS</t>
  </si>
  <si>
    <t>2022CD-000178-0006600001</t>
  </si>
  <si>
    <t>Servicios de Sop. Y Mant. correct. prev. y ampl. de fun. para SIFCO</t>
  </si>
  <si>
    <t>2022CD-000270-0001300003</t>
  </si>
  <si>
    <t>licencias nuevas de SAP Power Designer Data Arq Edge Edition y renovación licenc</t>
  </si>
  <si>
    <t>PROY-INT.-SWAT</t>
  </si>
  <si>
    <t>PROYECTOS INTERNOS DEL PROCESO SWAT</t>
  </si>
  <si>
    <t>PROY.INT.-DOT</t>
  </si>
  <si>
    <t>PROYECTOINTERNOS DE LA DIRECCION DE OPER. T TEC.</t>
  </si>
  <si>
    <t>2022CD-000836-0000400001</t>
  </si>
  <si>
    <t>Servicios de Desarrollo y Sostenibilidad de productos en la Solución BSS Converg</t>
  </si>
  <si>
    <t>2022CD-000055-0017400001</t>
  </si>
  <si>
    <t>servicio de sost.(soporte) y acceso a nuevas ver. del sistema Gestión de Nóminas</t>
  </si>
  <si>
    <t>OC - 52734</t>
  </si>
  <si>
    <t>Renovacion Soporte Soluciones SAP - Período 2023 Oferta No. GC P1 - R8</t>
  </si>
  <si>
    <t>OC - 238275</t>
  </si>
  <si>
    <t>Mantenimiento y Soporte Sybase 2023</t>
  </si>
  <si>
    <t>OC - 26-2023</t>
  </si>
  <si>
    <t>Actualización Soporte Licencia de Software tipo SAP BUSINES OBJECTS BI, EDGE EDI</t>
  </si>
  <si>
    <t>2022LN-000025-0000100001</t>
  </si>
  <si>
    <t>ADQ. IMPLEMENTACIÓN, CONF. E INSTAL. SERVICIO EN LA NUBE SAAS - NOMINA</t>
  </si>
  <si>
    <t>2022LA-000077-0001300001</t>
  </si>
  <si>
    <t>Renovación de licencias de SAP Business Objects.</t>
  </si>
  <si>
    <t>ADENDA 2</t>
  </si>
  <si>
    <t>SERVICIOS DE TEC. PARA EL SOP., SOST., ACTUAL. Y NUEVOS REQ</t>
  </si>
  <si>
    <t>CONT-003-2023</t>
  </si>
  <si>
    <t>2023LD-000007-0015600001</t>
  </si>
  <si>
    <t>Renovar soporte del motor de base de datos SYBASE Junta de Protección Social Cos</t>
  </si>
  <si>
    <t>2023PX-000003-0000800001</t>
  </si>
  <si>
    <t>Horas de soporte técnico especializado sobre los productos herramienta Sapiens (</t>
  </si>
  <si>
    <t>CONT-9-2023</t>
  </si>
  <si>
    <t>PRESTACIÓN DE SERVICIO ADMINISTRADO DE ERP MODELO SAAS PARA CENCINAI - ADENDA 2</t>
  </si>
  <si>
    <t>2023LY-000001-0015700001</t>
  </si>
  <si>
    <t>PROCESO SOIN TECH LABS</t>
  </si>
  <si>
    <t>Proceso Telenor</t>
  </si>
  <si>
    <t>PROC.CUST</t>
  </si>
  <si>
    <t>PROCESO CUSTOMER SUCCES</t>
  </si>
  <si>
    <t>PROC.SWAT</t>
  </si>
  <si>
    <t>PROCESO MANPOWER</t>
  </si>
  <si>
    <t>PROC.DOT</t>
  </si>
  <si>
    <t>DIRECCIÓN DE OPERACIONES Y TECNOLOGIAS</t>
  </si>
  <si>
    <t>ACT.01</t>
  </si>
  <si>
    <t>General Services Assistant</t>
  </si>
  <si>
    <t>Junior Support Engineer</t>
  </si>
  <si>
    <t>IT.TECH.02</t>
  </si>
  <si>
    <t>PROJ.06</t>
  </si>
  <si>
    <t>ENTRY LEVEL MOTION GRAPHIC DESIGNER</t>
  </si>
  <si>
    <t>Assistent Graphic Designer</t>
  </si>
  <si>
    <t>Solutions Operation Specialist</t>
  </si>
  <si>
    <t>FULLSTACK SOFTWARE DEVELOPER</t>
  </si>
  <si>
    <t>IT.ENG.05</t>
  </si>
  <si>
    <t>MID IT Support Engineer</t>
  </si>
  <si>
    <t>CSTM.06</t>
  </si>
  <si>
    <t>Costumer Project Support</t>
  </si>
  <si>
    <t>PROJ.07</t>
  </si>
  <si>
    <t>Project Manager Specialist</t>
  </si>
  <si>
    <t>IT.TECH.01</t>
  </si>
  <si>
    <t>IT Support Technician Jr</t>
  </si>
  <si>
    <t>ARCH.01</t>
  </si>
  <si>
    <t>Architect</t>
  </si>
  <si>
    <t>GES.CA.03</t>
  </si>
  <si>
    <t>Quality Project Officer</t>
  </si>
  <si>
    <t>PMO.04</t>
  </si>
  <si>
    <t>Officer Specialist</t>
  </si>
  <si>
    <t>DEV.15</t>
  </si>
  <si>
    <t>FrontEnd Principal Technical Lead</t>
  </si>
  <si>
    <t>DEV.16</t>
  </si>
  <si>
    <t>FrontEnd Senior Staff Developer RT</t>
  </si>
  <si>
    <t>DEV.17</t>
  </si>
  <si>
    <t>Mobile Senior Technical Lead</t>
  </si>
  <si>
    <t>DEV.18</t>
  </si>
  <si>
    <t>Mobile Staff Developer Mid</t>
  </si>
  <si>
    <t>DEV.19</t>
  </si>
  <si>
    <t>FrontEnd Senior Technical Lead</t>
  </si>
  <si>
    <t>DEV.20</t>
  </si>
  <si>
    <t>Mobile Developer Mid</t>
  </si>
  <si>
    <t>CC.TP</t>
  </si>
  <si>
    <t>Content Creator</t>
  </si>
  <si>
    <t>DEV.21</t>
  </si>
  <si>
    <t>Backend Specialist Technical Lead</t>
  </si>
  <si>
    <t>ACT.02</t>
  </si>
  <si>
    <t>Accountant Assitant</t>
  </si>
  <si>
    <t>CLN.SOL.SL</t>
  </si>
  <si>
    <t>Clinical Solutions Consultant</t>
  </si>
  <si>
    <t>COR.DSG</t>
  </si>
  <si>
    <t>DESIGNER COORDINATOR</t>
  </si>
  <si>
    <t>Hrs Adicionales</t>
  </si>
  <si>
    <t>Adicionales Totales</t>
  </si>
  <si>
    <t>Adicionales Facturables</t>
  </si>
  <si>
    <t>Canjes</t>
  </si>
  <si>
    <t>Saldo acordado con Pedro</t>
  </si>
  <si>
    <t>Canje</t>
  </si>
  <si>
    <t>Saldo</t>
  </si>
  <si>
    <t>Canje de 4 horas</t>
  </si>
  <si>
    <t>Horas adicionales</t>
  </si>
  <si>
    <t>3 horas adicionales</t>
  </si>
  <si>
    <t>1 hora adicional</t>
  </si>
  <si>
    <t>Comentario</t>
  </si>
  <si>
    <t>Select DISTINCT  ra.PRYItipo, ra.PRYInumero  , tt.PRYTcodigo , pp.PRYcodigo, pp.PRYdescripcion , ap.PRYAcodigo, ap.PRYAdescripcion, ap.PRYAnivel, ap.PRYApath  , ra.PRYRAid   , case when ap.PRYAid = aa.PRYAid then  ee.PRYEcodigo end as PRYEcodigo  , case when ap.PRYAid = aa.PRYAid then  ee.PRYEdescripcion end as PRYEdescripcion   , case when ap.PRYAid = aa.PRYAid then  uu.Usulogin end as Usulogin  , case when ap.PRYAid = aa.PRYAid then  uu.Usunombre end as Usunombre   , case when ap.PRYAid = aa.PRYAid then  ra.PRYRAfecha end as PRYRAfecha   , case when ap.PRYAid = aa.PRYAid then case when datalength(ra.PRYRAcomentario)&lt;=512 then ra.PRYRAcomentario else substring (ra.PRYRAcomentario, 1, 509)  +  '...' end end as PRYRAcomentario  , case when ap.PRYAid = aa.PRYAid then  ra.PRYRAhoras end as PRYRAhoras   from PRYReporteActividad ra inner join PRYReporteControl rc on rc.PRYRCid = ra.PRYRCid inner join PRYActividad aa on aa.PRYAid = ra.PRYAid inner join PRYproyecto pp on pp.PRYid = aa.PRYid inner join PRYTipoAreaRespons tt on tt.PRYTid = pp.PRYTid inner join PRYActividad ap on aa.PRYid=ap.PRYid and aa.PRYApath like ap.PRYApath + '%' inner join PRYEspecialidad ee on ee.PRYEid = ra.PRYEid inner join PRYUsuarios uu on uu.Usucodigo = rc.Usucodigo   where PRYRAfecha between '2023-11-01 00:00:00' and '2023-12-08 23:59:59' and ra.PRYCcerrado = 0 and rc.PRYRCestado = 1           order by tt.PRYTcodigo, pp.PRYcodigo, ap.PRYApath, ee.PRYEcodigo, uu.Usulogin, ra.PRYRAfecha</t>
  </si>
  <si>
    <t>051-SO-NF-CIP1</t>
  </si>
  <si>
    <t>ACTIVIDADES ASOCIADAS AL EQUIPO DE SOSTENIBILIDAD CIP1 - NO FACTURABLES</t>
  </si>
  <si>
    <t>051-SOS-CIP1</t>
  </si>
  <si>
    <t>SOIN-ADM-2024</t>
  </si>
  <si>
    <t>TAREAS ADMINISTRATIVAS SOIN 2024</t>
  </si>
  <si>
    <t>TPO-SO-3200-1</t>
  </si>
  <si>
    <t xml:space="preserve">OP24-0013-A Gestion  de incidencias y solicitudes de servicio		</t>
  </si>
  <si>
    <t>SOPORTE, SOST, ACTUALIZAR Y N.R. SAPIENS - COOPESERVIDORES</t>
  </si>
  <si>
    <t>ADMINISTRATIVAS INTERNAS DE PMO</t>
  </si>
  <si>
    <t>Actualizacion y Soporte Licencias SAP ASE Edge Edition 2022-2024</t>
  </si>
  <si>
    <t>SOPORTE Y MANTENIMIENTO DAVIVIENDA 2022-2024</t>
  </si>
  <si>
    <t>151-PMO-TELCO23</t>
  </si>
  <si>
    <t>152.1 MAN-SOIN</t>
  </si>
  <si>
    <t>068-140-JPS 202</t>
  </si>
  <si>
    <t>Soporte del motor de base de datos SYBASE</t>
  </si>
  <si>
    <t>151-GT-QA</t>
  </si>
  <si>
    <t>SERVICIOS MANPOWER - BANCO GUATEMALA</t>
  </si>
  <si>
    <t>151-PMO-MPW-23</t>
  </si>
  <si>
    <t>SERVICIOS  PMO MANPOWER - 2023</t>
  </si>
  <si>
    <t>900-162-BNVITAL</t>
  </si>
  <si>
    <t>ACTUALIZACION DEL SISTEMA PARA BNVITAL</t>
  </si>
  <si>
    <t>057-162-IICA 23</t>
  </si>
  <si>
    <t>ACTUALIZACIÓN DEL SISTEMA PARA IICA</t>
  </si>
  <si>
    <t>057-152-IICA 23</t>
  </si>
  <si>
    <t>GESTION DE NUEVOS REQUERIMIENTOS  - IICA</t>
  </si>
  <si>
    <t>057-154-IICA 23</t>
  </si>
  <si>
    <t>GESTION DE SERVICIO AL CLIENTE - IICA</t>
  </si>
  <si>
    <t>152-GNR-ERP</t>
  </si>
  <si>
    <t>GESTION DE NUEVO REQUIRIENTOS-ERP</t>
  </si>
  <si>
    <t>190.1-NUBE</t>
  </si>
  <si>
    <t>Migración y almacenamiento en NUBE</t>
  </si>
  <si>
    <t>095-190.1-NUBE</t>
  </si>
  <si>
    <t>MIGRACIÓN DE INFRAESTRUCTURA Y ALMACENAMIENTO EN LA NUBE</t>
  </si>
  <si>
    <t>051-NF-TRS-CIP1</t>
  </si>
  <si>
    <t>TAREAS TRANSVERSALES NO FACTURABLES DE SOSTENIBILIDAD - CIP1</t>
  </si>
  <si>
    <t>SO.TRANS</t>
  </si>
  <si>
    <t>TAREAS TRANSVERSALES NO FACTURABLES DE SOSTENIBILIDAD</t>
  </si>
  <si>
    <t>151-024-ADL2024</t>
  </si>
  <si>
    <t>Tareas Generales y Administrativas no reportadas en proyectos Labs 2024</t>
  </si>
  <si>
    <t>DIR_PROY</t>
  </si>
  <si>
    <t>TAREAS DEL DIRECTOR</t>
  </si>
  <si>
    <t>151-PMO-COR2024</t>
  </si>
  <si>
    <t>SERVICIOS INTERNOS PMO CORPORATIVA 2024</t>
  </si>
  <si>
    <t>151-RH-2024</t>
  </si>
  <si>
    <t>ACTIVIDADES ASOCIADAS A RECURSOS HUMANOS - 2024</t>
  </si>
  <si>
    <t>151-SOP-2024</t>
  </si>
  <si>
    <t>ACTIVIDADES AREA SOPORTE INTERNO 2024</t>
  </si>
  <si>
    <t>ACTIVIDADES NO FACTURABLES EQUIPO BI - 2024</t>
  </si>
  <si>
    <t>BI_001</t>
  </si>
  <si>
    <t>Tareas Generales BI</t>
  </si>
  <si>
    <t>151-QA-CORP2024</t>
  </si>
  <si>
    <t>TAREAS ASOCIADAS AL EQUIPO QA CORPORATIVO 2024</t>
  </si>
  <si>
    <t>151-PMO-TELCO24</t>
  </si>
  <si>
    <t>151-PMO-CUST-24</t>
  </si>
  <si>
    <t>SERVICIOS PMO A PROCESO CUST - 2024</t>
  </si>
  <si>
    <t>151-PMO-DOT-24</t>
  </si>
  <si>
    <t>SERVICIOS PMO A PROCESO DOT - 2024</t>
  </si>
  <si>
    <t>151-PMO-ERP-24</t>
  </si>
  <si>
    <t>SERVICIOS PMO A ERP-2023-2024</t>
  </si>
  <si>
    <t>151-PMO-FI-24</t>
  </si>
  <si>
    <t>SERVICIOS PMO A PROCESO FINANCIERO CONTABLE 2024</t>
  </si>
  <si>
    <t>151-LIC.CA-24</t>
  </si>
  <si>
    <t>LICENCIAS POR CANJES - SOIN-2024</t>
  </si>
  <si>
    <t>151-BENFCOR-24</t>
  </si>
  <si>
    <t>BENEFICIOS CORPORATIVOS 2024</t>
  </si>
  <si>
    <t>Actividades administrativas y Gerenciales del Equipo de BI 2024</t>
  </si>
  <si>
    <t>151-250-CUST-24</t>
  </si>
  <si>
    <t>ACTIVIDADES DEL PROCESO DE CUSTOMER SUCCESS - 2024</t>
  </si>
  <si>
    <t>151-CMRCL-2024</t>
  </si>
  <si>
    <t>TAREAS DEL PROCESO COMERCIAL 2024</t>
  </si>
  <si>
    <t>151-ERP-ADM-24</t>
  </si>
  <si>
    <t>TAREAS ADMINISTRATIVAS ERP 2024</t>
  </si>
  <si>
    <t>806-PMO GENERAL</t>
  </si>
  <si>
    <t>SERVICIOS PMO GENERAL</t>
  </si>
  <si>
    <t>531-154-BNCR</t>
  </si>
  <si>
    <t>GESTION DE SERVICIO AL CLIENTE - BNCR</t>
  </si>
  <si>
    <t>TPO-SO-3200-2</t>
  </si>
  <si>
    <t>OP24-0013-A Gestion  de incidencias y solicitudes de servicio</t>
  </si>
  <si>
    <t>PRYid</t>
  </si>
  <si>
    <t>TPO-SO-3200-3</t>
  </si>
  <si>
    <t>TPO-SO-3200-4</t>
  </si>
  <si>
    <t>TPO-SO-3200-5</t>
  </si>
  <si>
    <t>TPO-SO-3200-6</t>
  </si>
  <si>
    <t>TPO-SO-3200-7</t>
  </si>
  <si>
    <t>TPO-SO-3200-8</t>
  </si>
  <si>
    <t>TPO-SO-3200-9</t>
  </si>
  <si>
    <t>TPO-SO-3200-10</t>
  </si>
  <si>
    <t>TPO-SO-3200-11</t>
  </si>
  <si>
    <t>TPO-SO-3200-12</t>
  </si>
  <si>
    <t>vzuniga</t>
  </si>
  <si>
    <t>VALERIA ZUÑIGA ANGULO</t>
  </si>
  <si>
    <t>Gestión - ERP</t>
  </si>
  <si>
    <t>INSTEMP</t>
  </si>
  <si>
    <t>Temporal Inspecciones</t>
  </si>
  <si>
    <t>EA</t>
  </si>
  <si>
    <t>Esfuerzo Adicional</t>
  </si>
  <si>
    <t>OPF</t>
  </si>
  <si>
    <t>Grupo temporal</t>
  </si>
  <si>
    <t>KO</t>
  </si>
  <si>
    <t>KO Temporal</t>
  </si>
  <si>
    <t>IN-PST-EMG</t>
  </si>
  <si>
    <t>Grupo de incidentes Post Emergencia</t>
  </si>
  <si>
    <t>CF-32</t>
  </si>
  <si>
    <t>Servicios Digitales</t>
  </si>
  <si>
    <t>R.H</t>
  </si>
  <si>
    <t>Recuperación de Horas TPO-3203-14</t>
  </si>
  <si>
    <t>GESTION DE NUEVOS REQUERIMIENTOS - CENCINAI - ADENDAS</t>
  </si>
  <si>
    <t xml:space="preserve"> ERP bajo modelo SaaS - 2023 - 2024  CenCinai</t>
  </si>
  <si>
    <t>579-200-SLD-24</t>
  </si>
  <si>
    <t>ACTIVIDADES GENERALES ASOCIADAS A OPORTUNIDADES DEL SECTOR SALUD - 2024</t>
  </si>
  <si>
    <t>151-198-ADGER24</t>
  </si>
  <si>
    <t>Actividades Administrativas y Gerenciales - TRANSFORMACION DIGITAL 2024</t>
  </si>
  <si>
    <t>151-TAPP-ADM-24</t>
  </si>
  <si>
    <t>ACTIVIDADES ADMINISTRATIVAS DEL EQUIPO DE TAPP-2024</t>
  </si>
  <si>
    <t>051-OPI-ICENCP3</t>
  </si>
  <si>
    <t>151-NF-INT-NCP3</t>
  </si>
  <si>
    <t>051-MID-ICENCP3</t>
  </si>
  <si>
    <t>170-Middleware</t>
  </si>
  <si>
    <t>Actividades del proyecto</t>
  </si>
  <si>
    <t>151-NF-MD-NCP3</t>
  </si>
  <si>
    <t>584-190.1-FMCCS</t>
  </si>
  <si>
    <t>SERVICIOS PROFESIONALES CLOUD - FMCCSS</t>
  </si>
  <si>
    <t>531-152-BNCR</t>
  </si>
  <si>
    <t>GESTIÓN DE NUEVOS REQUERIMIENTOS - BNCR</t>
  </si>
  <si>
    <t>531-BNCR-SOA</t>
  </si>
  <si>
    <t>PROYECTO BNCR - SOA</t>
  </si>
  <si>
    <t>151-350-CSSE</t>
  </si>
  <si>
    <t>PROCESO ORACLE PARA EXPERTISE CSSE: OCI Migration</t>
  </si>
  <si>
    <t>450-POOL-INTEGR</t>
  </si>
  <si>
    <t>ACTIVIDADES DE EQUIPO POOL DE INTEGRACIONES</t>
  </si>
  <si>
    <t>051-POOL-INTEG</t>
  </si>
  <si>
    <t>ACTIVIDADES DEL EQUIPO DE POOL DE INTEGRACIONES</t>
  </si>
  <si>
    <t>409-DEVOPS-LABS</t>
  </si>
  <si>
    <t>PLANTILLA TAREAS DEVOPS LABS</t>
  </si>
  <si>
    <t>119-152-UCR</t>
  </si>
  <si>
    <t>GESTIÓN DE NUEVOS REQUERIMIENTOS UCR</t>
  </si>
  <si>
    <t>151-350-PARAGON</t>
  </si>
  <si>
    <t>PARAGON WEB APPLICATION</t>
  </si>
  <si>
    <t>151-350-TAPP IA</t>
  </si>
  <si>
    <t>IA TAPP</t>
  </si>
  <si>
    <t>055-156-INS.KEY</t>
  </si>
  <si>
    <t>IMPLEMENTACIÓN ERP KEY/INS</t>
  </si>
  <si>
    <t>018-162-BNVAL</t>
  </si>
  <si>
    <t>ACTUALIZACIÓN DE SISTEMA ERP - BN VALORES</t>
  </si>
  <si>
    <t>IT</t>
  </si>
  <si>
    <t>MN</t>
  </si>
  <si>
    <t>MIGRACIÓN NUBE</t>
  </si>
  <si>
    <t>RM</t>
  </si>
  <si>
    <t>Sop Var RM</t>
  </si>
  <si>
    <t>Derivado de la propuesta con número de SADE 5701 - GB-659</t>
  </si>
  <si>
    <t>2021CD-000002-0014900001</t>
  </si>
  <si>
    <t>Lic, sop., desa evol. y TC SAP  BO Intell. Plat e Intel. neg. CFBCR- Pro 2</t>
  </si>
  <si>
    <t>Serv para el mant evol, sop correc  herram Power Center y Data Quality</t>
  </si>
  <si>
    <t>2023PX-000009-0017400001</t>
  </si>
  <si>
    <t>Servicio para la impl.  Cambio de versión, sop. y mant. Sapiens V 8.0</t>
  </si>
  <si>
    <t>2023-107</t>
  </si>
  <si>
    <t>Servicio de Actualizacion, Implemen. y Oper. Plataforma SAPIENS - Saas</t>
  </si>
  <si>
    <t>2023XE-000011-0000400001</t>
  </si>
  <si>
    <t>Adquisición de derecho de actualización de licencias de bases de datos y de dise</t>
  </si>
  <si>
    <t>2023PX-000016-0000800001</t>
  </si>
  <si>
    <t>MIGRACIÓN DE INFRAESTRUCTURA y ALMACENAMIENTO EN LA NUBE</t>
  </si>
  <si>
    <t>OC53949</t>
  </si>
  <si>
    <t>Renovación de licencias de Bases de Datos</t>
  </si>
  <si>
    <t>OC-289968</t>
  </si>
  <si>
    <t>SUSCRIPCIÓN ANUAL MANTENIMIENTO Y SOPORTE SYBASE</t>
  </si>
  <si>
    <t>2023XE-000016-0000400001</t>
  </si>
  <si>
    <t>Renovación de Derechos de Actualización de Licencias de Software de Aplicativos</t>
  </si>
  <si>
    <t>CONT-002-2023</t>
  </si>
  <si>
    <t>ACT. DE VERSIÓN COOPELESCA R.L.</t>
  </si>
  <si>
    <t>OC-68582</t>
  </si>
  <si>
    <t>OC-45603</t>
  </si>
  <si>
    <t>Derecho de Actualización y Soporte licencia de Software tipo SAP Business Object</t>
  </si>
  <si>
    <t>LAT-12035</t>
  </si>
  <si>
    <t>ctualización y Mantenimiento Licencias SAP ASE Edge Edition</t>
  </si>
  <si>
    <t>2022LA-000074-0000900001</t>
  </si>
  <si>
    <t>ARRENDAMIENTO E IMPLEMENTACIÓN DE HERRAMIENTA DE ERP</t>
  </si>
  <si>
    <t>2024LD-000002-0001300001</t>
  </si>
  <si>
    <t>Renovación de licenciamiento SAP  Business  Objects  para la Dirección de Tecnol</t>
  </si>
  <si>
    <t>CONT-7-2024</t>
  </si>
  <si>
    <t>PRESTACIÓN DE SERVICIO ADMINISTRADO DE ERP MODELO SAAS PARA CENCINAI - ADENDA 3</t>
  </si>
  <si>
    <t>CONT-004-2023</t>
  </si>
  <si>
    <t>SERVICIOS PROFESIONALES CLOUD _x0013_ FMCCSS</t>
  </si>
  <si>
    <t>2023LY-000028-0001000001</t>
  </si>
  <si>
    <t>Adquirir solución tecnológica integral y consultoría para análisis,diseño,implem</t>
  </si>
  <si>
    <t>PROC.SEDI</t>
  </si>
  <si>
    <t>SERVICIOS DIGITALES (SEDI)</t>
  </si>
  <si>
    <t>DEV.22</t>
  </si>
  <si>
    <t>Mid Level Software Developer</t>
  </si>
  <si>
    <t>DEV.23</t>
  </si>
  <si>
    <t>Specialist Software Developer</t>
  </si>
  <si>
    <t>DEV.24</t>
  </si>
  <si>
    <t>Trainee Software Developer</t>
  </si>
  <si>
    <t>TRNS.PM</t>
  </si>
  <si>
    <t>Program Manager</t>
  </si>
  <si>
    <t>ERP.GD</t>
  </si>
  <si>
    <t>Gestora Documental</t>
  </si>
  <si>
    <t>REL.05</t>
  </si>
  <si>
    <t>Junior Release Management</t>
  </si>
  <si>
    <t>rargueta</t>
  </si>
  <si>
    <t>RICARDO ARGUETA ESCOBAR</t>
  </si>
  <si>
    <t>gvilleda</t>
  </si>
  <si>
    <t>GILDA VILLEDA HERNANDEZ</t>
  </si>
  <si>
    <t>jsolano</t>
  </si>
  <si>
    <t>JENNIFER SOLANO NAVARRO</t>
  </si>
  <si>
    <t>valfaro</t>
  </si>
  <si>
    <t>VALERIA ALFARO CARVAJAL</t>
  </si>
  <si>
    <t>aarce</t>
  </si>
  <si>
    <t>ALEXANDER ARCE GUTIERREZ</t>
  </si>
  <si>
    <t>bvargas</t>
  </si>
  <si>
    <t>BAYRON VARGAS CHAVES</t>
  </si>
  <si>
    <t>jblanco</t>
  </si>
  <si>
    <t>JOSUE BLANCO MURILLO</t>
  </si>
  <si>
    <t>tlopez</t>
  </si>
  <si>
    <t>TAMARA LOPEZ PIZARRO</t>
  </si>
  <si>
    <t>dluna</t>
  </si>
  <si>
    <t>DIANA LUNA PACHECO</t>
  </si>
  <si>
    <t>amatus</t>
  </si>
  <si>
    <t>AXEL MATUS VARGAS</t>
  </si>
  <si>
    <t>yvenegas</t>
  </si>
  <si>
    <t>YOSELYN VENEGAS CECILIANO</t>
  </si>
  <si>
    <t>anavarro</t>
  </si>
  <si>
    <t>HELEN AZARIA NAVARRO BARAHONA</t>
  </si>
  <si>
    <t>gperez</t>
  </si>
  <si>
    <t>GUIDO PEREZ TENORIO</t>
  </si>
  <si>
    <t>icordero</t>
  </si>
  <si>
    <t>ISLAM CORDERO CEDENO</t>
  </si>
  <si>
    <t>mcorrales</t>
  </si>
  <si>
    <t>MELINA CORRALES DELGADO</t>
  </si>
  <si>
    <t>mrojasl</t>
  </si>
  <si>
    <t>MASIEL ROJAS LOPEZ</t>
  </si>
  <si>
    <t>achavarria</t>
  </si>
  <si>
    <t>AXEL CHAVARRIA MONTOYA</t>
  </si>
  <si>
    <t>jchavez</t>
  </si>
  <si>
    <t>JOSE CARLOS CHAVEZ MORAN</t>
  </si>
  <si>
    <t>mzunigau</t>
  </si>
  <si>
    <t>MARCO ZUÑIGA UGALDE</t>
  </si>
  <si>
    <t>fcabrera</t>
  </si>
  <si>
    <t>FRANCISCO EDUARDO CABRERA SANDI</t>
  </si>
  <si>
    <t>sbarba</t>
  </si>
  <si>
    <t>STEVEN BARBA OBANDO</t>
  </si>
  <si>
    <t>wsequeira</t>
  </si>
  <si>
    <t>WILMAR SEQUEIRA GUEVARA</t>
  </si>
  <si>
    <t>svega</t>
  </si>
  <si>
    <t>SIRLENE VEGA GONZALEZ</t>
  </si>
  <si>
    <t>jaguilar</t>
  </si>
  <si>
    <t>JORGE AGUILAR ACEVEDO</t>
  </si>
  <si>
    <t>yperalta</t>
  </si>
  <si>
    <t>YURHEN PERALTA CAMBRONERO</t>
  </si>
  <si>
    <t>jmunoz</t>
  </si>
  <si>
    <t>JOSETH MUÑOZ MADRIGAL</t>
  </si>
  <si>
    <t>csalguero</t>
  </si>
  <si>
    <t>CARLA SALGUERO ACHI</t>
  </si>
  <si>
    <t>cmatarrita</t>
  </si>
  <si>
    <t>CESAR MATARRITA MATARRITA</t>
  </si>
  <si>
    <t>cavila</t>
  </si>
  <si>
    <t>CRISTOPHER AVILA CASTILLO</t>
  </si>
  <si>
    <t>acampos</t>
  </si>
  <si>
    <t>EVANS ANDRES CAMPOS SOLIS</t>
  </si>
  <si>
    <t>framirezt</t>
  </si>
  <si>
    <t>FELIPE RAMIREZ TOMAS</t>
  </si>
  <si>
    <t>achacong</t>
  </si>
  <si>
    <t>ANDREY ALBERTO CHACON GUTIERREZ</t>
  </si>
  <si>
    <t>jgonzalezc</t>
  </si>
  <si>
    <t>JUAN IGNACIO GONZALEZ CORTES</t>
  </si>
  <si>
    <t>cchaves</t>
  </si>
  <si>
    <t>CAROLINA CHAVES MARROQUIN</t>
  </si>
  <si>
    <t>ApoyoCxC</t>
  </si>
  <si>
    <t>Apoyo en CXC ERP</t>
  </si>
  <si>
    <t>531-BNCR-SOA FC</t>
  </si>
  <si>
    <t>DESARROLLO PROYECTOS SEDI</t>
  </si>
  <si>
    <t>HU</t>
  </si>
  <si>
    <t>HistoriaUsuario</t>
  </si>
  <si>
    <t>ADEND 1 SOPORTE, SOST. Y  ACTUAL. DE VERSIÓN SAPIENS/RRHH INTELECTIVA COSTA RICA</t>
  </si>
  <si>
    <t>bcambronero</t>
  </si>
  <si>
    <t>BRANDON CAMBRONERO ZUÑIGA</t>
  </si>
  <si>
    <t>SOA-BNCR</t>
  </si>
  <si>
    <t>EQUIPO DESA ASIGNADO A ATENCIPON DE RQ</t>
  </si>
  <si>
    <t>CF-261</t>
  </si>
  <si>
    <t>PROYECTO BNCR - SOA 2023LY-000016-000010000</t>
  </si>
  <si>
    <t>360-SEDI</t>
  </si>
  <si>
    <t>2024LY-000001-00157000</t>
  </si>
  <si>
    <t>SERVICIOS POR DEMANDA DESAR EVOL, SOP CORREC HERRAM SUITE INF CLOUD Y ON PREMISE</t>
  </si>
  <si>
    <t>2023LY-000016-000010000</t>
  </si>
  <si>
    <t>Atención de Req. en herramientas ORACLE fusión middleware y SOA suite</t>
  </si>
  <si>
    <t>2024LD-000006-0006000001</t>
  </si>
  <si>
    <t>2024LD-000009-0001101161</t>
  </si>
  <si>
    <t>Actualización anual de licenciamiento de herramienta de modelaje de datos (Power</t>
  </si>
  <si>
    <t>2023LE-000004-0019800001</t>
  </si>
  <si>
    <t>Soporte y actualización Licencias</t>
  </si>
  <si>
    <t>hrodriguez</t>
  </si>
  <si>
    <t>HEYKIN RODRIGUEZ MORA</t>
  </si>
  <si>
    <t>ogutierrez</t>
  </si>
  <si>
    <t>OSCAR DANIEL GUTIERREZ GUERRERO</t>
  </si>
  <si>
    <t>mjrodriguez</t>
  </si>
  <si>
    <t>MARIA JESUS RODRIGUEZ BENAVIDES</t>
  </si>
  <si>
    <t>rmiranda</t>
  </si>
  <si>
    <t>ROYNER ARTURO MIRANDA SEGURA</t>
  </si>
  <si>
    <t>SOIN-ADM-2025</t>
  </si>
  <si>
    <t>TAREAS ADMINISTRATIVAS SOIN 2025</t>
  </si>
  <si>
    <t>051-SOS-CIP2</t>
  </si>
  <si>
    <t>051-SOS-NF-CIP2</t>
  </si>
  <si>
    <t>ACTIVIDADES ASOCIADAS AL EQUIPO DE SOSTENIBILIDAD CIP2 - NO FACTURABLES</t>
  </si>
  <si>
    <t>TPO-SO-3500-1</t>
  </si>
  <si>
    <t>TPO-SO-3500-2</t>
  </si>
  <si>
    <t>TPO-SO-3500-3</t>
  </si>
  <si>
    <t>TPO-SO-3500-4</t>
  </si>
  <si>
    <t>TPO-SO-3500-5</t>
  </si>
  <si>
    <t>TPO-SO-3500-6</t>
  </si>
  <si>
    <t>TPO-SO-3500-7</t>
  </si>
  <si>
    <t>TPO-SO-3500-8</t>
  </si>
  <si>
    <t>TPO-SO-3500-9</t>
  </si>
  <si>
    <t>TPO-SO-3500-10</t>
  </si>
  <si>
    <t>TPO-SO-3500-11</t>
  </si>
  <si>
    <t>TPO-SO-3500-12</t>
  </si>
  <si>
    <t>051-NF-TRANS-CIP2</t>
  </si>
  <si>
    <t>151-BENF-COR-2025</t>
  </si>
  <si>
    <t>SOPORTE N.R. COOPELESCA 2024-2025</t>
  </si>
  <si>
    <t>151-RM-CORP 2024-2025</t>
  </si>
  <si>
    <t>TAREAS ASOCIADAS AL EQUIPO RM CORPORATIVO 2024 - 2025</t>
  </si>
  <si>
    <t>BI-NF 2024</t>
  </si>
  <si>
    <t>BI-178-GNR 24</t>
  </si>
  <si>
    <t>095-202-RDIG</t>
  </si>
  <si>
    <t>PROYECTO DE IMPLEMENTACION - RECETA DIGITAL - NUEVO DECRETO</t>
  </si>
  <si>
    <t>TAREAS TRANSVERSALES NO FACTURABLES DE SOSTENIBILIDAD - CIP2</t>
  </si>
  <si>
    <t>ADM-SWAT</t>
  </si>
  <si>
    <t>TAREAS ADMINISTRATIVAS Y GENERALES</t>
  </si>
  <si>
    <t>151-GRL-SWAT 2025</t>
  </si>
  <si>
    <t>ACTIVIDADES GENERALES DEL EQUIPO SWAT 2025</t>
  </si>
  <si>
    <t>151-SGSI-CERTIF</t>
  </si>
  <si>
    <t>IMPEMENTACIÓN SISTEMA DE GESTIÓN DE SEGURIDAD DE LA INFORMACIÓN - ISO 270001</t>
  </si>
  <si>
    <t>500.1-RM</t>
  </si>
  <si>
    <t>151-ERP-ADM-2025</t>
  </si>
  <si>
    <t>TAREAS ADMINISTRATIVAS ERP 2025</t>
  </si>
  <si>
    <t>151-250-CUST-2025</t>
  </si>
  <si>
    <t>ACTIVIDADES DEL PROCESO DE CUSTOMER SUCCESS - 2025</t>
  </si>
  <si>
    <t>151-024-ADL2025</t>
  </si>
  <si>
    <t>TAREAS GENERALES Y ADM. DE TECH LABS 2025</t>
  </si>
  <si>
    <t>151-PMO-COR2025</t>
  </si>
  <si>
    <t>SERVICIOS INTERNOS PMO CORPORATIVA 2025</t>
  </si>
  <si>
    <t>151-QA-CORP2025</t>
  </si>
  <si>
    <t xml:space="preserve"> TAREAS ASOCIADAS AL EQUIPO QA CORPORATIVO 2025</t>
  </si>
  <si>
    <t>151-RM-CORP2025</t>
  </si>
  <si>
    <t>TAREAS ASOCIADAS AL EQUIPO RM CORPORATIVO 2025</t>
  </si>
  <si>
    <t>190.2-NUBE-ERP</t>
  </si>
  <si>
    <t>MIGRACIÓN Y ALMACENAMAIENTO EN NUBE - ERP</t>
  </si>
  <si>
    <t>680-190.2-PANI</t>
  </si>
  <si>
    <t>PROYECTO DE MIGRACIÓN DE NUBE - PANI</t>
  </si>
  <si>
    <t>218-190.2-911</t>
  </si>
  <si>
    <t>PROYECTO DE MIGRACIÓN DE NUBE - 911</t>
  </si>
  <si>
    <t>EQ</t>
  </si>
  <si>
    <t>EQUIPOS BNCR</t>
  </si>
  <si>
    <t>R1</t>
  </si>
  <si>
    <t>RM LIB</t>
  </si>
  <si>
    <t>R2</t>
  </si>
  <si>
    <t>RM INF</t>
  </si>
  <si>
    <t>R3</t>
  </si>
  <si>
    <t>RM BDS</t>
  </si>
  <si>
    <t>R4</t>
  </si>
  <si>
    <t>RM SEG</t>
  </si>
  <si>
    <t>R5</t>
  </si>
  <si>
    <t>RM AUT</t>
  </si>
  <si>
    <t>R6</t>
  </si>
  <si>
    <t>RM INC</t>
  </si>
  <si>
    <t>R7</t>
  </si>
  <si>
    <t>RM SOP</t>
  </si>
  <si>
    <t>R8</t>
  </si>
  <si>
    <t>RM DOC</t>
  </si>
  <si>
    <t>2024XE-000004-0006100001</t>
  </si>
  <si>
    <t>SERV. ADM. DE INFOCOMUNICACION EN LA NUBE - SOFTWARE SERVICIOS SaS - ERP</t>
  </si>
  <si>
    <t>2024LD-000022-0008300001</t>
  </si>
  <si>
    <t>Contrato de soporte SIFA</t>
  </si>
  <si>
    <t>2024LE-000009-000530001</t>
  </si>
  <si>
    <t>Actualización y Soporte de la Licencia SAP Adaptive Server Platform Edition para</t>
  </si>
  <si>
    <t>2024LY-000002-0000400001</t>
  </si>
  <si>
    <t>Renovación de derechos de actualización de licencias de software de SAP Business</t>
  </si>
  <si>
    <t>2024LD-000052-0006600001</t>
  </si>
  <si>
    <t>2024LE-000004-0008700001</t>
  </si>
  <si>
    <t>Renovación de licencias sybase</t>
  </si>
  <si>
    <t>CONTRATO DE SERVICIO PARA EL SOPORTE Y SOSTENIBILIDAD PARA EL SISTEMA SOIN -SAPI</t>
  </si>
  <si>
    <t>chidalgo</t>
  </si>
  <si>
    <t>CARLOS ALBERTO HIDALGO LEITON</t>
  </si>
  <si>
    <t>jjimeneza</t>
  </si>
  <si>
    <t>JEREMY NAIBETH JIMENEZ ARAYA</t>
  </si>
  <si>
    <t>aguevara</t>
  </si>
  <si>
    <t>ARLYN GUEVARA ARRIETA</t>
  </si>
  <si>
    <t>eherrera</t>
  </si>
  <si>
    <t>EMILY HERRERA TORRES</t>
  </si>
  <si>
    <t>aluna</t>
  </si>
  <si>
    <t>ANUARD LUNA MALTEZ</t>
  </si>
  <si>
    <t>kelizondo</t>
  </si>
  <si>
    <t>KRISLEY ELIZONDO GUTIERREZ</t>
  </si>
  <si>
    <t>dsuarez</t>
  </si>
  <si>
    <t>DANIEL SUAREZ ARIAS</t>
  </si>
  <si>
    <t>ibrenes</t>
  </si>
  <si>
    <t>INGRID JOHANA BRENES BONILLA</t>
  </si>
  <si>
    <t>ccarvajal</t>
  </si>
  <si>
    <t>CARLOS ANDRES CARVAJAL MEJIA</t>
  </si>
  <si>
    <t>tlopezf</t>
  </si>
  <si>
    <t>TATIANA LOPEZ FALLAS</t>
  </si>
  <si>
    <t>aporras</t>
  </si>
  <si>
    <t>ALEXA PORRAS SALAS</t>
  </si>
  <si>
    <t>aarayam</t>
  </si>
  <si>
    <t>ALEJANDRO JOSEPH ARAYA MENDEZ</t>
  </si>
  <si>
    <t>fesquivel</t>
  </si>
  <si>
    <t>FERNANDO ESQUIVEL ARCE</t>
  </si>
  <si>
    <t>mfalvarado</t>
  </si>
  <si>
    <t>MARIA FERNANDA ALVARADO ASTORGA</t>
  </si>
  <si>
    <t>gvargas</t>
  </si>
  <si>
    <t>GERARDO BOLIVAR VARGAS FERNANDEZ</t>
  </si>
  <si>
    <t>kmeza</t>
  </si>
  <si>
    <t>KEVIN LUIS MEZA CASTILLO</t>
  </si>
  <si>
    <t>Semana 01CIP1</t>
  </si>
  <si>
    <t>CIP1</t>
  </si>
  <si>
    <t>Semana 02CIP1</t>
  </si>
  <si>
    <t>Semana 03CIP1</t>
  </si>
  <si>
    <t>Semana 04CIP1</t>
  </si>
  <si>
    <t>Semana 05CIP1</t>
  </si>
  <si>
    <t>Semana 06CIP1</t>
  </si>
  <si>
    <t>Semana 07CIP1</t>
  </si>
  <si>
    <t>Semana 08CIP1</t>
  </si>
  <si>
    <t>Semana 09CIP1</t>
  </si>
  <si>
    <t>Semana 10CIP1</t>
  </si>
  <si>
    <t>Semana 11CIP1</t>
  </si>
  <si>
    <t>Semana 12CIP1</t>
  </si>
  <si>
    <t>Semana 13CIP1</t>
  </si>
  <si>
    <t>Semana 14CIP1</t>
  </si>
  <si>
    <t>Semana 15CIP1</t>
  </si>
  <si>
    <t>Semana 16CIP1</t>
  </si>
  <si>
    <t>Semana 17CIP1</t>
  </si>
  <si>
    <t>Semana 18CIP1</t>
  </si>
  <si>
    <t>Semana 19CIP1</t>
  </si>
  <si>
    <t>Semana 20CIP1</t>
  </si>
  <si>
    <t>Semana 21CIP1</t>
  </si>
  <si>
    <t>Semana 22CIP1</t>
  </si>
  <si>
    <t>Semana 23CIP1</t>
  </si>
  <si>
    <t>Semana 24CIP1</t>
  </si>
  <si>
    <t>Semana 25CIP1</t>
  </si>
  <si>
    <t>Semana 26CIP1</t>
  </si>
  <si>
    <t>Semana 27CIP1</t>
  </si>
  <si>
    <t>Semana 28CIP1</t>
  </si>
  <si>
    <t>Semana 29CIP1</t>
  </si>
  <si>
    <t>Semana 30CIP1</t>
  </si>
  <si>
    <t>Semana 31CIP1</t>
  </si>
  <si>
    <t>Semana 32CIP1</t>
  </si>
  <si>
    <t>Semana 33CIP1</t>
  </si>
  <si>
    <t>Semana 34CIP1</t>
  </si>
  <si>
    <t>Semana 35CIP1</t>
  </si>
  <si>
    <t>Semana 36CIP1</t>
  </si>
  <si>
    <t>Semana 37CIP1</t>
  </si>
  <si>
    <t>Semana 38CIP1</t>
  </si>
  <si>
    <t>Semana 39CIP1</t>
  </si>
  <si>
    <t>Semana 40CIP1</t>
  </si>
  <si>
    <t>Semana 41CIP1</t>
  </si>
  <si>
    <t>Semana 42CIP1</t>
  </si>
  <si>
    <t>Semana 43CIP1</t>
  </si>
  <si>
    <t>Semana 44CIP1</t>
  </si>
  <si>
    <t>Semana 45CIP1</t>
  </si>
  <si>
    <t>Semana 46CIP1</t>
  </si>
  <si>
    <t>Semana 47CIP1</t>
  </si>
  <si>
    <t>Semana 48CIP1</t>
  </si>
  <si>
    <t>Feriados 2024</t>
  </si>
  <si>
    <t>Feriados 2025</t>
  </si>
  <si>
    <t>CIP2</t>
  </si>
  <si>
    <t>Semana 01CIP2</t>
  </si>
  <si>
    <t>Semana 02CIP2</t>
  </si>
  <si>
    <t>Semana 03CIP2</t>
  </si>
  <si>
    <t>Semana 04CIP2</t>
  </si>
  <si>
    <t>Semana 05CIP2</t>
  </si>
  <si>
    <t>Semana 06CIP2</t>
  </si>
  <si>
    <t>Semana 07CIP2</t>
  </si>
  <si>
    <t>Semana 08CIP2</t>
  </si>
  <si>
    <t>Semana 09CIP2</t>
  </si>
  <si>
    <t>Semana 10CIP2</t>
  </si>
  <si>
    <t>Semana 11CIP2</t>
  </si>
  <si>
    <t>Semana 12CIP2</t>
  </si>
  <si>
    <t>Semana 13CIP2</t>
  </si>
  <si>
    <t>Semana 14CIP2</t>
  </si>
  <si>
    <t>Semana 15CIP2</t>
  </si>
  <si>
    <t>Semana 16CIP2</t>
  </si>
  <si>
    <t>Semana 17CIP2</t>
  </si>
  <si>
    <t>Semana 18CIP2</t>
  </si>
  <si>
    <t>Semana 19CIP2</t>
  </si>
  <si>
    <t>Semana 20CIP2</t>
  </si>
  <si>
    <t>Semana 21CIP2</t>
  </si>
  <si>
    <t>Semana 22CIP2</t>
  </si>
  <si>
    <t>Semana 23CIP2</t>
  </si>
  <si>
    <t>Semana 24CIP2</t>
  </si>
  <si>
    <t>Semana 25CIP2</t>
  </si>
  <si>
    <t>Semana 26CIP2</t>
  </si>
  <si>
    <t>Semana 27CIP2</t>
  </si>
  <si>
    <t>Semana 28CIP2</t>
  </si>
  <si>
    <t>Semana 29CIP2</t>
  </si>
  <si>
    <t>Semana 30CIP2</t>
  </si>
  <si>
    <t>Semana 31CIP2</t>
  </si>
  <si>
    <t>Semana 32CIP2</t>
  </si>
  <si>
    <t>Semana 33CIP2</t>
  </si>
  <si>
    <t>Semana 34CIP2</t>
  </si>
  <si>
    <t>Semana 35CIP2</t>
  </si>
  <si>
    <t>Semana 36CIP2</t>
  </si>
  <si>
    <t>Semana 37CIP2</t>
  </si>
  <si>
    <t>Semana 38CIP2</t>
  </si>
  <si>
    <t>Semana 39CIP2</t>
  </si>
  <si>
    <t>Semana 40CIP2</t>
  </si>
  <si>
    <t>Semana 41CIP2</t>
  </si>
  <si>
    <t>Semana 42CIP2</t>
  </si>
  <si>
    <t>Semana 43CIP2</t>
  </si>
  <si>
    <t>Semana 44CIP2</t>
  </si>
  <si>
    <t>Semana 45CIP2</t>
  </si>
  <si>
    <t>Semana 46CIP2</t>
  </si>
  <si>
    <t>Semana 47CIP2</t>
  </si>
  <si>
    <t>Semana 48CIP2</t>
  </si>
  <si>
    <t>jvargasv</t>
  </si>
  <si>
    <t>wbarboza</t>
  </si>
  <si>
    <t>GENDERSON WAINER BARBOZA GRANADOS</t>
  </si>
  <si>
    <t>mvargas</t>
  </si>
  <si>
    <t>MARCIA VARGAS MONGE</t>
  </si>
  <si>
    <t>Columna6</t>
  </si>
  <si>
    <t>PAOLO BLANCO NUÑEZ</t>
  </si>
  <si>
    <t>svalverde</t>
  </si>
  <si>
    <t>SINDY PATRICIA VALVERDE ALVARADO</t>
  </si>
  <si>
    <t>juriarte</t>
  </si>
  <si>
    <t>JIMENA URIARTE WANG</t>
  </si>
  <si>
    <t>muriarte</t>
  </si>
  <si>
    <t>MARIA FERNANDA URIARTE WANG</t>
  </si>
  <si>
    <t>ecascante</t>
  </si>
  <si>
    <t>EMILY JAZMIN CASCANTE MORA</t>
  </si>
  <si>
    <t>ielizondo</t>
  </si>
  <si>
    <t>ISABEL CRISTINA ELIZONDO MEZA</t>
  </si>
  <si>
    <t>nsoto</t>
  </si>
  <si>
    <t>NATHALIE SOTO ARIAS</t>
  </si>
  <si>
    <t>ebarrantes</t>
  </si>
  <si>
    <t>ESTEBAN BARRANTES MORA</t>
  </si>
  <si>
    <t>mpicadoa</t>
  </si>
  <si>
    <t>MASIEL MARISELA PICADO ARIAS</t>
  </si>
  <si>
    <t>jalvarezu</t>
  </si>
  <si>
    <t>JOHN JAIRO ALVAREZ ULATE</t>
  </si>
  <si>
    <t>smorad</t>
  </si>
  <si>
    <t>SHERLYN MORA DELGADO</t>
  </si>
  <si>
    <t>imadrigal</t>
  </si>
  <si>
    <t>MARIO ISAAC MADRIGAL MORA</t>
  </si>
  <si>
    <t>lsolano</t>
  </si>
  <si>
    <t>LUCIANA DE LOS ANGELES SOLANO VARGAS</t>
  </si>
  <si>
    <t>fdarias</t>
  </si>
  <si>
    <t>FREDDY DANILO ARIAS CARRION</t>
  </si>
  <si>
    <t>dmontoya</t>
  </si>
  <si>
    <t>DANIELA MONTOYA MEZA</t>
  </si>
  <si>
    <t>palfaro</t>
  </si>
  <si>
    <t>PRISCILLA MARIA ALFARO CRUZ</t>
  </si>
  <si>
    <t>kfonseca</t>
  </si>
  <si>
    <t>KATHERIN VANESSA FONSECA ESQUIVEL</t>
  </si>
  <si>
    <t>mramirez</t>
  </si>
  <si>
    <t>MELISSA DE LOS ANGELES RAMIREZ VALVERDE</t>
  </si>
  <si>
    <t>gmata</t>
  </si>
  <si>
    <t>GUSTAVO ADOLFO MATA GRANADOS</t>
  </si>
  <si>
    <t>ggarcia</t>
  </si>
  <si>
    <t>GERALDIN JOSE GARCIA VARGAS</t>
  </si>
  <si>
    <t>karaya</t>
  </si>
  <si>
    <t>KEVIN JAVIER ARAYA GRANADOS</t>
  </si>
  <si>
    <t>xalvarado</t>
  </si>
  <si>
    <t>XINIA MARIA ALVARADO RODRIGUEZ</t>
  </si>
  <si>
    <t>gmora</t>
  </si>
  <si>
    <t>GRETTEL DE LOS ANGELES MORA SOLANO</t>
  </si>
  <si>
    <t>aquesada</t>
  </si>
  <si>
    <t>ANGEL DE JESUS QUESADA JIMENEZ</t>
  </si>
  <si>
    <t>bgutierrez</t>
  </si>
  <si>
    <t>BRAYAN JOSUE GUTIERREZ DINARTE</t>
  </si>
  <si>
    <t>mmorap</t>
  </si>
  <si>
    <t>MARCO ALEJANDRO MORA PICADO</t>
  </si>
  <si>
    <t>dhernandezu</t>
  </si>
  <si>
    <t>DILAN DAMIAN HERNANDEZ ULATE</t>
  </si>
  <si>
    <t>ynavarro</t>
  </si>
  <si>
    <t>YORDANY NAVARRO HERNANDEZ</t>
  </si>
  <si>
    <t>nmontiel</t>
  </si>
  <si>
    <t>NOELIA MONTIEL CASTRO</t>
  </si>
  <si>
    <t>grodriguez</t>
  </si>
  <si>
    <t>MARVIN GAMALIEL RODRIGUEZ VARGAS</t>
  </si>
  <si>
    <t>tyou</t>
  </si>
  <si>
    <t>TARIO YOU</t>
  </si>
  <si>
    <t>rmainieri</t>
  </si>
  <si>
    <t>RENATO ANDREY MAINIERI SAENZ</t>
  </si>
  <si>
    <t>fchinchilla</t>
  </si>
  <si>
    <t>FABIAN ANDRES CHINCHILLA BLANCO</t>
  </si>
  <si>
    <t>mcastrog</t>
  </si>
  <si>
    <t>MAYCO ALEXANDER CASTRO GONZALEZ</t>
  </si>
  <si>
    <t>apalacios</t>
  </si>
  <si>
    <t>ANDREY ALONSO PALACIOS ALVAREZ</t>
  </si>
  <si>
    <t>POOL INTEGRACIONES</t>
  </si>
  <si>
    <t>CF-244</t>
  </si>
  <si>
    <t>SOIN Tech Labs - ERP</t>
  </si>
  <si>
    <t>CF-33</t>
  </si>
  <si>
    <t>GESTIÓN SAPIENS</t>
  </si>
  <si>
    <t>CF-34</t>
  </si>
  <si>
    <t>PROYECTOS ESPECIALES</t>
  </si>
  <si>
    <t>ARQ-SOST</t>
  </si>
  <si>
    <t>ARQUITECTOS SOSTENIBILIDAD</t>
  </si>
  <si>
    <t>RQ TDCar</t>
  </si>
  <si>
    <t>CM</t>
  </si>
  <si>
    <t>RQ CrearEmpresa</t>
  </si>
  <si>
    <t>MC</t>
  </si>
  <si>
    <t>RQ MEJ.CON-SWAT</t>
  </si>
  <si>
    <t>Mi</t>
  </si>
  <si>
    <t>RQ DGME</t>
  </si>
  <si>
    <t>PC</t>
  </si>
  <si>
    <t>RQ PORTAL</t>
  </si>
  <si>
    <t>RA</t>
  </si>
  <si>
    <t>RQ INTEL ARTIF</t>
  </si>
  <si>
    <t>RE</t>
  </si>
  <si>
    <t>RQ ERP MSJ</t>
  </si>
  <si>
    <t>RI</t>
  </si>
  <si>
    <t>RQ  ERP KEY/INS</t>
  </si>
  <si>
    <t>RN</t>
  </si>
  <si>
    <t>RQ INSPECCIONES</t>
  </si>
  <si>
    <t>RR</t>
  </si>
  <si>
    <t>RQ Receta Digit</t>
  </si>
  <si>
    <t>RW</t>
  </si>
  <si>
    <t>RQ WHITE LABEL</t>
  </si>
  <si>
    <t>TY</t>
  </si>
  <si>
    <t>RQ Tramitologia</t>
  </si>
  <si>
    <t>Servicios Administrados del ERP Modalidad SAAS - IAFA</t>
  </si>
  <si>
    <t>Soporte, Sost, ActualIzary NR - SW SAPIENS - ADENDA 5</t>
  </si>
  <si>
    <t>2024LY-000001-0018800001</t>
  </si>
  <si>
    <t>Servicio administrado de info-comunicación en la nube del tipo de software</t>
  </si>
  <si>
    <t>742</t>
  </si>
  <si>
    <t>PROY.INT.FIN</t>
  </si>
  <si>
    <t>PROYECTO INTERNO DE FINANCIERO CONTABLE</t>
  </si>
  <si>
    <t>2025PX-000001-0014900001</t>
  </si>
  <si>
    <t>Contratación de servicios de soporte y mantenimiento del sistema ERP de la SUTEL</t>
  </si>
  <si>
    <t>CONT-2-2025</t>
  </si>
  <si>
    <t>PRESTACIÓN DE SERVICIO ADMINISTRADO DE ERP MODELO SAAS PARA CENCINAI - ADENDA 4</t>
  </si>
  <si>
    <t>CONT-8-2024</t>
  </si>
  <si>
    <t>Servicios Administrados del ERP Modalidad SAAS - IAFA - ADENDA 1</t>
  </si>
  <si>
    <t>2024LY-000003-0015499999</t>
  </si>
  <si>
    <t>IMPLEMENTACIÓN DE SOLUCION DE NEGO. EN LA MSJ, BAJO MODELO SaaS</t>
  </si>
  <si>
    <t>CONPC-5541-013-2024</t>
  </si>
  <si>
    <t>PoC DE LA SOLUCION UNITY DE ORACLE</t>
  </si>
  <si>
    <t>CPS-TI-387-2025</t>
  </si>
  <si>
    <t>Actualizacion, Imple. y Oper ERP SAPIENS - SaaS</t>
  </si>
  <si>
    <t>2025PX-000017-0019000001</t>
  </si>
  <si>
    <t>LD-017-2025 CONTRATO SOPORTE PLATAFORMA SOIN SAPIENS</t>
  </si>
  <si>
    <t>2025XE-000003-0015500001</t>
  </si>
  <si>
    <t>Contratación de urgencia del ERP-SIFAT</t>
  </si>
  <si>
    <t>2025XE-000002-0012700001</t>
  </si>
  <si>
    <t>Servicio nube tipo software (SAAS)  CENCINAI</t>
  </si>
  <si>
    <t>C-CC-202508017</t>
  </si>
  <si>
    <t>Conectividad VPN/MPLS nacional con tecnología Metro Ethernet de 50 Mbps</t>
  </si>
  <si>
    <t>C-CC-202508018</t>
  </si>
  <si>
    <t>Servidores virtuales, licencias SPLA, asesoría y soporte técnico</t>
  </si>
  <si>
    <t>2025LD-000054-0008300001</t>
  </si>
  <si>
    <t>Contrato de Soporte SIFA</t>
  </si>
  <si>
    <t>PROCESO ERP (SIF)</t>
  </si>
  <si>
    <t>PROC.PRY-E</t>
  </si>
  <si>
    <t>PROCESO DE PROYECTO ESPECIALES</t>
  </si>
  <si>
    <t>PROC.SAPI</t>
  </si>
  <si>
    <t>GESTIÓN-SAPIENS</t>
  </si>
  <si>
    <t>PROC.POOL</t>
  </si>
  <si>
    <t>POOL DE INTEGRACIONES</t>
  </si>
  <si>
    <t>PROC.PRES</t>
  </si>
  <si>
    <t>PROCESO DE PRESIDENCIA</t>
  </si>
  <si>
    <t>IST.SL</t>
  </si>
  <si>
    <t>Ingeniero De Soporte Técnico</t>
  </si>
  <si>
    <t>SOIN.RH.04</t>
  </si>
  <si>
    <t>HR MANAGER</t>
  </si>
  <si>
    <t>SOIN.RH.05</t>
  </si>
  <si>
    <t>SENIOR RECRUITER</t>
  </si>
  <si>
    <t>SOIN.RH.06</t>
  </si>
  <si>
    <t>GENERALISTA DE RECURSOS HUMANOS</t>
  </si>
  <si>
    <t>DEV.25</t>
  </si>
  <si>
    <t>Intern Software Developer</t>
  </si>
  <si>
    <t>DEV.26</t>
  </si>
  <si>
    <t>Intermediate Software Developer</t>
  </si>
  <si>
    <t>DSGN.01</t>
  </si>
  <si>
    <t>Intermediate Designer</t>
  </si>
  <si>
    <t>DEV.27</t>
  </si>
  <si>
    <t>Senior Mobile Software Developer</t>
  </si>
  <si>
    <t>DEV.28</t>
  </si>
  <si>
    <t>Mid Level Mobile Software Developer</t>
  </si>
  <si>
    <t>ST.MGR</t>
  </si>
  <si>
    <t>SWAT TEAM MANAGER</t>
  </si>
  <si>
    <t>DEV.29</t>
  </si>
  <si>
    <t>JUNIOR MOBILE SOFTWARE DEVELOPER</t>
  </si>
  <si>
    <t>DEV.30</t>
  </si>
  <si>
    <t>Advanced Software Developer</t>
  </si>
  <si>
    <t>DSGN.02</t>
  </si>
  <si>
    <t>Entry Level Designer</t>
  </si>
  <si>
    <t>TPO-SO-3511-X</t>
  </si>
  <si>
    <t>TPO-SO-3501-X</t>
  </si>
  <si>
    <t>TPO-SO-3501-X / TPO-SO-3502-X</t>
  </si>
  <si>
    <t>243-154-CSV-25</t>
  </si>
  <si>
    <t>151-154-SOIN-25</t>
  </si>
  <si>
    <t>GESTIÓN DE SERVICIO AL CLIENTE (CORE) - SOIN ERP 2021-2025</t>
  </si>
  <si>
    <t>TPO-SO-3503-X</t>
  </si>
  <si>
    <t xml:space="preserve">TPO-SO-35203-X	</t>
  </si>
  <si>
    <t>GESTION DE NUEVOS REQUERIMIENTOS e INC SIF POR TICKET</t>
  </si>
  <si>
    <t>501-140-CNV2024</t>
  </si>
  <si>
    <t>Actualizacion Sistema SIFCO - 2024</t>
  </si>
  <si>
    <t>501-152-CNV2024</t>
  </si>
  <si>
    <t>Gestion de nuevos requerimientos Conavi 2024</t>
  </si>
  <si>
    <t>900-154-BNV25</t>
  </si>
  <si>
    <t>151-SOP EXT-24 y 25</t>
  </si>
  <si>
    <t>ACTIVIDADES DE SOPORTE EXTERNO 2024-2025</t>
  </si>
  <si>
    <t>151-BEN Y PERM</t>
  </si>
  <si>
    <t>BENEFICIOS, VAC.  INCAP Y PERMISOS REGULADOS POR POLITICAS</t>
  </si>
  <si>
    <t>501-154-CNV2024</t>
  </si>
  <si>
    <t>SOPORTE (SIFCO) A DEMANDA</t>
  </si>
  <si>
    <t>098-190.2-SENARA</t>
  </si>
  <si>
    <t>PROYECTOS DE IMPLEMENTACIÓN  EN LA NUBE - SENARA</t>
  </si>
  <si>
    <t>851-140-MIGRA-2024</t>
  </si>
  <si>
    <t>151-TAPP-ADM-25</t>
  </si>
  <si>
    <t>ACTIVIDADES ADMINISTRATIVAS DEL EQUIPO DE TAPP-2025</t>
  </si>
  <si>
    <t>051-OPI-ICE-NCP4</t>
  </si>
  <si>
    <t>151-NF-INT-NCP4</t>
  </si>
  <si>
    <t>051-MID-ICE-NCP4</t>
  </si>
  <si>
    <t>151-NF-MD-NCP4</t>
  </si>
  <si>
    <t>151-158- NO-ERP</t>
  </si>
  <si>
    <t>151-156-ROBOT</t>
  </si>
  <si>
    <t>IMPLEMENTACIÓN DE UN ROBOT PARA FINANCIERO CONTABLE</t>
  </si>
  <si>
    <t>151-154-SAPIENS</t>
  </si>
  <si>
    <t>GESTIÓN DE SERVICIO AL CLIENTE (CORE) - SAPIENS</t>
  </si>
  <si>
    <t>807-GSIYS-SOIN</t>
  </si>
  <si>
    <t>GESTIÓN SISTEMAS INTEGRADOS Y SOSTENIBILIDAD</t>
  </si>
  <si>
    <t>151-GSIYS-SOIN-2025</t>
  </si>
  <si>
    <t>151-807-GSIYS</t>
  </si>
  <si>
    <t>151-350-AI</t>
  </si>
  <si>
    <t>PROYECTO DE INTELIGENCIA ARTIFICIAL</t>
  </si>
  <si>
    <t>742-156.1-MSJ</t>
  </si>
  <si>
    <t xml:space="preserve"> IMPLEMENTACIÓN DE SOLUCION DE NEGOCIOS EN LA MSJ, BAJO MODELO SaaS</t>
  </si>
  <si>
    <t>151-350-AI-RECETA</t>
  </si>
  <si>
    <t>PROYECTO DE DESARROLLO INTELIGENCIA ARTIFICIAL RECETA DIGITAL</t>
  </si>
  <si>
    <t>872-156-COOPESA</t>
  </si>
  <si>
    <t>IMPLEMENTACIÓN SAPIENS - SaaS - COOPESA</t>
  </si>
  <si>
    <t>151-350-PORTAL</t>
  </si>
  <si>
    <t>PORTAL DEL COLABORADOR</t>
  </si>
  <si>
    <t>151-INV-BNCR-QA</t>
  </si>
  <si>
    <t>SERVICIOS POR DEMANDA DE COMPONENTES FUNC. Y TEC. REQUERIDOS PARA QA - BNCR</t>
  </si>
  <si>
    <t>151-FIRMADOR-SOIN</t>
  </si>
  <si>
    <t>PROCESO DE IMPLEMENTACIÓN FIRMADOR SOIN</t>
  </si>
  <si>
    <t>579-152-RQ-REDIMED</t>
  </si>
  <si>
    <t>INGENIERIAS PARA REDIMED</t>
  </si>
  <si>
    <t>095-350 CREAR.EMP</t>
  </si>
  <si>
    <t>SOPORTE Y DESARROLLOS PARA CREAR EMPRESA</t>
  </si>
  <si>
    <t>095-350-DGME</t>
  </si>
  <si>
    <t>SOPORTE Y DESARROLLOS PARA DGME</t>
  </si>
  <si>
    <t>095-350-TDcar</t>
  </si>
  <si>
    <t>SOPORTE Y DESARROLLOS PARA TDcar</t>
  </si>
  <si>
    <t>351-MC-SWAT</t>
  </si>
  <si>
    <t>MEJORA CONTINUA DEL EQUIPO SWAT</t>
  </si>
  <si>
    <t>151-351-SWAT</t>
  </si>
  <si>
    <t>352-SWAT</t>
  </si>
  <si>
    <t>CAPACITACIÓN DEL EQUIPO SWAT</t>
  </si>
  <si>
    <t>151-352-SWAT</t>
  </si>
  <si>
    <t>353-SWAT</t>
  </si>
  <si>
    <t>RECLUTAMIENTO DEL EQUIPO SWAT</t>
  </si>
  <si>
    <t>151-353-SWAT</t>
  </si>
  <si>
    <t>151-350-NV.OP.SWAT</t>
  </si>
  <si>
    <t>NUEVAS OPORTUNIDADES DEL EQUIPO SWAT</t>
  </si>
  <si>
    <t>151-706-CAP-SALUD</t>
  </si>
  <si>
    <t>CAPACITACIONES PROCESO SALUD</t>
  </si>
  <si>
    <t>742-152-GNR-MSJ</t>
  </si>
  <si>
    <t>GESTION DE NUEVO REQUERIMIENTOS MSJ</t>
  </si>
  <si>
    <t>000-PMO-PRUEBAS NUBE</t>
  </si>
  <si>
    <t>PRUEBA DE MGRACIÓN A LA NUBE</t>
  </si>
  <si>
    <t>0-preueba</t>
  </si>
  <si>
    <t>davda</t>
  </si>
  <si>
    <t>500.1</t>
  </si>
  <si>
    <t>ACTIVIDADES DEL EQUIPO DE RELEASE MANAGMENT</t>
  </si>
  <si>
    <t>/0014</t>
  </si>
  <si>
    <t>Sop_Infraestruc</t>
  </si>
  <si>
    <t>Sop_Liberacione</t>
  </si>
  <si>
    <t>1</t>
  </si>
  <si>
    <t>LIBERACIÓN DE SOFTWARE Y DEPLOYMENTS</t>
  </si>
  <si>
    <t>2</t>
  </si>
  <si>
    <t>ADMINISTRACIÓN Y MANTENIMIENTO DE INFRAESTRUCTURA</t>
  </si>
  <si>
    <t>8</t>
  </si>
  <si>
    <t>DOCUMENTACIÓN Y REUNIONES</t>
  </si>
  <si>
    <t>600_QA</t>
  </si>
  <si>
    <t xml:space="preserve"> Tareas asociadas a Equipo QA Corporativo</t>
  </si>
  <si>
    <t>3</t>
  </si>
  <si>
    <t>4</t>
  </si>
  <si>
    <t>Ejecución de Protocolo de Pruebas</t>
  </si>
  <si>
    <t>Inst_release_li</t>
  </si>
  <si>
    <t>/0018</t>
  </si>
  <si>
    <t>Inst_rfc_lib</t>
  </si>
  <si>
    <t>Mante_inf</t>
  </si>
  <si>
    <t>Monit_inf</t>
  </si>
  <si>
    <t>Reu_Equipo</t>
  </si>
  <si>
    <t>/0018/0002</t>
  </si>
  <si>
    <t>/0018/0004</t>
  </si>
  <si>
    <t>/0018/0016</t>
  </si>
  <si>
    <t>5</t>
  </si>
  <si>
    <t>500.1_RM</t>
  </si>
  <si>
    <t>/0020</t>
  </si>
  <si>
    <t>Imp_cambio_inf</t>
  </si>
  <si>
    <t>/0020/0002</t>
  </si>
  <si>
    <t>/0020/0004</t>
  </si>
  <si>
    <t>202_REDIMED</t>
  </si>
  <si>
    <t>ACTIVIDADES ASOCIADAS A IMPLEMENTACIÓN - REDIMED</t>
  </si>
  <si>
    <t>IMP.SER</t>
  </si>
  <si>
    <t>IMPLEMENTACIÓN DEL SERVICIO</t>
  </si>
  <si>
    <t>/0018/0010</t>
  </si>
  <si>
    <t>11</t>
  </si>
  <si>
    <t>SEGUIMIENTO AL CAMBIO Y ACOMPAÑAMIENTO</t>
  </si>
  <si>
    <t>/0018/0010/0022</t>
  </si>
  <si>
    <t>/0026</t>
  </si>
  <si>
    <t>Sop_BaseDatos</t>
  </si>
  <si>
    <t>/0026/0004</t>
  </si>
  <si>
    <t>RM INF Id.Monit_inf:_x000D_
1. Revisión de respaldos en servidor BARMAN_x000D_
2. Chequeo de estado de conexiones de EDB en ambiente de Producción en los servidores dba1, dba2 y dba3._x000D_
3. Revisión de log's de EDB y PGPool en los servidores dba1, dba2 y dba3._x000D_
4. Chequeo del estado del EBD's y PGPool._x000D_
5. Tabulación de consumo de espacio de archivos WAL. _x000D_
6. Tabulación de consumo de espacio de la BD estadísticas y images_workflow.</t>
  </si>
  <si>
    <t>GESTIÓN DE BASES DE DATOS</t>
  </si>
  <si>
    <t>/0026/0006</t>
  </si>
  <si>
    <t>6</t>
  </si>
  <si>
    <t>Imp_nueva_auto</t>
  </si>
  <si>
    <t>lcordoba</t>
  </si>
  <si>
    <t>LAURA REBECA CORDOBA FERNANDEZ</t>
  </si>
  <si>
    <t>SEGURIDAD</t>
  </si>
  <si>
    <t>AUTOMATIZACIÓN</t>
  </si>
  <si>
    <t>ATENCION DE INCIDENCIAS</t>
  </si>
  <si>
    <t>/0020/0016</t>
  </si>
  <si>
    <t>RM INF Id.Monit_inf:_x000D_
1. Revisión de respaldos en servidor BARMAN_x000D_
2. Chequeo de estado de conexiones de EDB en ambiente de Producción en los servidores dba1, dba2 y dba3. _x000D_
3. Revisión de log's de EDB y PGPool en los servidores dba1, dba2 y dba3._x000D_
4. Chequeo del estado del EBD's y PGPool._x000D_
5. Tabulación de consumo de espacio de archivos WAL. _x000D_
6. Tabulación de consumo de espacio de la BD estadísticas y images_workflow.</t>
  </si>
  <si>
    <t>SOIN-SIF</t>
  </si>
  <si>
    <t>Equipo del SIF</t>
  </si>
  <si>
    <t>A.GI.BRM</t>
  </si>
  <si>
    <t>Accesos GI BRM</t>
  </si>
  <si>
    <t>SO-3511-x</t>
  </si>
  <si>
    <t>Accesos TPO-SO-3511-x  - Tarea 4</t>
  </si>
  <si>
    <t>Accesos TPO-SO-3511-x  - Tarea 1</t>
  </si>
  <si>
    <t>SO-3507-x</t>
  </si>
  <si>
    <t>Accesos TPO-SO-3507-x</t>
  </si>
  <si>
    <t>SO-3512-x</t>
  </si>
  <si>
    <t>Accesos TPO-SO-3512-x</t>
  </si>
  <si>
    <t>KolbiTapp</t>
  </si>
  <si>
    <t>KolbiTapp Equipo SWAT</t>
  </si>
  <si>
    <t>SO-3506-X</t>
  </si>
  <si>
    <t>Acceso TPO-SO-3506-X</t>
  </si>
  <si>
    <t>TPOsANALIS</t>
  </si>
  <si>
    <t>Acceso a Análisis de TPOs</t>
  </si>
  <si>
    <t>MS</t>
  </si>
  <si>
    <t>Mesa de Servicio Sostenibilidad</t>
  </si>
  <si>
    <t>SOIN-SAPI</t>
  </si>
  <si>
    <t>Equipo de SAPIENS</t>
  </si>
  <si>
    <t>CF-22</t>
  </si>
  <si>
    <t>ERP-SIF</t>
  </si>
  <si>
    <t>218-154-S911-SIF</t>
  </si>
  <si>
    <t>GESTIÓN DE SERVICIO AL CLIENTE  - S911- SIF</t>
  </si>
  <si>
    <t>871-152-CTP-SIF</t>
  </si>
  <si>
    <t>GESTIÓN DE NUEVOS REQUERIMIENTOS - CTP-SIF</t>
  </si>
  <si>
    <t>600-154-FND-SIF</t>
  </si>
  <si>
    <t>Gestión de Servicios al Cliente (AMPARADO A CONTRATO) - FUNDATEC - SIF</t>
  </si>
  <si>
    <t>600-152-FND-SIF</t>
  </si>
  <si>
    <t>GESTION DE NUEVOS REQUERIMIENTOS - FUNDATEC 2018 - SIF</t>
  </si>
  <si>
    <t>095-152-SENARA-SIF</t>
  </si>
  <si>
    <t>GESTION DE NUEVOS REQUERIMIENTOS - SENARA - SIF</t>
  </si>
  <si>
    <t>095-154-SENARA SIF</t>
  </si>
  <si>
    <t>GESTIÓN DE SERVICIO AL CLIENTE  - SENARA - SIF</t>
  </si>
  <si>
    <t>Soporte, Nuevo Requerimiento, actualizacion SAPIENS - Purdy Motor</t>
  </si>
  <si>
    <t>866-152-SUTEL23-SIF</t>
  </si>
  <si>
    <t>GESTION DE NUEVOS REQUERIMIENTOS - SUTEL - SIF</t>
  </si>
  <si>
    <t>866-154-SUTEL-SIF</t>
  </si>
  <si>
    <t>SOPORTE, MANTE, ERP TELEFOMUNICACION SUTEL-SIF</t>
  </si>
  <si>
    <t>001-152-ARESEP-SIF</t>
  </si>
  <si>
    <t>GESTION DE NUEVOS REQUERIMIENTOS - ARESEP-SIF</t>
  </si>
  <si>
    <t>218-152-S911-22-SIF</t>
  </si>
  <si>
    <t>GESTION DE NUEVOS REQUERIMIENTOS - 911 Año 2022 SIF</t>
  </si>
  <si>
    <t>024-152-DGAC-23-SIF</t>
  </si>
  <si>
    <t>GESTION DE NUEVOS REQUERIMIENTOS - DGAC - SIF</t>
  </si>
  <si>
    <t>024-154-DGAC-SIF</t>
  </si>
  <si>
    <t>001-154-ARESEP-SIF</t>
  </si>
  <si>
    <t>151-LICBENF-COR-2025</t>
  </si>
  <si>
    <t>LICENCIAS Y BENEFICIOS CORPORATIVOS 2025</t>
  </si>
  <si>
    <t>BI-178-GNR 25-26</t>
  </si>
  <si>
    <t xml:space="preserve">Actividades administrativas y Gerenciales del Equipo de BI 2025-2026	</t>
  </si>
  <si>
    <t>BI-NF</t>
  </si>
  <si>
    <t>ACTIVIDADES NO FACTURABLES EQUIPO BI - 2025 - 2026</t>
  </si>
  <si>
    <t>097-152-PANI-SIF</t>
  </si>
  <si>
    <t>GESTION DE NUEVOS REQUERIMIENTOS - PANI - SIF</t>
  </si>
  <si>
    <t>097-154-PANI-SIF</t>
  </si>
  <si>
    <t>GESTION DE SERVICIO AL CLIENTE - PANI - SIF</t>
  </si>
  <si>
    <t>018-154-BNVAL-SAPI</t>
  </si>
  <si>
    <t>GESTIÓN DE SERVICIO AL CLIENTE  BNVALORES - SAPIENS</t>
  </si>
  <si>
    <t>095-154-INDER SIF</t>
  </si>
  <si>
    <t>GESTIÓN DE SERVICIO AL CLIENTE  SIF - INDER</t>
  </si>
  <si>
    <t>873-152-CENCINAI-SIF</t>
  </si>
  <si>
    <t>Servicio administrado de Sistema de Inf. en Nube, tipo software (SAAS)-SIF</t>
  </si>
  <si>
    <t>001-PMO-PRUEBAS NUBE</t>
  </si>
  <si>
    <t>Segunda prueba nube</t>
  </si>
  <si>
    <t>151-PMO-PRACT</t>
  </si>
  <si>
    <t>TAREAS DE PRACTICANTES</t>
  </si>
  <si>
    <t>151-158-ETB</t>
  </si>
  <si>
    <t>PROPUESTA DE OPORTUNIDAD ETB COLOMBIA</t>
  </si>
  <si>
    <t>874-152-IAFA-SIF</t>
  </si>
  <si>
    <t>Adquisición del Sistema de Gestión de Recursos y Planificación IAFA - SIF</t>
  </si>
  <si>
    <t>874-154-IAFA</t>
  </si>
  <si>
    <t>151-177-OTOBO</t>
  </si>
  <si>
    <t>GESTIÓN ADMINISTRATIVA Y FUNCIONAL DE OTOBO</t>
  </si>
  <si>
    <t>531-BNCR-MICROSERVIC</t>
  </si>
  <si>
    <t>PROYECTO BNCR - MICROSERVICIOS - TAREAS PRELIMINARES</t>
  </si>
  <si>
    <t>051-NF-TRANS-CIP3</t>
  </si>
  <si>
    <t>TAREAS TRANSVERSALES NO FACTURABLES DE SOSTENIBILIDAD - CIP3</t>
  </si>
  <si>
    <t>051-SOS-CIP3</t>
  </si>
  <si>
    <t>051-SOS-NF-CIP3</t>
  </si>
  <si>
    <t>ACTIVIDADES ASOCIADAS AL EQUIPO DE SOSTENIBILIDAD CIP3 - NO FACTURABLES</t>
  </si>
  <si>
    <t>243-154-CSV-25-26</t>
  </si>
  <si>
    <t>SOPORTE A DEMANDA - COOPESERVIDORES</t>
  </si>
  <si>
    <t>742-154-MSJ-P1-SIF</t>
  </si>
  <si>
    <t>GESTIÓN DE SERVICIO AL CLIENTE  SIF - MSJ - PRORROGA 1 - SIF</t>
  </si>
  <si>
    <t>151-LICBENF-COR-2026</t>
  </si>
  <si>
    <t>LICENCIAS Y BENEFICIOS CORPORATIVOS 2026</t>
  </si>
  <si>
    <t>SOIN-ADM-2026</t>
  </si>
  <si>
    <t>TAREAS ADMINISTRATIVAS SOIN 2026</t>
  </si>
  <si>
    <t>051-POOL-INTEG-26</t>
  </si>
  <si>
    <t>TPO-SO-4000-1</t>
  </si>
  <si>
    <t>151-350-Dicomizer</t>
  </si>
  <si>
    <t>PROYECTO DICOMIZER</t>
  </si>
  <si>
    <t>151-SIF-ADM-2026</t>
  </si>
  <si>
    <t>TAREAS ADMINISTRATIVAS SIF 2026</t>
  </si>
  <si>
    <t>151-RM-CORP2026</t>
  </si>
  <si>
    <t>TAREAS ASOCIADAS AL EQUIPO RM CORPORATIVO 2026</t>
  </si>
  <si>
    <t>151-PMO-CORP2026</t>
  </si>
  <si>
    <t>SERVICIOS INTERNOS PMO CORPORATIVA 2026</t>
  </si>
  <si>
    <t>151-SAPI-ADM-2026</t>
  </si>
  <si>
    <t>TAREAS ADMINISTRATIVAS SAPIENS 2026</t>
  </si>
  <si>
    <t>151-158-N.O.-SIF</t>
  </si>
  <si>
    <t>TAREAS ASOCIADAS A NUEVAS OPORTUNIDADES - SIF</t>
  </si>
  <si>
    <t>151-158-N.O.-SAPIENS</t>
  </si>
  <si>
    <t>TAREAS ASOCIADAS A NUEVAS OPORTUNIDADES - SAPIENS</t>
  </si>
  <si>
    <t>151-154-SOIN-SIF-26</t>
  </si>
  <si>
    <t>GESTION DE SERVICIO AL CLIENTE - SIF SOIN</t>
  </si>
  <si>
    <t>151-154-SOIN-SAPI-26</t>
  </si>
  <si>
    <t>GESTION DE SERVICIO AL CLIENTE - SAPIENS SOIN</t>
  </si>
  <si>
    <t>451-BNCR--ORACLE</t>
  </si>
  <si>
    <t>MANTENIMIENTO, SOPORTE, DESARROLLO PRODUCTOS ORACLE</t>
  </si>
  <si>
    <t>151-GRL-SWAT-2026</t>
  </si>
  <si>
    <t>ACTIVIDADES GENERALES DEL EQUIPO SWAT 2026</t>
  </si>
  <si>
    <t>151-250-CUST-2026</t>
  </si>
  <si>
    <t>ACTIVIDADES DEL PROCESO DE CUSTOMER SUCCESS - 2026</t>
  </si>
  <si>
    <t>151-QA-CORP2026</t>
  </si>
  <si>
    <t xml:space="preserve"> TAREAS ASOCIADAS AL EQUIPO QA CORPORATIVO 2026</t>
  </si>
  <si>
    <t>001-152-ARESEP-SAPI</t>
  </si>
  <si>
    <t>GESTION DE NUEVOS REQUERIMIENTOS - ARESEP-SAPIENS</t>
  </si>
  <si>
    <t>001-154-ARESEP-SAPI</t>
  </si>
  <si>
    <t>GESTIÓN DE SERVICIO AL CLIENTE  - ARESEP - SAPIENS</t>
  </si>
  <si>
    <t>873-152-CENCINAI-SAP</t>
  </si>
  <si>
    <t>Servicio administrado de Sistema de Inf. en Nube, tipo software (SAAS)-SAPI</t>
  </si>
  <si>
    <t>873-154- CENCINAI-SF</t>
  </si>
  <si>
    <t>GESTION DE SERVICIO AL CLIENTE CENCINAI - SIF</t>
  </si>
  <si>
    <t>873-154- CENCINAI-SP</t>
  </si>
  <si>
    <t>GESTION DE SERVICIO AL CLIENTE CENCINAI - SAPIENS</t>
  </si>
  <si>
    <t>600-152-FND-SAP</t>
  </si>
  <si>
    <t>GESTION DE NUEVOS REQUERIMIENTOS - FUNDATEC - SAPIENS</t>
  </si>
  <si>
    <t>600-154-FND-SAPI</t>
  </si>
  <si>
    <t>GESTION DE SERVICIO AL CLIENTE FUNDATEC- SAPIENS</t>
  </si>
  <si>
    <t>095-154-INDER-SAPI</t>
  </si>
  <si>
    <t>GESTION DE SERVICIO AL CLIENTE INDER - SAPIENS</t>
  </si>
  <si>
    <t>742-152-SIF-MSJ-P1</t>
  </si>
  <si>
    <t>GESTION DE NUEVOS REQUERIMIENTOS - MSJ-P1-SIF</t>
  </si>
  <si>
    <t>742-152-SAP-MSJ-P1</t>
  </si>
  <si>
    <t>GESTION DE NUEVOS REQUERIMIENTOS - MSJ-P1-SAPIENS</t>
  </si>
  <si>
    <t>742-154-MSJ-P1-SAPI</t>
  </si>
  <si>
    <t>GESTION DE SERVICIO AL CLIENTE MSJ- SAPIENS</t>
  </si>
  <si>
    <t>097-152-PANI-SAPIENS</t>
  </si>
  <si>
    <t>GESTION DE NUEVOS REQUERIMIENTOS - PANI - SAPIENS</t>
  </si>
  <si>
    <t>097-154-PANI-SAPIENS</t>
  </si>
  <si>
    <t>GESTION DE SERVICIO AL CLIENTE PANI- SAPIENS</t>
  </si>
  <si>
    <t>218-152-S911-SAPIENS</t>
  </si>
  <si>
    <t>GESTION DE NUEVOS REQUERIMIENTOS - 911 - SAPIENS</t>
  </si>
  <si>
    <t>218-154-S911-SAPI</t>
  </si>
  <si>
    <t>GESTIÓN DE SERVICIO AL CLIENTE  - S911- SAPIENS</t>
  </si>
  <si>
    <t>095-152-SENARA-SAPI</t>
  </si>
  <si>
    <t>GESTION DE NUEVOS REQUERIMIENTOS - SENARA - SAPIENS</t>
  </si>
  <si>
    <t>095-154-SENARA-SAPI</t>
  </si>
  <si>
    <t>GESTIÓN DE SERVICIO AL CLIENTE  - SENARA - SAPIENS</t>
  </si>
  <si>
    <t>866-154-SUTEL-SAPI</t>
  </si>
  <si>
    <t>GESTIÓN DE SERVICIO AL CLIENTE  - SUTEL - SAPIENS</t>
  </si>
  <si>
    <t>TPO-SO-4000-2</t>
  </si>
  <si>
    <t>095-152-INDER-SIF</t>
  </si>
  <si>
    <t>ATENCION DE NUEVOS REQUERIMIENTOS</t>
  </si>
  <si>
    <t>051-MID-ICE-NCP5</t>
  </si>
  <si>
    <t>151-NF-MD-NCP5</t>
  </si>
  <si>
    <t>051-OPI-ICE-NCP5</t>
  </si>
  <si>
    <t>151-NF-INT-NCP5</t>
  </si>
  <si>
    <t>151-SOP.INT-2026</t>
  </si>
  <si>
    <t>ACTIVIDADES AREA SOPORTE INTERNO 2026</t>
  </si>
  <si>
    <t>151-PROCOMER</t>
  </si>
  <si>
    <t>TAREAS PRELIMINARES - PROYECTO PROCOMER</t>
  </si>
  <si>
    <t>151-350-ORBIT</t>
  </si>
  <si>
    <t>PROYECTO ORBIT</t>
  </si>
  <si>
    <t>RQ BUS INTEROP</t>
  </si>
  <si>
    <t>RC</t>
  </si>
  <si>
    <t>RQ DICOMIZER</t>
  </si>
  <si>
    <t>WS</t>
  </si>
  <si>
    <t>RQ SWSOIN</t>
  </si>
  <si>
    <t>CONT-001-2019</t>
  </si>
  <si>
    <t>PROY-INT.-SIF</t>
  </si>
  <si>
    <t>PROYECTOS INTERNOS DE PROCESO SIF</t>
  </si>
  <si>
    <t>GSCR-SOINCR-2025-01</t>
  </si>
  <si>
    <t>Servicios de garantía, mantenimiento preventivo y soporte técnico para el sistem</t>
  </si>
  <si>
    <t>CONT-001-2025</t>
  </si>
  <si>
    <t>IMPLEMENTACIÓN DE SOLUCION DE NEGOCIOS MSJ</t>
  </si>
  <si>
    <t>NC-SA-06-25 - P</t>
  </si>
  <si>
    <t>Licencias ColdFusion</t>
  </si>
  <si>
    <t>C-CC-202508017 - P</t>
  </si>
  <si>
    <t>C-CC-202508018 - P</t>
  </si>
  <si>
    <t>CNX-INTL-SA-03-25 - P</t>
  </si>
  <si>
    <t>Acceso a plataforma para evaluación de posibles oportunidades</t>
  </si>
  <si>
    <t>OHS-SRL-06-204 - P</t>
  </si>
  <si>
    <t>Planes de Salud Ocupacional, Evaluaciones de Riesgos, Planes de Emergencias</t>
  </si>
  <si>
    <t>01zero-03-25 - P</t>
  </si>
  <si>
    <t>Snyk Code Security Solution - Enterprise</t>
  </si>
  <si>
    <t>BAC-05-25 - P</t>
  </si>
  <si>
    <t>Servicios financieros</t>
  </si>
  <si>
    <t>CATHAY-01-25 - P</t>
  </si>
  <si>
    <t>Linea de credito</t>
  </si>
  <si>
    <t>DAVIVIENDA-03-25 - P</t>
  </si>
  <si>
    <t>GT-10-25 - P</t>
  </si>
  <si>
    <t>Accesoria fiscal</t>
  </si>
  <si>
    <t>KPMG-09-25 - P</t>
  </si>
  <si>
    <t>Servicios de auditoría de los estados financieros</t>
  </si>
  <si>
    <t>GSCR-SOINCR-2025-01 - P</t>
  </si>
  <si>
    <t>Servicios de garantía, mantenimiento preventivo y soporte técnico (OTOBO)</t>
  </si>
  <si>
    <t>ICE-06-24 - P</t>
  </si>
  <si>
    <t>Servicios de Telecomunicaciones e Internet</t>
  </si>
  <si>
    <t>IESSA-10-24 - P</t>
  </si>
  <si>
    <t>Licencias Office, Suscricpión Mensual</t>
  </si>
  <si>
    <t>RH-TELECOM-11-22 - P</t>
  </si>
  <si>
    <t>Contrato Internet Corporativo</t>
  </si>
  <si>
    <t>FIG-03-16-P</t>
  </si>
  <si>
    <t>Alquiler Piso 02 - 460,36 m2</t>
  </si>
  <si>
    <t>FIG-03-17-P</t>
  </si>
  <si>
    <t>Alquiler Piso 02 - 127,00 m2</t>
  </si>
  <si>
    <t>FIG-10-19-P</t>
  </si>
  <si>
    <t>Sotano 1 - 31,50 m2</t>
  </si>
  <si>
    <t>FIG-09-16-P</t>
  </si>
  <si>
    <t>Piso 11 - 12,00 m2</t>
  </si>
  <si>
    <t>FIG-10-25-P</t>
  </si>
  <si>
    <t>Espacios de Parqueo</t>
  </si>
  <si>
    <t>SC-02-25 - P</t>
  </si>
  <si>
    <t>Servicios de mantenimiento preventivo y correctivo</t>
  </si>
  <si>
    <t>SA-02-18-P</t>
  </si>
  <si>
    <t>Servicio de Mantenimiento, limpieza, mensajería y chofer</t>
  </si>
  <si>
    <t>CR-OTC-24-659-A</t>
  </si>
  <si>
    <t>Auditorías de tercera parte conforme a la norma ISO 27001:2022</t>
  </si>
  <si>
    <t>SEAC-03-25 - P</t>
  </si>
  <si>
    <t>Servicios de auditoría interna normas ISO 9001 e ISO 14064</t>
  </si>
  <si>
    <t>CESA-06-21 - P</t>
  </si>
  <si>
    <t>Solución de Servicio Administrado la integración y gestión de imágenes médicas</t>
  </si>
  <si>
    <t>NC-12-21 - P</t>
  </si>
  <si>
    <t>Sistema de información radiológica</t>
  </si>
  <si>
    <t>NCI-02-22 - P</t>
  </si>
  <si>
    <t>Implementación del software Dragon Medical Direct en hospitales y clínicas costa</t>
  </si>
  <si>
    <t>SHD-08-22 - P</t>
  </si>
  <si>
    <t>Procesamiento de imagenes para proyecto de REDIMED.</t>
  </si>
  <si>
    <t>SC-01-22 - P</t>
  </si>
  <si>
    <t>Servicio de soporte de lo que ofrece Hopla</t>
  </si>
  <si>
    <t>2025XE-000001-0010400001</t>
  </si>
  <si>
    <t>Adquisición del Sistema de Gestión de Recursos y Planificación (ERP)</t>
  </si>
  <si>
    <t>CONT-002-2025</t>
  </si>
  <si>
    <t>CONTRATO DE SERVICIO PARA EL SOPORTE PARA EL SISTEMA SOIN -SAPIENS EN OPERACIÓN</t>
  </si>
  <si>
    <t>GSG-11-17-P</t>
  </si>
  <si>
    <t>Saas (sistema o software administrado, suscripción en línea)</t>
  </si>
  <si>
    <t>CSV-01112025</t>
  </si>
  <si>
    <t>SERVICIOS DE SOPORTE DE SOFTWARE A COOPESERVIDORES</t>
  </si>
  <si>
    <t>PROY-INT.-SAPI</t>
  </si>
  <si>
    <t>PROYECTOS INTERNOS DE PROCESOS SAPIENS</t>
  </si>
  <si>
    <t>RECLUTADOR</t>
  </si>
  <si>
    <t>DEV.31</t>
  </si>
  <si>
    <t>Software Developer</t>
  </si>
  <si>
    <t>QA.10</t>
  </si>
  <si>
    <t>Junior QA Manual Tester</t>
  </si>
  <si>
    <t>TAPP.01</t>
  </si>
  <si>
    <t>Customer Specialist Kolbi</t>
  </si>
  <si>
    <t>BI.01</t>
  </si>
  <si>
    <t>Data Scientist</t>
  </si>
  <si>
    <t>johanna</t>
  </si>
  <si>
    <t>fobando</t>
  </si>
  <si>
    <t>FERGIE OBANDO ACOSTA</t>
  </si>
  <si>
    <t>kaleman</t>
  </si>
  <si>
    <t>KISLEV BITIA ALEMAN FUNES</t>
  </si>
  <si>
    <t>knavarro</t>
  </si>
  <si>
    <t>KENNETH YOSTIN NAVARRO PEREZ</t>
  </si>
  <si>
    <t>sjimenez</t>
  </si>
  <si>
    <t>SKARLETH ALEXA JIMENEZ MORA</t>
  </si>
  <si>
    <t>kcruz</t>
  </si>
  <si>
    <t>KERLIN FERNANDA CRUZ BLAS</t>
  </si>
  <si>
    <t>njocampo</t>
  </si>
  <si>
    <t>NIGEL JAREED OCAMPO HERNANDEZ</t>
  </si>
  <si>
    <t>dcastro</t>
  </si>
  <si>
    <t>DANIELA CASTRO UREÑA</t>
  </si>
  <si>
    <t>jacastro</t>
  </si>
  <si>
    <t>JULIAN ANTONIO CASTRO GOMEZ</t>
  </si>
  <si>
    <t>julian</t>
  </si>
  <si>
    <t>ejrodriguez</t>
  </si>
  <si>
    <t>ERVIN JOSE RODRIGUEZ VILLANUEVA</t>
  </si>
  <si>
    <t>jjimenezal</t>
  </si>
  <si>
    <t>JIMENA JIMENEZ ALFARO</t>
  </si>
  <si>
    <t>brosales</t>
  </si>
  <si>
    <t>BRAYAN STANLEY ROSALES PEREZ</t>
  </si>
  <si>
    <t>ajbrenes</t>
  </si>
  <si>
    <t>ALEXANDER DE JESUS BRENES GARITA</t>
  </si>
  <si>
    <t>ncarmona</t>
  </si>
  <si>
    <t>NOYLIN MARIA CARMONA GUADAMUZ</t>
  </si>
  <si>
    <t>pruebaext</t>
  </si>
  <si>
    <t>PRUEBA USUARIO EPERSOL</t>
  </si>
  <si>
    <t>isanchezg063</t>
  </si>
  <si>
    <t>IVETTE PRUEBA SANCHEZ GARCIA</t>
  </si>
  <si>
    <t>kmiranda</t>
  </si>
  <si>
    <t>KEVIN STEVEN MIRANDA PRENDAS</t>
  </si>
  <si>
    <t>marguedasd</t>
  </si>
  <si>
    <t>MELANNIE ARGUEDAS DELGADO</t>
  </si>
  <si>
    <t>dorias</t>
  </si>
  <si>
    <t>LUIS DIEGO ORIAS AGUILAR</t>
  </si>
  <si>
    <t>earaya</t>
  </si>
  <si>
    <t>KEVIN EMILIO ARAYA CASTILLO</t>
  </si>
  <si>
    <t>kfallas</t>
  </si>
  <si>
    <t>KENDALL DAVID FALLAS MENA</t>
  </si>
  <si>
    <t>7</t>
  </si>
  <si>
    <t>Sop_Lib</t>
  </si>
  <si>
    <t>Mante_auto</t>
  </si>
  <si>
    <t>/0018/0006</t>
  </si>
  <si>
    <t>/0018/0012</t>
  </si>
  <si>
    <t>SOPORTE VARIO</t>
  </si>
  <si>
    <t>/0010</t>
  </si>
  <si>
    <t>/0010/0008</t>
  </si>
  <si>
    <t>/0020/0014</t>
  </si>
  <si>
    <t>Mante_seg</t>
  </si>
  <si>
    <t>Corr_incidentes</t>
  </si>
  <si>
    <t>Estimación de Ejecución de Pruebas</t>
  </si>
  <si>
    <t>/0010/0004</t>
  </si>
  <si>
    <t>/0026/0010</t>
  </si>
  <si>
    <t>/0014/0010</t>
  </si>
  <si>
    <t>350_RDIG</t>
  </si>
  <si>
    <t>/0006</t>
  </si>
  <si>
    <t xml:space="preserve">RM BDS Id.Sop_BaseDatos:_x000D_
1. Extracción de uso por base de datos. (Se recopila y documenta información de sábado, domingo y lunes)_x000D_
2. Extracción de uso por tabla de la base de datos estadisticas. (Se recopila y documenta información de sábado, domingo y lunes)_x000D_
</t>
  </si>
  <si>
    <t>RM BDS Id.Sop_BaseDatos:_x000D_
1. Extracción de uso por base de datos. _x000D_
2. Extracción de uso por tabla de la base de datos estadisticas.</t>
  </si>
  <si>
    <t>350_SWAT_INSPE</t>
  </si>
  <si>
    <t>DESARROLLO DEL EQUIPO SWAT</t>
  </si>
  <si>
    <t>/0012</t>
  </si>
  <si>
    <t>Ana_incidente</t>
  </si>
  <si>
    <t>176_MCD</t>
  </si>
  <si>
    <t>MEJORAS AL CORE Y DASHBOARD DE RECETA DIGITAL</t>
  </si>
  <si>
    <t>TAREAS DE DESARROLLO DE DASHBOARD</t>
  </si>
  <si>
    <t>ANALISIS</t>
  </si>
  <si>
    <t>/0020/0004/0002</t>
  </si>
  <si>
    <t>CONFIGURACIÓN</t>
  </si>
  <si>
    <t>/0020/0004/0006</t>
  </si>
  <si>
    <t>PRUEBAS</t>
  </si>
  <si>
    <t>/0020/0004/0008</t>
  </si>
  <si>
    <t>REUNIONES INTERNAS</t>
  </si>
  <si>
    <t>RM LIB Id.Inst_release_li:_x000D_
Instalacion de 1 releases en ambientes de pruebas</t>
  </si>
  <si>
    <t>RM LIB Id.Inst_release_li:_x000D_
Instalación de releases para registrelo</t>
  </si>
  <si>
    <t>/0020/0012</t>
  </si>
  <si>
    <t xml:space="preserve">RM BDS Id.Sop_BaseDatos:_x000D_
1. Extracción de uso por base de datos. _x000D_
2. Extracción de uso por tabla de la base de datos estadisticas. _x000D_
</t>
  </si>
  <si>
    <t>Imp_cambio_auto</t>
  </si>
  <si>
    <t xml:space="preserve">RM AUT Id.Imp_cambio_auto:_x000D_
Se apoya en la siguiente tarea:_x000D_
Proyecto: Registrelo1 PROD_x000D_
Revisión de filtro de métrica para detectar creación y eliminación de recursos_x000D_
Modificación del filtro_x000D_
Creación de suscripción en SNS_x000D_
</t>
  </si>
  <si>
    <t>RM AUT Id.Imp_nueva_auto:_x000D_
Se apoya en la siguiente tarea:_x000D_
Proyecto: Registrelo1 PROD_x000D_
Implementación de lambda que valida el estado del Security Hub y los controles_x000D_
Configuración de política de permisos_x000D_
Configuración de calendarizador_x000D_
Ejecución manual del lambda</t>
  </si>
  <si>
    <t>RM AUT Id.Imp_nueva_auto:_x000D_
Se apoya en la siguiente tarea:_x000D_
Proyecto: Registrelo1 PROD_x000D_
Implementación de lambda para validar los usuarios que tienen más de 100 días sin ingresar a la consola y enviar la notificación de eliminación de usuario_x000D_
Configuración de permisos_x000D_
Configuración de calendarizador_x000D_
Ejecución manual del lambda</t>
  </si>
  <si>
    <t>RR-Receta</t>
  </si>
  <si>
    <t>14</t>
  </si>
  <si>
    <t>LIBERACIÓN</t>
  </si>
  <si>
    <t>/0006/0028</t>
  </si>
  <si>
    <t>se prepara y revisa aplicación de doctores a la tienda de iOS</t>
  </si>
  <si>
    <t>Monit_BD</t>
  </si>
  <si>
    <t>RM LIB Id.Inst_release_li:_x000D_
Instalacion de 1 releases en QA</t>
  </si>
  <si>
    <t>RM LIB Id.Inst_rfc_lib:_x000D_
Instalacion del RFC_095-190-RDIG_RECETA_SC_204_20260406</t>
  </si>
  <si>
    <t>RM LIB Id.Inst_rfc_lib:_x000D_
Instalacion de 1 RFC</t>
  </si>
  <si>
    <t>RM LIB Id.Inst_rfc_lib:_x000D_
Instalacion de 2 RFCs</t>
  </si>
  <si>
    <t>RM LIB Id.Inst_rfc_lib:_x000D_
Instalación de 1 RFC en PRD</t>
  </si>
  <si>
    <t>RM LIB Id.Inst_rfc_lib:_x000D_
Instalación del RFC_095-190-RDIG_RECETA_SC_205_20260409</t>
  </si>
  <si>
    <t>RM LIB Id.Inst_rfc_lib:_x000D_
Instalación del RFC_095-190-RDIG_RECETA_SC_209_20260416</t>
  </si>
  <si>
    <t>RM LIB Id.Inst_rfc_lib:_x000D_
Instalación del RFC_095-190-RDIG_RECETA_SC_213_20260421</t>
  </si>
  <si>
    <t>RM LIB Id.Inst_rfc_lib:_x000D_
Instalacion del RFC_095-190-RDIG_RECETA_SC_206_20260413</t>
  </si>
  <si>
    <t>RM LIB Id.Inst_release_li:_x000D_
Instalación de releases y ejecución de scripts para receta</t>
  </si>
  <si>
    <t>RM LIB Id.Inst_release_li:_x000D_
instalacion de release para receta en el ambiente de qa se revisa el pr contra los objetos del release se instala el release y se verifica que la instalación sea satisfactoria</t>
  </si>
  <si>
    <t>RM LIB Id.Inst_release_li:_x000D_
instalacion de release para receta en el ambiente de cert se revisa el pr contra los objetos del release se instala el release y se verifica que la instalación sea satisfactoria</t>
  </si>
  <si>
    <t xml:space="preserve">RM LIB Id.Inst_rfc_lib:_x000D_
Instalación de RFC para Receta se revisa el pr se instala dentro del servidor los cambios se valida que la instalación haya quedado satisfactoria en produccion_x000D_
</t>
  </si>
  <si>
    <t>RM LIB Id.Inst_release_li:_x000D_
Instalación de reléase para receta se valida los objetos  del pull request se instala dentro del servidor y se revisa de que la instalación sea satisfactoria</t>
  </si>
  <si>
    <t>Se trabaja en tareas de mantenimiento de infraestructura. Se revisa falta de conexión de servidores de producción de receta con servidor FTP exterior. Después de revisar diferentes configuraciones en la nueb de OCI se determina la recomendación de validar con el cliente las reglas de incoming traffic del extremo del cliente.</t>
  </si>
  <si>
    <t>Se trabaja en tareas de mantenimiento de infraestructura. Se revisa falta de conexión de servidores de producción de receta con servidor FTP exterior en conjunto con Elier Baltodano.</t>
  </si>
  <si>
    <t>Se trabaja en tareas de mantenimiento de infraestructura. Se lleva a cabo seguimiento del los shells de reincido de APIS y resolución de problema de conexión con al FTP exterior con líder Técnico Esli Gonzales.</t>
  </si>
  <si>
    <t>Se trabaja en tareas de mantenimiento de infraestructura. Se programa tarea de mantenimiento de RECETA.</t>
  </si>
  <si>
    <t>Se trabaja en tareas de mantenimiento de infraestructura. Se trabaja en ventana de receta para la creación de AMI y la generación de ceritficados de lets encrypt</t>
  </si>
  <si>
    <t>RM INF Id.Imp_cambio_inf:_x000D_
Se inicializa creación de script de auto-heal de memoria RAM, para completar flush de memoria cuando los procesos lleguen a 95 % de uso en los servidores del ambiente. Fase inicial, se realizan pruebas y autodescubrimiento de procesos.</t>
  </si>
  <si>
    <t>RM INF Id.Imp_cambio_inf:_x000D_
Edición y arreglo de alertas de sistema debido a inconvenientes presentados en el formato de la alerta para correo electrónico.</t>
  </si>
  <si>
    <t>RM INF Id.Imp_cambio_inf:_x000D_
Implementación de cambios en dashboards en Grafana por tema de formato de la presentación de los nombres de los servidores en los paneles.</t>
  </si>
  <si>
    <t>RM INF Id.Imp_cambio_inf:_x000D_
Se implementa SMTP para envío de correos en caso de olvido de contraseña para los usuarios de Grafana en el ambiente Receta Digital Prod.</t>
  </si>
  <si>
    <t>RM INF Id.Sop_Infraestruc:_x000D_
Se apoya en la siguiente tarea:_x000D_
Proyecto: Receta PROD_x000D_
Validaciones sobre consumo por SFTP</t>
  </si>
  <si>
    <t>RM INF Id.Sop_Infraestruc:_x000D_
Se apoya en la siguiente tarea:_x000D_
Proyecto: Receta QA_x000D_
Validaciones referentes al Real Name Authentication</t>
  </si>
  <si>
    <t>RM BDS Id.Monit_BD:_x000D_
Revision de estado de Tablespaces de PRD por error reportado por Victor</t>
  </si>
  <si>
    <t>/0018/0008</t>
  </si>
  <si>
    <t xml:space="preserve">RM SEG Id.Mante_seg:_x000D_
Se apoya en la siguiente tarea:_x000D_
Proyecto: Receta Digital_x000D_
Validación y solución de alertas de seguridad_x000D_
Creación de informe de vulnerabilidades_x000D_
</t>
  </si>
  <si>
    <t>RM AUT Id.Mante_auto:_x000D_
Se apoya en la siguiente tarea:_x000D_
Proyecto: Receta DEV-QA_x000D_
Validaciones referentes a problemas de ejecución de la rotación de Key Pair_x000D_
Ejecución manual del script</t>
  </si>
  <si>
    <t>RM AUT Id.Imp_nueva_auto:_x000D_
Se apoya en la siguiente tarea:_x000D_
Proyecto: Receta QA_x000D_
Implementación de lambda para validar los usuarios que tienen más de 100 días sin ingresar a la consola y enviar la notificación de eliminación de usuario en Huawei_x000D_
Configuración de permisos_x000D_
Configuración de calendarizador_x000D_
Ejecución manual del lambda</t>
  </si>
  <si>
    <t>RM INC Id.Ana_incidente:_x000D_
revisión de logs para validar un posible error reportado por un usuario en receta se validan los logs del servicio y se le envían los logs al dev para su respectiva revisión</t>
  </si>
  <si>
    <t>RM DOC Id.Reu_Equipo:_x000D_
Revision de error en PRD con Esli</t>
  </si>
  <si>
    <t>RM DOC Id.Reu_Equipo:_x000D_
Revision de error de ftp en Receta CF PRD con Esli.</t>
  </si>
  <si>
    <t>RD - Revisión Archivo de Población para Cálculo de DHD._x000D_
_x000D_
Se realizó la revisión del archivo de población utilizado para el cálculo de DHD, evaluando la estructura y segmentación de las tablas disponibles. Se identificaron limitaciones en las últimas tablas del archivo relacionadas con la falta de variables clave (género), lo que impacta directamente la capacidad de cálculo de indicadores. Se concluye que el cálculo de DHD debe restringirse a niveles de agregación compatibles con la información disponib...</t>
  </si>
  <si>
    <t>RD - Crear Dimensiones de Productos para Compuestos e Ingredientes._x000D_
_x000D_
Durante la fase de pruebas y revisión de los resultados del cálculo DDD, se está complicando relacionar los diferentes niveles de la receta para tener cada nivel con los datos que aplican y que sirven para tener claridad si se están aplicando bien las reglas._x000D_
_x000D_
Por tal motivo, se decide realizar cambios al modelo creando y modificando dimensiones actuales._x000D_
_x000D_
A nivel de cambio, se realizó lo siguiente:_x000D_
 1. Borrar la Tabla actual de ...</t>
  </si>
  <si>
    <t>RD - Generar SQL para Evidencia del Cálculo de DDD._x000D_
_x000D_
Luego de las revisiones al proceso y la aplicación de las reglas de carga dentro del proceso, se procede a crear un nuevo SQL para cada parte del proceso, que permita generar la evidencia del resultado, como detectar cualquier problema de lógica._x000D_
_x000D_
Se va generando el SQL y se valida el resultado con la salida de datos que se va observando.</t>
  </si>
  <si>
    <t>RD - Crear Tabla de Secuencia para Fact de Ingredientes._x000D_
_x000D_
Luego de conversar con el encargado de Salud de la evidencia mostrada, se tiene una mejora en el modelo de datos._x000D_
_x000D_
Para la tabla de trabajo que contiene los datos de la aplicación de la fórmuda de DDD, se indica que esta información debe quedar disponible dentro del modelo por el Tipo de Cálculo 3 que es por ATC del Ingrediente._x000D_
_x000D_
Por este motivo, se decide crear una Fact Table con estos datos e incluyendo las dimensiones que complemente los ...</t>
  </si>
  <si>
    <t>RD - Crear Tabla de Fact de Ingredientes._x000D_
_x000D_
Al tener la tabla de Secuencias, se inicia con la construcción de la tabla Fact, para información del Tipo de Cálculo 3 que es por ATC del Ingrediente._x000D_
_x000D_
Este proceso llevó las siguientes tareas:_x000D_
 * Analizar la funcionalidad y nivel de detalle de la tabla_x000D_
 * Definir la relación con las demás estructuras._x000D_
 * Relación con las dimensiones actuales_x000D_
 * Asignación con la asociación de las otras secuencias._x000D_
 * Definición de la carga histórica e incremental_x000D_
 * ...</t>
  </si>
  <si>
    <t>RD - Ajustar SQL para Evidencia del Cálculo de DDD._x000D_
_x000D_
Al tener una nueva tabla, se procede ajustar la validación para mostrar un nuevo detalle con la información de los datos procesados por Ingrediente._x000D_
_x000D_
Esto conlleva la ejecución del proceso de datos, la comparación de los Items de la Receta contra cada Ingrediente que tiene el Medicamento prescrito, junto con la evidencia de cada resultado en cada nivel._x000D_
_x000D_
Para los datos que no se ven correctos o que son diferentes entre niveles, se modifica el pro...</t>
  </si>
  <si>
    <t>RD - Migración a Producción: Estructuras y Stored Procedures (SP)._x000D_
_x000D_
Se ha procedido con la Migración a Producción de los componentes relacionados con el modelo de Recetas con la información para la generación del dashboard._x000D_
_x000D_
El detalle de la implementación incluye:_x000D_
 1. Creación de Estructuras: Se desplegaron las tablas y campos necesarios en el ambiente productivo._x000D_
 2. Scripts de Programación: Se crearon y habilitaron los Stored Procedures (SP) requeridos para el procesamiento de los datos y cálcul...</t>
  </si>
  <si>
    <t>RD - Actualización y Pruebas: Ajuste de OMS ATC por Unidad de Medida (UM)_x000D_
_x000D_
Se han realizado las tareas relacionadas con el ajuste de tabla con el Catálogo de Sustancias por Medicamento por UM dado por la OMS._x000D_
_x000D_
A continuación, el detalle de lo realizado:_x000D_
 1. Campo de Conversión: Se incluyó el campo de conversión para la UM estándar, asegurando la alineación de los datos._x000D_
 2. Actualización de Datos: Se procesó la actualización de la información en la estructura según los parámetros._x000D_
 3. Pruebas de C...</t>
  </si>
  <si>
    <t>RD - Ajustar SQL de Evidencias con Nueva Información._x000D_
_x000D_
Para ajustar un SQL de evidencias con nueva información, generalmente se sigue un proceso de integración de datos y refinamiento de lógica. _x000D_
_x000D_
Mapeo de nuevos campos: Se identifican las nuevas columnas o tablas que contienen la información reciente y se determina cómo se relacionan con el esquema de "Evidencias" actual._x000D_
_x000D_
Actualización del SELECT: Se agregan los nuevos campos necesarios a la consulta para que la salida refleje la información adic...</t>
  </si>
  <si>
    <t>RD - Estandarización del modelo de datos de Receta Digital._x000D_
_x000D_
Se realizaron ajustes en la estandarización del modelo de datos de Receta Digital, enfocándose en la homologación de nomenclatura de campos y Stored Procedures, así como en la validación de inconsistencias críticas en el cálculo de DDD relacionadas con unidades de medida y datos incompletos de referencia OMS (ATC). Esto permite mejorar la calidad, trazabilidad y confiabilidad del modelo analítico._x000D_
_x000D_
Actividades Realizadas:_x000D_
" Revisión y ajus...</t>
  </si>
  <si>
    <t>RD - Administrar Historia para Cambios en Información de Pacientes._x000D_
_x000D_
Para implementar la tabla histórica de pacientes y asegurar que el proceso de carga gestione correctamente los cambios de Fecha de Nacimiento, Dirección y Ubicación, se realizaron las siguientes tareas:_x000D_
1. Diseño y Creación del Objeto Físico_x000D_
	Crear la tabla D_ENTIDAD_HIST: Si no existe, debe replicar los campos clave de D_ENTIDAD para almacenar los cambios, más campos de control de auditoría:_x000D_
	ENTIDAD_HIST_ID: Primary Key (Secuen...</t>
  </si>
  <si>
    <t>RD - Revisión de Variables para Indicadores del Dashboard._x000D_
_x000D_
Se realizó la revisión y ajuste de variables utilizadas en indicadores del dashboard, junto con validaciones de calidad de datos en la dimensión de direcciones y pacientes. Adicionalmente, se optimizó la nomenclatura de campos en el nivel de ítem para facilitar la detección de errores y reducir la dependencia de JOINs en análisis operativos._x000D_
_x000D_
Actividades realizadas:_x000D_
" Revisión de variables utilizadas en la construcción de indicadores del da...</t>
  </si>
  <si>
    <t>RD - Generar SQL para Evidencia del Cálculo de DDD._x000D_
_x000D_
Para entregar la evidencia de los datos poblados en el ambiente de Certificación, se procede a generar las sentencias que permitan entregar la información mínima para la generación de los indicadores de Receta._x000D_
_x000D_
Para esto, se revisan los datos que fueron procesados contra los datos de la fuente, para asegurar que la información está llegando de la forma correcta y se están aplicando las reglas._x000D_
_x000D_
Para este proceso, se genera lo siguiente:_x000D_
 1. Inf...</t>
  </si>
  <si>
    <t>RD - Pruebas Llenado Tabla de Fact de Ingredientes._x000D_
_x000D_
Se realizan las pruebas de ejecución y la validación de Datos, en la totalidad de información.</t>
  </si>
  <si>
    <t>RD - Generar Evidencia de Casos de Ejemplo del Cálculo de DDD._x000D_
_x000D_
Se procede a generar cuatro casos de uso con los cambios al modelo._x000D_
_x000D_
Se ejecuta el proceso para tener los datos actualizados._x000D_
_x000D_
Se obtiene la evidencia de cada una de las recetas y se da el formato para ser entregado como documento de certificación.</t>
  </si>
  <si>
    <t>RD - Revisar Casos Tipo 3 Cálculo por Ingrediente en DDD._x000D_
_x000D_
Se solicita al encargo de Salud, la generación de recetas en Certificación para poder validar el proceso de carga y cálculo._x000D_
_x000D_
Al recibir dos nuevas recetas, se procede a validar los resultados._x000D_
_x000D_
Luego de correr el proceso de carga para tener las dos recetas, se detecta que el proceso las tiene identificadas como Tipo 0._x000D_
_x000D_
Se informa a Salud y se solicita el listado de Medicamentos que deberían ser Tipo 3, para buscar y encontrar la razón d...</t>
  </si>
  <si>
    <t>RD - Revisar Catálogo de Medicamentos e Ingredientes en Producción y Certificación con Diferencias._x000D_
_x000D_
Al recibir el listado de los Medicamentos que aplican al Tipo 3, se procede a lo siguiente: _x000D_
 1. Revisar la Información en producción._x000D_
 2. Comparar los Datos en Certificación._x000D_
 3. Identificar las diferencias._x000D_
 4. Generar la Evidencia._x000D_
 5. Entregar el SQL para que sea arreglada la información en Certificación._x000D_
_x000D_
Como este proceso se tiene que hacer en diferentes ambientes, se generan los SQLs para ...</t>
  </si>
  <si>
    <t>RD - Evidencia de las 2 Recetar Tipo 3._x000D_
_x000D_
Luego que el personal de Salud realizó la modificación de los datos en Certificación, se realiza la ejecución del proceso para actualizar los datos._x000D_
_x000D_
Se procede a generar la evidencia de las dos recetas._x000D_
_x000D_
Durante la validación de esas dos recetas, se identifica un problema con la conversión del valor de DDD que viene en diferente Unidad de Medida cuando se hace el cálculo del DDD._x000D_
_x000D_
Se revisa que los datos estén correctos y que se almacenen aplicando la reg...</t>
  </si>
  <si>
    <t>RD - Resultado de Pruebas: Migración del Modelo de Datos a Producción._x000D_
_x000D_
Tras completar la migración, se realizaron las Pruebas de Validación en el ambiente de Producción mediante la ejecución manual del proceso de carga, con los siguientes resultados:_x000D_
 1. Dimensiones: Se ejecutó la carga de cada dimensión de manera exitosa._x000D_
 2. Tablas Temporales: Se completó el llenado de las estructuras temporales sin errores._x000D_
 3. Tablas Fact: Se validó el procesamiento y carga final de los datos en las tablas:_x000D_
		...</t>
  </si>
  <si>
    <t>RD - Hallazgos y Resultados: Validación de UM Recetas vs. ATC._x000D_
_x000D_
Se completó el análisis de las unidades de medida (UM) de las Recetas frente al ATC, mediante la conversión definida en el DDD._x000D_
_x000D_
Con esto, se busca tener claro los casos de conversión que deba realizarse para unificar la salida y cálculos de DDD._x000D_
_x000D_
Estos son los puntos clave:_x000D_
 * Detección de Errores: Se generaron consultas SQL para identificar discrepancias. Se detectaron cálculos con resultados incorrectos tras la conversión y se vali...</t>
  </si>
  <si>
    <t>RD - Incidencias en Producción: Error de Carga ATC y Espacio en Base de Datos._x000D_
_x000D_
Durante la carga de los Ingredientes en el ambiente de producción, se presentaron dos incidentes que requirieron intervención inmediata:_x000D_
 1. Error de Duplicados (ATC): Se detuvo la ejecución debido a un error de llave duplicada. Tras la revisión, se detectó que el archivo de OMS contenía un mismo código ATC asignado a dos códigos de sustancia distintos._x000D_
 2. Limitación de Almacenamiento: Se presentó un error por falta de e...</t>
  </si>
  <si>
    <t>RD - Pruebas Funcionales y Gestión de Espacio en Producción._x000D_
_x000D_
Como parte de la fase final de Pruebas Funcionales tras la migración, informo sobre los avances en la estabilización del entorno y carga de datos:_x000D_
 1. Optimización de Almacenamiento: Se continuó con la administración del espacio en la base de datos, ejecutando el borrado preventivo de tablas no críticas. Esta acción permitió liberar el espacio necesario para procesar la Tabla de Ingredientes. De igual forma, se cargaron únicamente aquellas ...</t>
  </si>
  <si>
    <t>RD - Validación de Calidad: UM Receta vs. Conversión DDD en Producción._x000D_
_x000D_
Se inicia con la validación del resultado del cálculo DDD en el entorno de Producción._x000D_
_x000D_
Para ello, se van desarrollado consultas SQL que extraen evidencias de registros sin cálculo, bajo las siguientes premisas:_x000D_
 1. Identificación de Errores: Se están documentando los casos que no generan cálculo para definir las reglas de ajuste inmediatas._x000D_
 2. Medicamentos sin relación ATC: Se están priorizando los casos donde:_x000D_
      2.1 Ex...</t>
  </si>
  <si>
    <t>RD - Informe de Hallazgos: Análisis de Casos sin Cálculo DDD en Producción._x000D_
_x000D_
Se tiene el análisis detallado sobre el universo de casi cinco millones de recetas en producción para identificar las causas por las cuales no se está generando el cálculo de conversión DDD._x000D_
_x000D_
Tras la revisión de los datos, se han tipificado las incidencias en tres casos críticos:_x000D_
 * Caso 1 (Falta de parámetros básicos): Registros en ATC_INGREDIENTE que no cuentan con Vías de Administración para comparar, ni con el valor DDD...</t>
  </si>
  <si>
    <t>RD - Validación de Integridad Referencial y Estructura._x000D_
_x000D_
Verificación de Claves Subrogadas: Asegurar que cada registro en la tabla de hechos tenga una clave única y que las relaciones con las dimensiones se hayan generado correctamente mediante el uso de claves subrogadas._x000D_
_x000D_
Integridad Referencial: Comprobar que no existan IDs sin relación con la dimensión; es decir, que cada ID_Medicamento o ID_Medico en la tabla de hechos exista previamente en su dimensión correspondiente._x000D_
_x000D_
Escenarios de Dimension...</t>
  </si>
  <si>
    <t>RD - Validación de Reglas de Negocio Específicas._x000D_
_x000D_
Consistencia del Tratamiento: Verificar que el medicamento cargado coincida con el catálogo oficial y que las unidades de medida (mg, ml, tabletas) sean coherentes con la forma farmacéutica._x000D_
_x000D_
Vigencia de la Receta: Validar que la carga identifique correctamente recetas vencidas según la normativa local._x000D_
_x000D_
Cálculos Derivados: Para los cálculos de "DDD" o "dosis total", se deben recalcular manualmente en una muestra para asegurar que la lógica del pro...</t>
  </si>
  <si>
    <t>RD - Pruebas de Rendimiento y Volumen._x000D_
_x000D_
Carga de Estrés: Realizar pruebas con volúmenes de datos realistas para asegurar que los tiempos de carga no afecten la disponibilidad de los datos._x000D_
_x000D_
Verificación Continua: Se realzia un monitoreo para detectar fallos en la carga manual.</t>
  </si>
  <si>
    <t>RD - Calidad de Datos._x000D_
_x000D_
Se realizaron las siguientes tareas:_x000D_
1. Completitud: Validar que campos obligatorios como el nombre del profesional, paciente, ubicación geográfica, nombre del medicamento y dosis no contengan valores nulos._x000D_
2. Unicidad: Garantizar que no existan recetas duplicadas en la tabla de hechos por errores en el proceso de carga._x000D_
3. Validación de Rangos y Formatos:_x000D_
     3.1 Dosis: Verificar que las cantidades y frecuencias estén dentro de rangos clínicamente establecidos._x000D_
     3.2 ...</t>
  </si>
  <si>
    <t>RD - Proceso de Validación de los Datos del Modelo de BI._x000D_
_x000D_
El resumen de las tareas realizadas en el proceso de validación del modelo de Receta Digital:_x000D_
_x000D_
1. Validaciones de Dimensiones_x000D_
Se implementaron validaciones completas para las principales dimensiones:_x000D_
"	D_ENTIDAD (Pacientes y Médicos)_x000D_
o	Integridad entre fuente y DW (IDs y claves funcionales)_x000D_
o	Validación de género (transformación CASE)_x000D_
o	Validación de fecha de nacimiento y cálculo de edad_x000D_
o	Detección de registros sin dimensión o con como...</t>
  </si>
  <si>
    <t>RD - Control de Calidad y Auditoría de Datos._x000D_
_x000D_
Se realiza el Control de Calidad y Auditoría de Datos:_x000D_
"	Depuración de Datos Geográficos: Análisis exhaustivo de los JOINs en el motor de base de datos para identificar fallos en la asociación paciente-distrito._x000D_
"	Sincronización Transaccional-BI: Validación de que los cambios en el sistema operativo se reflejen correctamente en el modelo de Inteligencia de Negocios, detectando códigos de distrito inválidos o nulos._x000D_
"	Gestión de Correcciones: Documentaci...</t>
  </si>
  <si>
    <t>RD - Revisión de Cálculos de Ingredientes para Indicadores del Dashboard._x000D_
_x000D_
Se realizaron ajustes estructurales y funcionales en el modelo de Receta Digital, enfocados en la mejora de los cálculos a nivel de ingredientes y la validación de unidades de medida para el correcto cálculo de DDD. Asimismo, se actualizaron scripts de creación de tablas y Stored Procedures, asegurando coherencia en nomenclatura y lógica de procesamiento, seguido de pruebas de ejecución para validar los cambios implementados._x000D_
_x000D_...</t>
  </si>
  <si>
    <t>/0020/0008</t>
  </si>
  <si>
    <t>RD - Reunión de Revisión de Casos de Evidencia y Corrección de la Información._x000D_
_x000D_
Esta reunión se centró en el control de calidad y la resolución de incidentes críticos mediante la colaboración directa entre los equipos. _x000D_
_x000D_
Lo realizado consiste en:_x000D_
 1. Auditoría de Evidencias: Se analiza caso por caso para asegurar que lo documentado coincide con la realidad operativa._x000D_
 2. Cruce con Receta Digital: Se valida que la información extraída del SQL sea coherente con lo que registra la aplicación de Receta...</t>
  </si>
  <si>
    <t>RD - Reunión de Seguimiento del Dashboard de Receta._x000D_
_x000D_
Seguimiento de Indicadores y Modelado BI_x000D_
"	Análisis de Fórmulas Complejas: Explicación técnica de la conversión de unidades a millones y su impacto en el cálculo del DDD (Dosis Diaria Definida)._x000D_
"	Diseño de Tableros: Revisión de indicadores preliminares para el dashboard y definición de fuentes de datos para el modelo._x000D_
"	Planificación Demográfica: Definición de los parámetros necesarios (geografía, género y edad) para el cálculo futuro del DHD (D...</t>
  </si>
  <si>
    <t>RD - Reunión de Seguiimiento para revisar Información de Población para Cálculo de DHD._x000D_
_x000D_
Se llevó a cabo una reunión de seguimiento con el equipo del Ministerio de Salud para validar la información de población requerida en el cálculo de DHD (Dosis Diaria por Habitante). Se revisaron las fuentes disponibles, específicamente el archivo consolidado en Excel con segmentaciones clave, y se evaluó su alineación con el modelo analítico de Receta Digital. Adicionalmente, se presentó el estado actual del dashb...</t>
  </si>
  <si>
    <t>RN2</t>
  </si>
  <si>
    <t>10</t>
  </si>
  <si>
    <t>/0012/0020</t>
  </si>
  <si>
    <t>Se desarrolla mejoras para el app de inspecciones</t>
  </si>
  <si>
    <t xml:space="preserve">"Estimación de Ejecución de Pruebas - 4.00 de: Reg2.0 en el ambiente de: preQA. Nombre de protocolo ejecutado: REG2-055. Defectos revisados: REG2-5930. Descripción de la tarea: Estimación de las pruebas de los requerimientos Requerimiento_2026_CD-03 Leyenda Rechazo.docx_x000D_
QA-P1-R1. SOLICITUD DE QA REG2-055 Leyenda de rechazo.pdf.  "	_x000D_
</t>
  </si>
  <si>
    <t xml:space="preserve">Ejecución de Protocolo de Pruebas - 2.00 de: Reg2.0 en el ambiente de: CERT. Nombre de protocolo ejecutado: Reg2.0.INPREQA-MIGRATORY-PROCESSES-SERVER-FEATURE-UI_19.20260407. Descripción de la tarea: Pruebas del antes y después de la incidencia.  	_x000D_
</t>
  </si>
  <si>
    <t>Monit_seg</t>
  </si>
  <si>
    <t>Imp_cambio_BD</t>
  </si>
  <si>
    <t>Instalacion de releases y ejecucion de scripts para Registrelo</t>
  </si>
  <si>
    <t>Instalación de releases para registrelo en ambientes bajos</t>
  </si>
  <si>
    <t>RM LIB Id.Inst_release_li:_x000D_
Instalacion de releases en CERT</t>
  </si>
  <si>
    <t>RM LIB Id.Inst_rfc_lib:_x000D_
Instalacion del RFC_151-400-RGT2.0_REG2.0_SC_686_20260413</t>
  </si>
  <si>
    <t>RM LIB Id.Inst_rfc_lib:_x000D_
Atencion del RFC_151-400-RGT2.0_REG2.0_SC_689_20260415</t>
  </si>
  <si>
    <t>RM LIB Id.Inst_release_li:_x000D_
Instalacion de 2 releases en ambientes de pruebas</t>
  </si>
  <si>
    <t>RM LIB Id.Sop_Liberacione:_x000D_
Revision de jobs en RegistreloPRD a solicitud de Greivin.</t>
  </si>
  <si>
    <t>RM LIB Id.Inst_rfc_lib:_x000D_
Instalacion de 1 RFC en PRD</t>
  </si>
  <si>
    <t>RM LIB Id.Inst_release_li:_x000D_
Instalacion de 2 releases de subida de archivos al S3</t>
  </si>
  <si>
    <t>Revision y subida de jobs CERT a solicitud de Greivin, por pruebas de cliente</t>
  </si>
  <si>
    <t>RM LIB Id.Inst_release_li:_x000D_
Instalacion de 2 releases en CERT  (uno contaba con pat y bd)</t>
  </si>
  <si>
    <t>RM LIB Id.Inst_release_li:_x000D_
Instalación de 1 releases en CERT</t>
  </si>
  <si>
    <t>RM LIB Id.Inst_release_li:_x000D_
Instalación del Reg2.0.INCERT-MIGRATORY-PROCESSES-SERVER-FEATURE-APIUI_87.20260401</t>
  </si>
  <si>
    <t>RM LIB Id.Inst_rfc_lib:_x000D_
Instalación de los RFCs_x000D_
RFC_151-400-RGT2.0_REG2.0_SC_676_20260401_x000D_
RFC_151-400-RGT2.0_REG2.0_SC_678_20260401_x000D_
RFC_151-400-RGT2.0_REG2.0_SC_677_20260401</t>
  </si>
  <si>
    <t>RM LIB Id.Inst_release_li:_x000D_
Instalación del release Reg2.0.INPREQA-MIGRATORY-PROCESSES-SERVER-FEATURE-API_202.20260401</t>
  </si>
  <si>
    <t>RM LIB Id.Inst_rfc_lib:_x000D_
Instalación de los siguientes RFCs_x000D_
RFC_151-400-RGT2.0_REG2.0_SC_679_20260406_x000D_
RFC_151-400-RGT2.0_REG2.0_SC_680_20260406</t>
  </si>
  <si>
    <t>RM LIB Id.Inst_release_li:_x000D_
Instalación del release Reg2.0.INPREQA-MIGRATORY-PROCESSES-SERVER-FEATURE-UI_19.20260407</t>
  </si>
  <si>
    <t>RM LIB Id.Inst_rfc_lib:_x000D_
Instalación del RFC_151-400-RGT2.0_REG2.0_SC_681_20260407</t>
  </si>
  <si>
    <t>RM LIB Id.Inst_rfc_lib:_x000D_
Instalación de homologaciones</t>
  </si>
  <si>
    <t>RM LIB Id.Inst_rfc_lib:_x000D_
Instalación del Reg2.0.INQA-MIGRATORY-PROCESSES-SERVER-FEATURE-UI_23.20260408</t>
  </si>
  <si>
    <t>RM LIB Id.Inst_rfc_lib:_x000D_
Instalación RFC_151-400-RGT2.0_REG2.0_SC_682_20260409</t>
  </si>
  <si>
    <t>RM LIB Id.Sop_Liberacione:_x000D_
Se brindan documentos del cdn de producción solicitado por desarrollo</t>
  </si>
  <si>
    <t>RM LIB Id.Sop_Liberacione:_x000D_
Revisión de la tarea de notificaciones de Producción de Regístrelo</t>
  </si>
  <si>
    <t>RM LIB Id.Inst_rfc_lib:_x000D_
Instalación de RFC_151-400-RGT2.0_REG2.0_SC_685_20260413</t>
  </si>
  <si>
    <t>RM LIB Id.Inst_rfc_lib:_x000D_
Instalación de los siguientes RFCs_x000D_
RFC_151-400-RGT2.0_REG2.0_SC_692_20260421_x000D_
RFC_151-400-RGT2.0_REG2.0_SC_693_20260421</t>
  </si>
  <si>
    <t>RM LIB Id.Inst_rfc_lib:_x000D_
Instalación de los siguientes RFCs_x000D_
RFC_151-400-RGT2.0_REG2.0_SC_694_20260422_x000D_
RFC_151-400-RGT2.0_REG2.0_SC_695_20260422</t>
  </si>
  <si>
    <t>RM LIB Id.Inst_release_li:_x000D_
Instalación del release Reg2.0.DOCUMENTOS._21.20260427</t>
  </si>
  <si>
    <t>RM LIB Id.Inst_release_li:_x000D_
Instalación del release Reg2.0.DOCUMENTOS._22.20260428</t>
  </si>
  <si>
    <t>RM LIB Id.Inst_release_li:_x000D_
Instalación del release Reg2.0.INCERT-MIGRATORY-PROCESSES-SERVER-FEATURE-API_128.20260429</t>
  </si>
  <si>
    <t>RM LIB Id.Inst_rfc_lib:_x000D_
Instalacion del RFC_151-400-RGT2.0_REG2.0_SC_684_20260410</t>
  </si>
  <si>
    <t>RM LIB Id.Inst_release_li:_x000D_
Instalación de reléase  para registrelo se revisa el pr se instala dentro del servidor los cambios se valida que la instalación haya quedado satisfactoria</t>
  </si>
  <si>
    <t xml:space="preserve">RM LIB Id.Inst_release_li:_x000D_
Instalación de reléase  para registrelo se revisa el pr se instala dentro del servidor los cambios se valida que la instalación haya quedado satisfactoria_x000D_
</t>
  </si>
  <si>
    <t>RM LIB Id.Inst_release_li:_x000D_
Instalación de releases para Registrelo y ejecución de scripts todo esto en ambientes bajos</t>
  </si>
  <si>
    <t>RM LIB Id.Inst_rfc_lib:_x000D_
Instalación de RFC para registrelo ejecución de scripts en la base de datos de producción y después se carga archivo a cdn de aws finalizando con la creación de documento de evidencia adjuntado al RFC</t>
  </si>
  <si>
    <t>RM LIB Id.Inst_release_li:_x000D_
Instalación de reléase para regístrelo revisión de fuentes tanto en sgrm con en pull request ejecución de scripts y creación de documento de evidencia de ejecución del script el cial se adjunta al link de evidencia de instalacion del release</t>
  </si>
  <si>
    <t>RM LIB Id.Inst_release_li:_x000D_
Instalación de release para regístrelo se valida el pr y se instala el rfc se revisa que la instalación haya sido satisfactoria</t>
  </si>
  <si>
    <t>RM LIB Id.Inst_release_li:_x000D_
instalacion de release para registrelo se revisa el pr contra los objetos del release se instala el release y se verifica que la instalación sea satisfactoria</t>
  </si>
  <si>
    <t>RM LIB Id.Inst_release_li:_x000D_
Instalacion de varios releases para registrelo en el ambiente de preqa y qa  se valida que  los objetos  del pull request se instala dentro del servidor y se revisa de que la instalación sea satisfactoria, y se cargan archivos .hbs dentro del el bucket s3</t>
  </si>
  <si>
    <t>RM LIB Id.Inst_release_li:_x000D_
Instalación de reléase  para registrelo se revisa el pr y se suben los archivos hbs al cdn productivo después de esto se instala dentro del servidor los cambios y se realiza el documento de evidencias el cual se sube a drive</t>
  </si>
  <si>
    <t>Se trabaja en tareas de mantenimiento de infraestructura. Se desregistra instancia tanto del ASG como del TG debido a que está dando errores. Se que se debe realizar update del LT del ASG y eliminación de la instancia en cuestión por cambios en el cron de ejecución de tarea de reinicio. Esto se le indica al líder técnico Esli Gonzalez.</t>
  </si>
  <si>
    <t>Se trabaja en tareas de mantenimiento de infraestructura. Se solicita reactivación de tareas de apagado y encendido de la infraestructura de Desarrollo y Quality Assurance</t>
  </si>
  <si>
    <t>Se trabaja en tareas de soporte. Debido a que los cambios del shell no estaban siendo guardados el líder técnico Esli solicita una reunión para trabajar en conjunto con los compañeros de RACSA la creación de un AMI y update del LT en la cuenta de registrelo 2 Producción.</t>
  </si>
  <si>
    <t>"Se trabaja en tareas de mantenimiento de infraestructura. Se reporta que el script de reincio de api no se ejecutó a la hora indica. Se valida que el AMI no contiene las correcciones realizadas para su correcto funcionamiento.
Se corrigen los errores y se ejecuta manualmente en las 3 instancias solicitadas. Se valida que las APIs se hayan reinciado correctamente en las 3 instancias. Se informa al líder técnico los detalles para coodirnar la creación de AMI y update del Lunch template."</t>
  </si>
  <si>
    <t>Se trabaja en tareas de mantenimiento de infraestructura. Se lleva  a cabo seguimiento de la ejecución del script para el reinicio de la API solicitada. Se ingresa a los servidores para validar y revisar correcta ejecución del cron en las 3 instancias de correspondientes.</t>
  </si>
  <si>
    <t>Se trabaja en tareas de mantenimiento de infraestructura. Se trabaja en la creación del documento para solicitud de tráfico de monitoreo de REG2. Se realizan las correcciones solicitadas en el documento compartido.</t>
  </si>
  <si>
    <t>Se trabaja en tareas de mantenimiento de infraestructura. Se trabaja en la creación del documento para solicitud de tráfico de monitoreo de REG2. Se validan los permisos del usuario existente de rm. Se crea inventario de instancias en documento de Excel con la información de ip origen y destino, puertos, nombre,arn.</t>
  </si>
  <si>
    <t>Se trabaja en tareas de monitoreo de infraestructura.  Se valida información requerida acerca de las instancias ASG de aplicación de QA. Se valida estádisticas disponible en la nube y se brinda la información indicada.</t>
  </si>
  <si>
    <t>Tareas de mantenimiento de infraestructura. Se trabaja en el envío de la corrección de la solicitud de tráfico de monitore para Registrelo Producción. Se valida que faltan cambios necesarios para habilitar el tráfico de monitoreo en la cuenta de Producción por lo que se envía nuevamente la solicitud indicando los elementos faltantes y correcciones necesarias.</t>
  </si>
  <si>
    <t>RM INF Id.Imp_cambio_inf:_x000D_
Revisión de puertos y políticas para cuenta de AWS en Regístrelo producción para monitoreo del ambiente con Grafana.</t>
  </si>
  <si>
    <t>RM INF Id.Imp_cambio_inf:_x000D_
Corrección de solicitud enviada con anterioridad para monitoreo con Grafana.</t>
  </si>
  <si>
    <t>RM INF Id.Sop_Infraestruc:_x000D_
Se apoya en la siguiente tarea:_x000D_
Proyecto: Registrelo2 PROD_x000D_
Validaciones de problemas con el sitio_x000D_
Validación de base de datos_x000D_
Reinicio de las APIs</t>
  </si>
  <si>
    <t>RM INF Id.Sop_Infraestruc:_x000D_
Se apoya en la siguiente tarea:_x000D_
Proyecto: Registrelo2 PROD_x000D_
Validaciones referentes a etiquetas en los ASG</t>
  </si>
  <si>
    <t>/0020/0006</t>
  </si>
  <si>
    <t>RM BDS Id.Imp_cambio_BD:_x000D_
Atencion de solicitud RM-P1-R5_151-400-RGT2.0_REG2.0_SC_59_20260413</t>
  </si>
  <si>
    <t>RM BDS Id.Sop_BaseDatos:_x000D_
Revisión de error en BD y liberación de bloqueos en PRD a solicitud de Greivin por lentitud presentada en aplicativo de PRD</t>
  </si>
  <si>
    <t>RM BDS Id.Monit_BD:_x000D_
Revisión de la base de datos de Regístrelo producción ya que un script la estaba pegando en cpu se revisa la infraestructura y se valida el script que esta generando el problema se le manda capturas del esta de la bd a los compañeros de desarrollo para su respectivo análisis</t>
  </si>
  <si>
    <t>RM SEG Id.Monit_seg:_x000D_
Se apoya en la siguiente tarea:_x000D_
Proyecto: Registrelo2 PROD_x000D_
Validaciones referentes a permisos</t>
  </si>
  <si>
    <t>RM INC Id.Ana_incidente:_x000D_
se revisa una api de regístrelo de receta que se encuentra en errored se levanta a solicitud del desarrollador se validan los logs de la misma se llega a la conclusión de que un proceso esta apagando el servicio los compañeros de desarrollo realizan un cambio a solicitud de ellos se vuelve a iniciar el api y queda funcionando con normalidad, se queda en revisión por cierto tiempo para validar de que el api no se vuelva a apagar ya que era requerido que se quede funcionando duran...</t>
  </si>
  <si>
    <t>RM INC Id.Corr_incidentes:_x000D_
meter console logs dentro de servicio de notificaciones para registrelo se hacen correcciones dentro del codigo fuente y se levantan los servicios que estaban dando error se verifica que no presenten un nuevo error y se le indica al desarrollador que tiene que mandar los cambios por medio de un rfc queda pendiente para el dia lunes</t>
  </si>
  <si>
    <t>RM INC Id.Ana_incidente:_x000D_
Revisión de servidor de tareas para regístrelo produccion</t>
  </si>
  <si>
    <t>RM INC Id.Ana_incidente:_x000D_
revisión de tarea de regístrelo de notificaciones en producción esta estaba dando un error el cual se le adjunta por medio de captura a los compañeros de registrelo los cuales indican de si se puede reiniciar el servicio se procede a reiniciar y se queda en revisión para validar de que el servicio no presente errores post reinicio</t>
  </si>
  <si>
    <t>RM SOP Id.Sop_Lib:_x000D_
&lt;horas&gt;De 03:00 a 04:00&lt;/horas&gt; _x000D_
 se revisa y se valida que el job de notifications para registrelo este encendido y funcionando, se informa de que hay un error y se queda monitoreando el servicio se llega a concluir que el error era  un error viejo ya que el servicio mostraba logs actuales y recibiendo solicitudes en tiempo real</t>
  </si>
  <si>
    <t>RM DOC Id.Reu_Equipo:_x000D_
Se realiza una reunión para editar documentación sobre la solicitud de puertos y usuario para comenzar el monitoreo con Grafana debido a que no se cumplieron en la totalidad los requerimientos de la solicitud hecha con anterioridad a RACSA.</t>
  </si>
  <si>
    <t>RM DOC Id.Reu_Equipo:_x000D_
Revisión de error y reinicios de apps múltiples veces, por errores de latencia en PRD y bloqueos causados por latencia, llamada atendida junto con Raquel y Greivin.</t>
  </si>
  <si>
    <t>REDIMED - Ticket#2026031027000127 - Agregar nueva columna a Reporte._x000D_
_x000D_
Para optimizar el proceso de validación en el reporte "REPORTE INTERNO AJUSTES EN RIS", se ha procedido con el ajuste solicitado, para facilitar el proceso de validación._x000D_
El cambio solicitado era: agregar la columna de Paciente en la pestaña "Duplicados Acc Number"._x000D_
Al respecto, se realizaron las siguientes tareas para el ajuste, ya han sido completadas siguiendo este proceso:_x000D_
	Desarrollo: Se modificó la constitución del reporte ...</t>
  </si>
  <si>
    <t>REDIMED - Ticket#2026031627000214 - Crear un usuario para el Hospital La Anexion._x000D_
_x000D_
De acuerdo a lo solicitado en la creación de un nuevo usuario, se tiene lo siguiente:_x000D_
_x000D_
1.	Acceso para usuario del Hospital La Anexión_x000D_
1.	Este sólo podrá ver la información de dicho hospital._x000D_
2.	La restricción se da por el Centro de Salud Dueño del Estudio, haciendo referencia a quién se le facturó._x000D_
3.	Se tiene acceso a sólo carpetas específicas de REDIMED._x000D_
2.	Credenciales:_x000D_
1.	Se tiene un usuario estándar, lo cual ...</t>
  </si>
  <si>
    <t>REDIMED - Ticket#2026031027000387 - Variables clinicas - creacion de tablas._x000D_
_x000D_
Recibido el requerimiento para la creación de la tabla de variables clínicas destinada al consumo de BI, se analiza la solicitud para entendimiento._x000D_
_x000D_
Tras analizar la estructura propuesta, se han identificado puntos de mejora críticos para garantizar la integridad de los datos, la trazabilidad clínica y la utilidad de los reportes finales._x000D_
_x000D_
Por tal motivo, se responde el correo con lo detectado, para definir los pasos sig...</t>
  </si>
  <si>
    <t>REDIMED - Ticket#2026032427000146 - Nuevo reporte._x000D_
_x000D_
Para este requerimiento, se tiene un ajuste dado a la solicitud original:_x000D_
 * Detectar Pacientes con diferente Nombre para el mismo ID en VNA._x000D_
 * Generar lo mismo para RIS, PACS y PP, también._x000D_
_x000D_
Se realiza un análisis rápido de la información, para tener un % de error que cumplen esta regla. Al no encontrar ningún caso, mucho por el proceso de validación que se realiza de limpieza o asociación del ID Paciente de RIS, se procede a validar VNA, que fu...</t>
  </si>
  <si>
    <t>REDIMED - Generación de la Facturación Maro 2026._x000D_
_x000D_
El personal de Salud solicita la ejecución del proceso de facturación._x000D_
_x000D_
Se valida la información y se ejecuta el proceso._x000D_
_x000D_
En el proceso de validación se detecta un faltante de dos estudios de RIS que no fueron facturados. Se procede a validar la razón de la exclusión del proceso. Se detecta el error por faltante de IDs de Períodos en la Dimensión para estudios de 2030._x000D_
_x000D_
Para poder realizar la carga de datos, se construye un SQL para llenar los d...</t>
  </si>
  <si>
    <t>REDIMED - Generación de la Facturación Maro 2026._x000D_
_x000D_
Se continúa con la ejecución de la facturación. _x000D_
_x000D_
Para los nuevos estudios RIS ingresados como faltantes para la facturación, se quedaron 321 estudios sin facturar de los más de 1000 estudios nuevos._x000D_
_x000D_
Se revisa el motivo de la exclusión. Se detecta un problema con el rollback que no estaba apagando la totalidad de estudios a facturar para el período. Por tal motivo, no los tomaba en cuenta para el proceso._x000D_
_x000D_
Se actualiza el flag de dichos estudios...</t>
  </si>
  <si>
    <t>REDIMED - Gestión y Resolución de Tiquetes REDIMED._x000D_
_x000D_
Análisis de Incidencias: Revisión técnica de tiquetes complejos. _x000D_
_x000D_
En el tiquete de "Nuevo Reporte", se gestionó una reunión para destrabar dudas funcionales; en el de "Producción de Modalidades", se realizó un análisis de contra-respuesta para ajustar discrepancias en los datos reportados.</t>
  </si>
  <si>
    <t>REDIMED - Reunión de Ticket 2026031027000387 - Variables clinicas._x000D_
_x000D_
A continuación, se detalla el desglose de actividades definidas para la construcción de la tabla de estudios clínicos:_x000D_
1. Definición y Estructuración de la Tabla_x000D_
Andrey procederá con el diseño técnico de la base de datos, asegurando que los campos requeridos cumplan con los estándares necesarios para interoperabilidad clínica._x000D_
	Campos a incluir:_x000D_
	Acc# (Número de acceso/identificador del estudio)._x000D_
	Paciente (Nombre o ID del paci...</t>
  </si>
  <si>
    <t>RM INF Id.Sop_Infraestruc:_x000D_
1. Revisión de respaldos en servidor BARMAN_x000D_
2. Chequeo de estado de conexiones de EDB en ambiente de Producción en los servidores dba1, dba2 y dba3._x000D_
3. Revisión de log's de EDB y PGPool en los servidores dba1, dba2 y dba3._x000D_
4. Chequeo del estado del EBD's y PGPool._x000D_
5. Tabulación de consumo de espacio de archivos WAL. _x000D_
6. Tabulación de consumo de espacio de la BD estadísticas y images_workflow.</t>
  </si>
  <si>
    <t>RM INF Id.Sop_Infraestruc:_x000D_
Se atiende solicitud de César Matarrita para apoyo con un servidor en REDIMED. Al final no se recibe la llamada, pero si se estuvo al pendiente y se realizó la conexión al VPN de la CCSS.</t>
  </si>
  <si>
    <t>RM INF Id.Monit_inf:_x000D_
1. Revisión de respaldos en servidor BARMAN. _x000D_
2. Chequeo de estado de conexiones de EDB en ambiente de _x000D_
3. Revisión de log's de EDB y PGPool en los servidores dba1, dba2 y dba3._x000D_
4. Chequeo del estado del EBD's y PGPool._x000D_
5. Tabulación de consumo de espacio de archivos WAL. _x000D_
6. Tabulación de consumo de espacio de la BD estadísticas y images_workflow.</t>
  </si>
  <si>
    <t>RM INF Id.Monit_inf:_x000D_
1. Revisión de respaldos en servidor BARMAN_x000D_
2. Chequeo de estado de conexiones de EDB en ambiente de Producción en los servidores dba1, dba2 y dba3._x000D_
3. Revisión de log's de EDB y PGPool en los servidores dba1, dba2 y dba3._x000D_
4. Chequeo del estado del EBD's y PGPool._x000D_
5. Tabulación de consumo de espacio de archivos WAL. _x000D_
6. Tabulación de consumo de espacio de la BD estadísticas y images_workflow._x000D_
_x000D_
7. Se generan respaldos de las BD's SQLAnywhere del BO y el DS.</t>
  </si>
  <si>
    <t>RM INF Id.Monit_inf:_x000D_
1. Revisión de respaldos en servidorsrv03soinresp. _x000D_
2. Desmontado de disco USB. _x000D_
3. Solicitar cambio del disco._x000D_
a.  Se cambia disco de LUNES por MARTES._x000D_
b. Se cambia disco de MARTES por MIERCOLES._x000D_
4. Montado del disco USB. _x000D_
5. Revisión de copiado de respaldos para subida a bucket._x000D_
6. Revisión del proceso de copiado de archivos al bucket en OCI._x000D_
7. Llenado de registro</t>
  </si>
  <si>
    <t xml:space="preserve">RM INF Id.Monit_inf:_x000D_
1. Revisión de respaldos en servidor BARMAN_x000D_
2. Chequeo de estado de conexiones de EDB en ambiente de Producción en los servidores dba1, dba2 y dba3._x000D_
3. Revisión de log's de EDB y PGPool en los servidores dba1, dba2 y dba3._x000D_
4. Chequeo del estado del EBD's y PGPool._x000D_
5. Tabulación de consumo de espacio de archivos WAL. _x000D_
6. Tabulación de consumo de espacio de la BD estadísticas y images_workflow._x000D_
_x000D_
7. Se generan respaldos de las BD's SQLAnywhere del BO y el DS._x000D_
</t>
  </si>
  <si>
    <t xml:space="preserve">RM INF Id.Monit_inf:_x000D_
1. Revisión de respaldos en servidor BARMAN_x000D_
2. Chequeo de estado de conexiones de EDB en ambiente de Producción en los servidores dba1, dba2 y dba3._x000D_
3. Revisión de log's de EDB y PGPool en los servidores dba1, dba2 y dba3._x000D_
4. Chequeo del estado del EBD's y PGPool._x000D_
5. Tabulación de consumo de espacio de archivos WAL. _x000D_
6. Tabulación de consumo de espacio de la BD estadísticas y images_workflow._x000D_
</t>
  </si>
  <si>
    <t>RM BDS Id.Sop_BaseDatos:_x000D_
1. Extracción de uso por base de datos. _x000D_
2. Extracción de uso por tabla de la base de datos estadisticas. _x000D_
_x000D_
a. Se saca información de jueves, viernes, sábado, domingo, lunes, martes.</t>
  </si>
  <si>
    <t>RM BDS Id.Sop_BaseDatos:_x000D_
1. Extracción de uso por base de datos. _x000D_
2. Extracción de uso por tabla de la base de datos estadisticas. _x000D_
_x000D_
Martes y miércoles.</t>
  </si>
  <si>
    <t>RM BDS Id.Sop_BaseDatos:_x000D_
1. Revisión y pruebas de scripts de respaldos de BD SQL Anywhere para habilitar limpiado de log's en la BD BI4_Audit. Esto se hizo en los servidores de BO y DS.</t>
  </si>
  <si>
    <t>RM AUT Id.Imp_nueva_auto:_x000D_
Creacion de groovys para auth api y ui produccion</t>
  </si>
  <si>
    <t>RM AUT Id.Imp_nueva_auto:_x000D_
mejora dentro de las tareas de instalacion para redimed prod</t>
  </si>
  <si>
    <t>/0026/0012</t>
  </si>
  <si>
    <t>RM INC Id.Corr_incidentes:_x000D_
reunión con cesa de 2 horas, para levantar los procesos de node que estaban abajo por la restauración de los servidores del ambiente productivo dado de que el sistema dio error en instalación la noche anterior, y se tuvo que restaurar una versión anterior de los servidores</t>
  </si>
  <si>
    <t>ERP-S</t>
  </si>
  <si>
    <t>350_NV.OP.SWAT</t>
  </si>
  <si>
    <t>/0002</t>
  </si>
  <si>
    <t>DIR-ESTR</t>
  </si>
  <si>
    <t>e-Salud</t>
  </si>
  <si>
    <t>PRY-ESP</t>
  </si>
  <si>
    <t>REUNIONES CLIENTES</t>
  </si>
  <si>
    <t>/0002/0002</t>
  </si>
  <si>
    <t>Qatar: LDP Proposal - Reunión con Tanaka y más</t>
  </si>
  <si>
    <t>02</t>
  </si>
  <si>
    <t>/0002/0004</t>
  </si>
  <si>
    <t>Mesa técnica para nuevo requerimiento de gestión de proveedores</t>
  </si>
  <si>
    <t>Reunion para demostración de flujo de cv y experiencia laboral. Aclaración de dudas con equipo</t>
  </si>
  <si>
    <t>Reunión para explicación y análisis de nuevo requerimiento de garantías</t>
  </si>
  <si>
    <t>Area SOIN Id.ERP-S:_x000D_
Reunión interna con Fernanada Araya para revisión de primera propuesta del diseño de plataforma erp</t>
  </si>
  <si>
    <t>INVESTIGACIÓN</t>
  </si>
  <si>
    <t>/0002/0012</t>
  </si>
  <si>
    <t>Investigación para nueva propuesta de pantalla de navegación web</t>
  </si>
  <si>
    <t>DISEÑO</t>
  </si>
  <si>
    <t>/0002/0016</t>
  </si>
  <si>
    <t>Diseño, ajustes y cambios en flujo de CV y experiencia laboral</t>
  </si>
  <si>
    <t>Análisis, planeación y definición de flujo de gestión de proveedores</t>
  </si>
  <si>
    <t>Análisis de contenido existente y planteamiento de posibles propuestas.</t>
  </si>
  <si>
    <t>Análisis de contenido existente, planteamiento de posibles propuestas y diseño de propuesta de flujos y UI.</t>
  </si>
  <si>
    <t>Diseño de nueva pantalla y componentes de navegación de propuesta nueva SIGES</t>
  </si>
  <si>
    <t>Area SOIN Id.ERP-S:_x000D_
Diseño de últimos detalles de la primera propuesta para Sapiens</t>
  </si>
  <si>
    <t>Area SOIN Id.ERP-S:_x000D_
Diseño de nueva propuesta después del feedback</t>
  </si>
  <si>
    <t>Area SOIN Id.ERP-S:_x000D_
Diseño y actualización de componentes y vista para mejorara navegación</t>
  </si>
  <si>
    <t>Area SOIN Id.ERP-S:_x000D_
Actualización diseño para mejoras de navegación SAPIENS</t>
  </si>
  <si>
    <t>Area SOIN Id.ERP-S:_x000D_
Diseño y actualización de feedback de navegación de SAPIENS</t>
  </si>
  <si>
    <t>9</t>
  </si>
  <si>
    <t>DOCUMENTACIÓN</t>
  </si>
  <si>
    <t>/0002/0018</t>
  </si>
  <si>
    <t>Se hace desarrollo de requerimientos del app de inspecciones</t>
  </si>
  <si>
    <t>19</t>
  </si>
  <si>
    <t>DEMOSTRACIÓN</t>
  </si>
  <si>
    <t>/0002/0038</t>
  </si>
  <si>
    <t>Area SOIN Id.ERP-S:_x000D_
Revisión con Frederick junto a Fer Araya sobre nueva propuesta de la mejora en navegación del ERP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</si>
</sst>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dd/mm/yy;@"/>
    <numFmt numFmtId="165" formatCode="0.0"/>
    <numFmt numFmtId="166" formatCode="dd/mm/yy\ h:mm"/>
  </numFmts>
  <fonts count="8">
    <font>
      <sz val="11"/>
      <color theme="1"/>
      <name val="Calibri"/>
      <family val="2"/>
      <scheme val="minor"/>
    </font>
    <font>
      <b/>
      <sz val="11"/>
      <color theme="1"/>
      <name val="Calibri"/>
      <family val="2"/>
      <scheme val="minor"/>
    </font>
    <font>
      <sz val="8"/>
      <name val="Calibri"/>
      <family val="2"/>
      <scheme val="minor"/>
    </font>
    <font>
      <sz val="10"/>
      <color theme="1"/>
      <name val="Arial Unicode MS"/>
    </font>
    <font>
      <sz val="11"/>
      <color theme="1"/>
      <name val="Calibri"/>
      <family val="2"/>
      <scheme val="minor"/>
    </font>
    <font>
      <sz val="11"/>
      <color rgb="FF000000"/>
      <name val="Calibri"/>
      <family val="2"/>
    </font>
    <font>
      <sz val="10"/>
      <color theme="1"/>
      <name val="Titillium Web"/>
    </font>
    <font>
      <b/>
      <sz val="10"/>
      <color theme="1"/>
      <name val="Titillium Web"/>
    </font>
  </fonts>
  <fills count="5">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44" fontId="4" fillId="0" borderId="0" applyFont="0" applyFill="0" applyBorder="0" applyAlignment="0" applyProtection="0"/>
  </cellStyleXfs>
  <cellXfs count="78">
    <xf numFmtId="0" fontId="0" fillId="0" borderId="0" xfId="0"/>
    <xf numFmtId="14" fontId="0" fillId="0" borderId="0" xfId="0" applyNumberFormat="1"/>
    <xf numFmtId="0" fontId="1" fillId="0" borderId="0" xfId="0" applyFont="1"/>
    <xf numFmtId="0" fontId="0" fillId="2" borderId="0" xfId="0" applyFill="1"/>
    <xf numFmtId="22" fontId="0" fillId="0" borderId="0" xfId="0" applyNumberFormat="1"/>
    <xf numFmtId="14" fontId="1" fillId="0" borderId="0" xfId="0" applyNumberFormat="1" applyFont="1" applyAlignment="1">
      <alignment horizontal="center"/>
    </xf>
    <xf numFmtId="0" fontId="1" fillId="0" borderId="0" xfId="0" applyFont="1" applyAlignment="1">
      <alignment horizontal="center"/>
    </xf>
    <xf numFmtId="14" fontId="0" fillId="3" borderId="0" xfId="0" applyNumberFormat="1" applyFill="1"/>
    <xf numFmtId="0" fontId="0" fillId="0" borderId="1" xfId="0" applyBorder="1"/>
    <xf numFmtId="0" fontId="0" fillId="3" borderId="1" xfId="0" applyFill="1" applyBorder="1"/>
    <xf numFmtId="0" fontId="3" fillId="0" borderId="0" xfId="0" applyFont="1" applyAlignment="1">
      <alignment vertical="center"/>
    </xf>
    <xf numFmtId="49" fontId="0" fillId="3" borderId="1" xfId="0" applyNumberFormat="1" applyFill="1" applyBorder="1"/>
    <xf numFmtId="0" fontId="0" fillId="0" borderId="0" xfId="0" applyAlignment="1">
      <alignment horizontal="center"/>
    </xf>
    <xf numFmtId="0" fontId="1" fillId="0" borderId="1" xfId="0" applyFont="1" applyBorder="1" applyAlignment="1">
      <alignment horizontal="center"/>
    </xf>
    <xf numFmtId="44" fontId="0" fillId="0" borderId="0" xfId="1" applyFont="1"/>
    <xf numFmtId="0" fontId="6" fillId="4" borderId="0" xfId="0" applyFont="1" applyFill="1"/>
    <xf numFmtId="0" fontId="7" fillId="4" borderId="0" xfId="0" applyFont="1" applyFill="1" applyAlignment="1">
      <alignment horizontal="right" vertical="center" wrapText="1"/>
    </xf>
    <xf numFmtId="0" fontId="6" fillId="4" borderId="0" xfId="0" applyFont="1" applyFill="1" applyAlignment="1">
      <alignment vertical="center"/>
    </xf>
    <xf numFmtId="0" fontId="7" fillId="4" borderId="0" xfId="0" applyFont="1" applyFill="1" applyAlignment="1">
      <alignment vertical="center" wrapText="1"/>
    </xf>
    <xf numFmtId="0" fontId="6" fillId="4" borderId="2" xfId="0" applyFont="1" applyFill="1" applyBorder="1"/>
    <xf numFmtId="0" fontId="7" fillId="3" borderId="3" xfId="0" applyFont="1" applyFill="1" applyBorder="1" applyAlignment="1">
      <alignment horizontal="center" vertical="center" wrapText="1"/>
    </xf>
    <xf numFmtId="0" fontId="6" fillId="4" borderId="0" xfId="0" applyFont="1" applyFill="1" applyAlignment="1">
      <alignment horizontal="center" vertical="center" wrapText="1"/>
    </xf>
    <xf numFmtId="0" fontId="6" fillId="4" borderId="0" xfId="0" applyFont="1" applyFill="1" applyAlignment="1">
      <alignment vertical="center" wrapText="1"/>
    </xf>
    <xf numFmtId="2" fontId="6" fillId="4" borderId="0" xfId="0" applyNumberFormat="1" applyFont="1" applyFill="1" applyAlignment="1">
      <alignment horizontal="center" vertical="center" wrapText="1"/>
    </xf>
    <xf numFmtId="0" fontId="6" fillId="4" borderId="0" xfId="0" applyFont="1" applyFill="1" applyAlignment="1">
      <alignment horizontal="left" vertical="center" wrapText="1"/>
    </xf>
    <xf numFmtId="14" fontId="6" fillId="4" borderId="0" xfId="0" applyNumberFormat="1" applyFont="1" applyFill="1" applyAlignment="1">
      <alignment horizontal="center" vertical="center"/>
    </xf>
    <xf numFmtId="0" fontId="7" fillId="4" borderId="0" xfId="0" applyFont="1" applyFill="1"/>
    <xf numFmtId="0" fontId="1" fillId="0" borderId="1" xfId="0" applyFont="1" applyBorder="1" applyAlignment="1">
      <alignment horizontal="center" vertical="center"/>
    </xf>
    <xf numFmtId="14" fontId="0" fillId="0" borderId="1" xfId="0" applyNumberFormat="1" applyBorder="1" applyAlignment="1">
      <alignment horizontal="center" vertical="center"/>
    </xf>
    <xf numFmtId="0" fontId="0" fillId="0" borderId="1" xfId="0" applyBorder="1" applyAlignment="1">
      <alignment horizontal="center" vertical="center"/>
    </xf>
    <xf numFmtId="164" fontId="0" fillId="0" borderId="0" xfId="0" applyNumberFormat="1"/>
    <xf numFmtId="0" fontId="0" fillId="0" borderId="4" xfId="0" applyBorder="1" applyAlignment="1">
      <alignment horizontal="center" vertical="center"/>
    </xf>
    <xf numFmtId="0" fontId="0" fillId="0" borderId="1" xfId="0" applyBorder="1" applyAlignment="1">
      <alignment horizontal="center"/>
    </xf>
    <xf numFmtId="44" fontId="0" fillId="0" borderId="0" xfId="0" applyNumberFormat="1"/>
    <xf numFmtId="14" fontId="0" fillId="0" borderId="1" xfId="0" applyNumberFormat="1" applyBorder="1" applyAlignment="1">
      <alignment horizontal="center"/>
    </xf>
    <xf numFmtId="0" fontId="1" fillId="0" borderId="1" xfId="0" applyFont="1" applyBorder="1"/>
    <xf numFmtId="4" fontId="0" fillId="0" borderId="1" xfId="0" applyNumberFormat="1" applyBorder="1" applyAlignment="1">
      <alignment horizontal="center"/>
    </xf>
    <xf numFmtId="4" fontId="1" fillId="0" borderId="1" xfId="0" applyNumberFormat="1" applyFont="1" applyBorder="1" applyAlignment="1">
      <alignment horizontal="center"/>
    </xf>
    <xf numFmtId="4" fontId="1" fillId="0" borderId="5" xfId="0" applyNumberFormat="1" applyFont="1" applyBorder="1" applyAlignment="1">
      <alignment horizontal="center"/>
    </xf>
    <xf numFmtId="14" fontId="0" fillId="2" borderId="0" xfId="0" applyNumberFormat="1" applyFill="1"/>
    <xf numFmtId="0" fontId="0" fillId="0" borderId="0" xfId="0" quotePrefix="1"/>
    <xf numFmtId="164" fontId="0" fillId="0" borderId="0" xfId="0" applyNumberFormat="1" applyAlignment="1">
      <alignment horizontal="center"/>
    </xf>
    <xf numFmtId="49" fontId="0" fillId="0" borderId="0" xfId="0" applyNumberFormat="1"/>
    <xf numFmtId="4" fontId="0" fillId="0" borderId="0" xfId="0" applyNumberFormat="1" applyAlignment="1">
      <alignment horizontal="center"/>
    </xf>
    <xf numFmtId="4" fontId="1" fillId="0" borderId="0" xfId="0" applyNumberFormat="1" applyFont="1" applyAlignment="1">
      <alignment horizontal="center"/>
    </xf>
    <xf numFmtId="14" fontId="0" fillId="0" borderId="1" xfId="0" applyNumberFormat="1" applyBorder="1"/>
    <xf numFmtId="4" fontId="0" fillId="0" borderId="0" xfId="0" applyNumberFormat="1"/>
    <xf numFmtId="0" fontId="1" fillId="0" borderId="1" xfId="0" applyFont="1" applyBorder="1" applyAlignment="1">
      <alignment horizontal="center" vertical="center" wrapText="1"/>
    </xf>
    <xf numFmtId="4" fontId="1" fillId="0" borderId="1" xfId="0" applyNumberFormat="1" applyFont="1" applyBorder="1" applyAlignment="1">
      <alignment horizontal="center" vertical="center" wrapText="1"/>
    </xf>
    <xf numFmtId="164" fontId="0" fillId="0" borderId="1" xfId="0" applyNumberFormat="1" applyBorder="1" applyAlignment="1">
      <alignment horizontal="center"/>
    </xf>
    <xf numFmtId="4" fontId="0" fillId="0" borderId="1" xfId="0" applyNumberFormat="1" applyBorder="1"/>
    <xf numFmtId="0" fontId="1" fillId="0" borderId="5" xfId="0" applyFont="1" applyBorder="1" applyAlignment="1">
      <alignment horizontal="center" vertical="center" wrapText="1"/>
    </xf>
    <xf numFmtId="4" fontId="1" fillId="0" borderId="5" xfId="0" applyNumberFormat="1" applyFont="1" applyBorder="1" applyAlignment="1">
      <alignment horizontal="center" vertical="center" wrapText="1"/>
    </xf>
    <xf numFmtId="4" fontId="1" fillId="0" borderId="5" xfId="0" applyNumberFormat="1" applyFont="1" applyBorder="1" applyAlignment="1">
      <alignment horizontal="center" vertical="center"/>
    </xf>
    <xf numFmtId="0" fontId="0" fillId="0" borderId="0" xfId="0" applyAlignment="1">
      <alignment horizontal="left"/>
    </xf>
    <xf numFmtId="0" fontId="1" fillId="0" borderId="1" xfId="0" applyFont="1" applyBorder="1" applyAlignment="1">
      <alignment horizontal="left" vertical="center" wrapText="1"/>
    </xf>
    <xf numFmtId="0" fontId="1" fillId="0" borderId="5" xfId="0" applyFont="1" applyBorder="1" applyAlignment="1">
      <alignment horizontal="left" vertical="center" wrapText="1"/>
    </xf>
    <xf numFmtId="0" fontId="0" fillId="0" borderId="1" xfId="0" applyBorder="1" applyAlignment="1">
      <alignment horizontal="left"/>
    </xf>
    <xf numFmtId="164" fontId="0" fillId="0" borderId="1" xfId="0" applyNumberFormat="1" applyBorder="1" applyAlignment="1">
      <alignment horizontal="left"/>
    </xf>
    <xf numFmtId="165" fontId="0" fillId="0" borderId="0" xfId="0" applyNumberFormat="1"/>
    <xf numFmtId="0" fontId="1" fillId="0" borderId="0" xfId="0" applyFont="1" applyAlignment="1">
      <alignment horizontal="left"/>
    </xf>
    <xf numFmtId="0" fontId="1" fillId="0" borderId="0" xfId="0" applyFont="1" applyAlignment="1">
      <alignment horizontal="center" vertical="center" wrapText="1"/>
    </xf>
    <xf numFmtId="4" fontId="1" fillId="0" borderId="0" xfId="0" applyNumberFormat="1" applyFont="1" applyAlignment="1">
      <alignment horizontal="center" vertical="center" wrapText="1"/>
    </xf>
    <xf numFmtId="4" fontId="1" fillId="0" borderId="0" xfId="0" applyNumberFormat="1" applyFont="1" applyAlignment="1">
      <alignment horizontal="center" vertical="center"/>
    </xf>
    <xf numFmtId="164" fontId="0" fillId="0" borderId="1" xfId="0" applyNumberFormat="1" applyBorder="1" applyAlignment="1">
      <alignment horizontal="center" vertical="center" wrapText="1"/>
    </xf>
    <xf numFmtId="4" fontId="0" fillId="0" borderId="1" xfId="0" applyNumberFormat="1" applyBorder="1" applyAlignment="1">
      <alignment horizontal="center" vertical="center" wrapText="1"/>
    </xf>
    <xf numFmtId="4" fontId="0" fillId="2" borderId="1" xfId="0" applyNumberFormat="1" applyFill="1" applyBorder="1" applyAlignment="1">
      <alignment horizontal="center"/>
    </xf>
    <xf numFmtId="166" fontId="0" fillId="0" borderId="0" xfId="0" applyNumberFormat="1"/>
    <xf numFmtId="4" fontId="1" fillId="0" borderId="1" xfId="0" applyNumberFormat="1" applyFont="1" applyBorder="1" applyAlignment="1">
      <alignment horizontal="center" vertical="center" wrapText="1"/>
    </xf>
    <xf numFmtId="4" fontId="1" fillId="0" borderId="3" xfId="0" applyNumberFormat="1" applyFont="1" applyBorder="1" applyAlignment="1">
      <alignment horizontal="center" vertical="center" wrapText="1"/>
    </xf>
    <xf numFmtId="4" fontId="1" fillId="0" borderId="1" xfId="0" applyNumberFormat="1" applyFont="1" applyBorder="1" applyAlignment="1">
      <alignment horizontal="center" vertical="center"/>
    </xf>
    <xf numFmtId="4" fontId="1" fillId="0" borderId="3" xfId="0" applyNumberFormat="1" applyFont="1" applyBorder="1" applyAlignment="1">
      <alignment horizontal="center" vertical="center"/>
    </xf>
    <xf numFmtId="0" fontId="1" fillId="0" borderId="1" xfId="0" applyFont="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4" fontId="1" fillId="0" borderId="3" xfId="0" applyNumberFormat="1" applyFont="1" applyBorder="1" applyAlignment="1">
      <alignment horizontal="center" wrapText="1"/>
    </xf>
    <xf numFmtId="4" fontId="1" fillId="0" borderId="6" xfId="0" applyNumberFormat="1" applyFont="1" applyBorder="1" applyAlignment="1">
      <alignment horizontal="center" wrapText="1"/>
    </xf>
    <xf numFmtId="0" fontId="1" fillId="0" borderId="6" xfId="0" applyFont="1" applyBorder="1" applyAlignment="1">
      <alignment horizontal="center" vertical="center" wrapText="1"/>
    </xf>
  </cellXfs>
  <cellStyles count="2">
    <cellStyle name="Currency" xfId="1" builtinId="4"/>
    <cellStyle name="Normal" xfId="0" builtinId="0"/>
  </cellStyles>
  <dxfs count="67">
    <dxf>
      <numFmt numFmtId="27" formatCode="m/d/yyyy\ h:mm"/>
    </dxf>
    <dxf>
      <border>
        <left style="thin">
          <color auto="1"/>
        </left>
        <right style="thin">
          <color auto="1"/>
        </right>
        <top style="thin">
          <color auto="1"/>
        </top>
        <bottom style="thin">
          <color auto="1"/>
        </bottom>
        <vertical/>
        <horizontal/>
      </border>
    </dxf>
    <dxf>
      <font>
        <b/>
        <i val="0"/>
        <strike val="0"/>
      </font>
      <fill>
        <patternFill>
          <bgColor theme="0" tint="-0.14996795556505021"/>
        </patternFill>
      </fill>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numFmt numFmtId="34" formatCode="_(&quot;$&quot;* #,##0.00_);_(&quot;$&quot;* \(#,##0.00\);_(&quot;$&quot;* &quot;-&quot;??_);_(@_)"/>
    </dxf>
    <dxf>
      <numFmt numFmtId="0" formatCode="General"/>
    </dxf>
    <dxf>
      <numFmt numFmtId="166" formatCode="dd/mm/yy\ h:mm"/>
    </dxf>
    <dxf>
      <numFmt numFmtId="166" formatCode="dd/mm/yy\ h:mm"/>
    </dxf>
    <dxf>
      <numFmt numFmtId="0" formatCode="General"/>
    </dxf>
    <dxf>
      <numFmt numFmtId="0" formatCode="General"/>
    </dxf>
  </dxfs>
  <tableStyles count="0" defaultTableStyle="TableStyleMedium2" defaultPivotStyle="PivotStyleLight16"/>
  <colors>
    <mruColors>
      <color rgb="FF22ABE3"/>
      <color rgb="FF065B8B"/>
      <color rgb="FF4B5E79"/>
      <color rgb="FF0E375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06/relationships/rdRichValueTypes" Target="richData/rdRichValueTyp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RichValueStructure" Target="richData/rdrichvaluestructure.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19050</xdr:colOff>
          <xdr:row>2</xdr:row>
          <xdr:rowOff>19050</xdr:rowOff>
        </xdr:from>
        <xdr:to>
          <xdr:col>6</xdr:col>
          <xdr:colOff>1543050</xdr:colOff>
          <xdr:row>3</xdr:row>
          <xdr:rowOff>171450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2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R" sz="1100" b="0" i="0" u="none" strike="noStrike" baseline="0">
                  <a:solidFill>
                    <a:srgbClr val="000000"/>
                  </a:solidFill>
                  <a:latin typeface="Calibri"/>
                  <a:ea typeface="Calibri"/>
                  <a:cs typeface="Calibri"/>
                </a:rPr>
                <a:t>Ejecutar Consulta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653142</xdr:colOff>
      <xdr:row>0</xdr:row>
      <xdr:rowOff>97970</xdr:rowOff>
    </xdr:from>
    <xdr:to>
      <xdr:col>1</xdr:col>
      <xdr:colOff>2364382</xdr:colOff>
      <xdr:row>5</xdr:row>
      <xdr:rowOff>110327</xdr:rowOff>
    </xdr:to>
    <xdr:pic>
      <xdr:nvPicPr>
        <xdr:cNvPr id="2" name="2 Imagen">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53142" y="97970"/>
          <a:ext cx="2810697" cy="1099023"/>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Consulta desde Proyectos" connectionId="8" xr16:uid="{53EFCDEF-0382-4E43-BE87-8723E7A1DFE6}" autoFormatId="16" applyNumberFormats="0" applyBorderFormats="0" applyFontFormats="0" applyPatternFormats="0" applyAlignmentFormats="0" applyWidthHeightFormats="0">
  <queryTableRefresh nextId="56" unboundColumnsRight="14">
    <queryTableFields count="31">
      <queryTableField id="8" name="PRYTcodigo" tableColumnId="8"/>
      <queryTableField id="34" name="PRYcodigo" tableColumnId="34"/>
      <queryTableField id="35" name="PRYdescripcion" tableColumnId="35"/>
      <queryTableField id="11" name="PRYAcodigo" tableColumnId="11"/>
      <queryTableField id="12" name="PRYAdescripcion" tableColumnId="12"/>
      <queryTableField id="14" name="PRYAnivel" tableColumnId="14"/>
      <queryTableField id="15" name="PRYApath" tableColumnId="15"/>
      <queryTableField id="17" name="PRYEcodigo" tableColumnId="17"/>
      <queryTableField id="18" name="PRYEdescripcion" tableColumnId="18"/>
      <queryTableField id="20" name="Usulogin" tableColumnId="20"/>
      <queryTableField id="21" name="Usunombre" tableColumnId="21"/>
      <queryTableField id="23" name="PRYRAfecha" tableColumnId="23"/>
      <queryTableField id="25" name="PRYRAcomentario" tableColumnId="25"/>
      <queryTableField id="27" name="PRYRAhoras" tableColumnId="27"/>
      <queryTableField id="43" name="PRYRAid" tableColumnId="7"/>
      <queryTableField id="51" name="PRYItipo" tableColumnId="33"/>
      <queryTableField id="52" name="PRYInumero" tableColumnId="36"/>
      <queryTableField id="28" dataBound="0" tableColumnId="28"/>
      <queryTableField id="29" dataBound="0" tableColumnId="29"/>
      <queryTableField id="30" dataBound="0" tableColumnId="30"/>
      <queryTableField id="31" dataBound="0" tableColumnId="31"/>
      <queryTableField id="32" dataBound="0" tableColumnId="32"/>
      <queryTableField id="41" dataBound="0" tableColumnId="5"/>
      <queryTableField id="44" dataBound="0" tableColumnId="6"/>
      <queryTableField id="45" dataBound="0" tableColumnId="10"/>
      <queryTableField id="46" dataBound="0" tableColumnId="16"/>
      <queryTableField id="47" dataBound="0" tableColumnId="19"/>
      <queryTableField id="48" dataBound="0" tableColumnId="22"/>
      <queryTableField id="49" dataBound="0" tableColumnId="24"/>
      <queryTableField id="50" dataBound="0" tableColumnId="26"/>
      <queryTableField id="55" dataBound="0"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Consulta desde Proyectos" connectionId="1" xr16:uid="{6025E48C-418B-46DA-84C6-17F3325A3659}" autoFormatId="16" applyNumberFormats="0" applyBorderFormats="0" applyFontFormats="0" applyPatternFormats="0" applyAlignmentFormats="0" applyWidthHeightFormats="0">
  <queryTableRefresh nextId="4">
    <queryTableFields count="3">
      <queryTableField id="1" name="PRYGTcodigo" tableColumnId="1"/>
      <queryTableField id="2" name="PRYGTdescripcion" tableColumnId="2"/>
      <queryTableField id="3" name="PRYGTid" tableColumnId="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Consulta desde Proyectos" connectionId="7" xr16:uid="{14139753-4A83-438A-89F6-EEAA73B22701}" autoFormatId="16" applyNumberFormats="0" applyBorderFormats="0" applyFontFormats="0" applyPatternFormats="0" applyAlignmentFormats="0" applyWidthHeightFormats="0">
  <queryTableRefresh nextId="5" unboundColumnsRight="1">
    <queryTableFields count="4">
      <queryTableField id="1" name="PRYcodigo" tableColumnId="1"/>
      <queryTableField id="2" name="PRYdescripcion" tableColumnId="2"/>
      <queryTableField id="4" name="PRYid" tableColumnId="4"/>
      <queryTableField id="3" dataBound="0"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Consulta desde Proyectos" connectionId="2" xr16:uid="{F03D7191-42D0-4404-A2B6-E2204743F0F1}" autoFormatId="16" applyNumberFormats="0" applyBorderFormats="0" applyFontFormats="0" applyPatternFormats="0" applyAlignmentFormats="0" applyWidthHeightFormats="0">
  <queryTableRefresh nextId="4" unboundColumnsRight="1">
    <queryTableFields count="3">
      <queryTableField id="1" name="PRYItipo" tableColumnId="1"/>
      <queryTableField id="2" name="PRYIdescripcion" tableColumnId="2"/>
      <queryTableField id="3" dataBound="0" tableColumnId="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Consulta desde Proyectos" connectionId="3" xr16:uid="{346BEEAD-A104-4095-A3D6-5862FA481ABA}" autoFormatId="16" applyNumberFormats="0" applyBorderFormats="0" applyFontFormats="0" applyPatternFormats="0" applyAlignmentFormats="0" applyWidthHeightFormats="0">
  <queryTableRefresh nextId="5">
    <queryTableFields count="4">
      <queryTableField id="1" name="PRYCcodigo" tableColumnId="1"/>
      <queryTableField id="2" name="PRYCdescripcion" tableColumnId="2"/>
      <queryTableField id="3" name="PRYCfechaIni" tableColumnId="3"/>
      <queryTableField id="4" name="PRYCfechaFin" tableColumnId="4"/>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Consulta desde Proyectos" connectionId="4" xr16:uid="{5972443F-512C-4C64-BBC4-B62A3CC87C2A}" autoFormatId="16" applyNumberFormats="0" applyBorderFormats="0" applyFontFormats="0" applyPatternFormats="0" applyAlignmentFormats="0" applyWidthHeightFormats="0">
  <queryTableRefresh nextId="3">
    <queryTableFields count="2">
      <queryTableField id="1" name="PRYTcodigo" tableColumnId="1"/>
      <queryTableField id="2" name="PRYTdescripcion"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Consulta desde Proyectos" connectionId="5" xr16:uid="{9A213C6A-6EDB-4536-8933-557FE6BFF397}" autoFormatId="16" applyNumberFormats="0" applyBorderFormats="0" applyFontFormats="0" applyPatternFormats="0" applyAlignmentFormats="0" applyWidthHeightFormats="0">
  <queryTableRefresh nextId="3">
    <queryTableFields count="2">
      <queryTableField id="1" name="PRYEcodigo" tableColumnId="1"/>
      <queryTableField id="2" name="PRYEdescripcion"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Consulta desde Proyectos" connectionId="6" xr16:uid="{43DDD4C3-EBF0-4B12-B405-CBC6374F70A6}" autoFormatId="16" applyNumberFormats="0" applyBorderFormats="0" applyFontFormats="0" applyPatternFormats="0" applyAlignmentFormats="0" applyWidthHeightFormats="0">
  <queryTableRefresh nextId="6" unboundColumnsRight="2">
    <queryTableFields count="5">
      <queryTableField id="1" name="Usulogin" tableColumnId="1"/>
      <queryTableField id="2" name="Usunombre" tableColumnId="2"/>
      <queryTableField id="3" name="PRYUcosto" tableColumnId="3"/>
      <queryTableField id="4" dataBound="0" tableColumnId="4"/>
      <queryTableField id="5" dataBound="0" tableColumnId="5"/>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0</v>
    <v>8</v>
    <v>13</v>
    <v>6</v>
  </rv>
  <rv s="1">
    <v>13</v>
    <v>3</v>
  </rv>
</rvData>
</file>

<file path=xl/richData/rdrichvaluestructure.xml><?xml version="1.0" encoding="utf-8"?>
<rvStructures xmlns="http://schemas.microsoft.com/office/spreadsheetml/2017/richdata" count="2">
  <s t="_error">
    <k n="colOffset" t="i"/>
    <k n="errorType" t="i"/>
    <k n="rwOffset" t="i"/>
    <k n="subType" t="i"/>
  </s>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972E8FA-14EE-4253-B567-DB71CF08064C}" name="Tabla_Consulta_desde_Proyectos10" displayName="Tabla_Consulta_desde_Proyectos10" ref="A1:AE468" tableType="queryTable" totalsRowShown="0">
  <autoFilter ref="A1:AE468" xr:uid="{6972E8FA-14EE-4253-B567-DB71CF08064C}">
    <filterColumn colId="13">
      <customFilters>
        <customFilter operator="notEqual" val=" "/>
      </customFilters>
    </filterColumn>
  </autoFilter>
  <tableColumns count="31">
    <tableColumn id="8" xr3:uid="{61007E9A-1AC0-4251-85BE-EA0D5D8C9CA5}" uniqueName="8" name="PRYTcodigo" queryTableFieldId="8"/>
    <tableColumn id="34" xr3:uid="{0E28AA68-248E-4463-B5AD-D5A662E7D99F}" uniqueName="34" name="PRYcodigo" queryTableFieldId="34"/>
    <tableColumn id="35" xr3:uid="{BAC17C84-ECB8-45F9-B550-F92E5AFBE658}" uniqueName="35" name="PRYdescripcion" queryTableFieldId="35"/>
    <tableColumn id="11" xr3:uid="{DF00F874-C924-4D77-855C-5D450D541489}" uniqueName="11" name="PRYAcodigo" queryTableFieldId="11"/>
    <tableColumn id="12" xr3:uid="{0481E157-ADB9-44F5-B877-57236F8846A4}" uniqueName="12" name="PRYAdescripcion" queryTableFieldId="12"/>
    <tableColumn id="14" xr3:uid="{A024BFA5-D08E-42CD-80A2-1B1F7FD1F29C}" uniqueName="14" name="PRYAnivel" queryTableFieldId="14"/>
    <tableColumn id="15" xr3:uid="{EE6EDF04-4FCE-497D-AAEB-83BE04D27DBE}" uniqueName="15" name="PRYApath" queryTableFieldId="15"/>
    <tableColumn id="17" xr3:uid="{93FB7E1A-97D9-461B-95D4-0A9ED192B41C}" uniqueName="17" name="PRYEcodigo" queryTableFieldId="17"/>
    <tableColumn id="18" xr3:uid="{A45B84AA-2704-4B72-B57F-B60DBE9F8975}" uniqueName="18" name="PRYEdescripcion" queryTableFieldId="18"/>
    <tableColumn id="20" xr3:uid="{5A42C480-13D8-47C8-BA53-0390DF5DA5A1}" uniqueName="20" name="Usulogin" queryTableFieldId="20"/>
    <tableColumn id="21" xr3:uid="{8B5254B2-8972-41BE-A680-8A471000E5F4}" uniqueName="21" name="Usunombre" queryTableFieldId="21"/>
    <tableColumn id="23" xr3:uid="{07A7032F-10A8-4BDD-8A6D-911E0E10692E}" uniqueName="23" name="PRYRAfecha" queryTableFieldId="23" dataDxfId="0"/>
    <tableColumn id="25" xr3:uid="{93D06FCD-12F5-427B-98A8-1ACB49FDB58A}" uniqueName="25" name="PRYRAcomentario" queryTableFieldId="25"/>
    <tableColumn id="27" xr3:uid="{B2895181-8301-430E-8DCF-E551F2901E77}" uniqueName="27" name="PRYRAhoras" queryTableFieldId="27"/>
    <tableColumn id="7" xr3:uid="{8B585AA1-1D0F-43DC-A262-36D1A4330098}" uniqueName="7" name="PRYRAid" queryTableFieldId="43"/>
    <tableColumn id="33" xr3:uid="{4604B20C-0EC8-4BA9-B52C-DC54AC446C88}" uniqueName="33" name="PRYItipo" queryTableFieldId="51"/>
    <tableColumn id="36" xr3:uid="{A20C4513-0D58-4D05-92A1-4058F31E7DAC}" uniqueName="36" name="PRYInumero" queryTableFieldId="52"/>
    <tableColumn id="28" xr3:uid="{B9ECE2FE-7965-483A-AD28-83BDC9E4E610}" uniqueName="28" name="Columna1" queryTableFieldId="28"/>
    <tableColumn id="29" xr3:uid="{4B6331C0-20E6-4B91-AC26-BA57CDF68E9E}" uniqueName="29" name="Total Actividad" queryTableFieldId="29"/>
    <tableColumn id="30" xr3:uid="{92397F0F-7AF0-4CEB-AE56-650BA6474A00}" uniqueName="30" name="Nivel" queryTableFieldId="30"/>
    <tableColumn id="31" xr3:uid="{FF68B573-429A-4F26-A9A8-2D5819C33AFD}" uniqueName="31" name="No. Usuario" queryTableFieldId="31"/>
    <tableColumn id="32" xr3:uid="{6D1B7A58-ED83-4497-96F1-94A41D578E15}" uniqueName="32" name="No. Actividad" queryTableFieldId="32"/>
    <tableColumn id="5" xr3:uid="{328BB5B9-5487-4622-B366-335024D5480A}" uniqueName="5" name="Nivel1" queryTableFieldId="41">
      <calculatedColumnFormula>Tabla_Consulta_desde_Proyectos10[[#This Row],[PRYcodigo]]&amp;Tabla_Consulta_desde_Proyectos10[[#This Row],[PRYApath]]</calculatedColumnFormula>
    </tableColumn>
    <tableColumn id="6" xr3:uid="{722DD9D7-1B18-442E-B432-436AFF1A4945}" uniqueName="6" name="Actividad" queryTableFieldId="44">
      <calculatedColumnFormula>Tabla_Consulta_desde_Proyectos10[[#This Row],[PRYAcodigo]]&amp;" - "&amp;Tabla_Consulta_desde_Proyectos10[[#This Row],[PRYAdescripcion]]</calculatedColumnFormula>
    </tableColumn>
    <tableColumn id="10" xr3:uid="{8844D1F9-10B9-48D7-917A-B252FB376276}" uniqueName="10" name="Columna2" queryTableFieldId="45">
      <calculatedColumnFormula>SUBSTITUTE(IFERROR(VLOOKUP(LEFT(Tabla_Consulta_desde_Proyectos10[[#This Row],[Nivel1]],LEN(Tabla_Consulta_desde_Proyectos10[[#This Row],[Nivel1]])-5),Tabla_Consulta_desde_Proyectos10[[#All],[Nivel1]:[Actividad]],2,FALSE),""),"_","-")</calculatedColumnFormula>
    </tableColumn>
    <tableColumn id="16" xr3:uid="{65960A02-43D9-417A-BA31-47807D891685}" uniqueName="16" name="Semana" queryTableFieldId="46">
      <calculatedColumnFormula>IFERROR(VLOOKUP(Tabla_Consulta_desde_Proyectos10[[#This Row],[PRYRAfecha]],'Fechas Mes'!G:J,4,TRUE),"")</calculatedColumnFormula>
    </tableColumn>
    <tableColumn id="19" xr3:uid="{5A91F8BE-5FD7-4949-8A95-39112E1143DE}" uniqueName="19" name="Mes" queryTableFieldId="47">
      <calculatedColumnFormula array="1">INDEX('Fechas Mes'!F:F,MATCH(Tabla_Consulta_desde_Proyectos10[[#This Row],[Semana]],'Fechas Mes'!J:J,0),)</calculatedColumnFormula>
    </tableColumn>
    <tableColumn id="22" xr3:uid="{E93E96D7-4F21-4CDD-9AE0-0E9BC831A72C}" uniqueName="22" name="Columna3" queryTableFieldId="48">
      <calculatedColumnFormula>YEAR(Tabla_Consulta_desde_Proyectos10[[#This Row],[PRYRAfecha]])</calculatedColumnFormula>
    </tableColumn>
    <tableColumn id="24" xr3:uid="{8AFBBFF0-B123-47A3-A965-0B9391A17ECF}" uniqueName="24" name="Columna4" queryTableFieldId="49">
      <calculatedColumnFormula>VLOOKUP(Tabla_Consulta_desde_Proyectos10[[#This Row],[PRYRAfecha]],'Fechas Mes'!G:J,4,TRUE)</calculatedColumnFormula>
    </tableColumn>
    <tableColumn id="26" xr3:uid="{74508874-3569-4ABE-8BFD-25CF719484E3}" uniqueName="26" name="Columna5" queryTableFieldId="50">
      <calculatedColumnFormula>IFERROR(VLOOKUP(Tabla_Consulta_desde_Proyectos10[[#This Row],[PRYcodigo]],Catálogo!A:B,2,FALSE),"Otros")</calculatedColumnFormula>
    </tableColumn>
    <tableColumn id="1" xr3:uid="{445AB296-1D3F-4D16-BBE9-39BB10ACC21B}" uniqueName="1" name="Columna6" queryTableFieldId="55">
      <calculatedColumnFormula>IF(LEN(Tabla_Consulta_desde_Proyectos10[[#This Row],[Semana]])&lt;13,"CI",RIGHT(Tabla_Consulta_desde_Proyectos10[[#This Row],[Semana]],4))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5C07F5B-B42B-4D6E-AA59-74331CDB9350}" name="Tabla_Consulta_desde_Proyectos" displayName="Tabla_Consulta_desde_Proyectos" ref="A4:C192" tableType="queryTable" totalsRowShown="0">
  <autoFilter ref="A4:C192" xr:uid="{35952E1E-72B5-4187-BE8A-EE46AE294950}"/>
  <sortState xmlns:xlrd2="http://schemas.microsoft.com/office/spreadsheetml/2017/richdata2" ref="A5:C192">
    <sortCondition ref="A5"/>
  </sortState>
  <tableColumns count="3">
    <tableColumn id="1" xr3:uid="{F25B6702-A362-4C6A-9657-BBE44FEBF931}" uniqueName="1" name="PRYGTcodigo" queryTableFieldId="1"/>
    <tableColumn id="2" xr3:uid="{586FD95E-075D-448A-971B-A201A61E70A7}" uniqueName="2" name="PRYGTdescripcion" queryTableFieldId="2"/>
    <tableColumn id="3" xr3:uid="{FDB41487-E01B-4EF3-82BF-2B01BB17EF5C}" uniqueName="3" name="PRYGTid" queryTableFieldId="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E452567-AF3A-4B1D-BF38-2F1815CF971E}" name="Tabla_Consulta_desde_Proyectos8" displayName="Tabla_Consulta_desde_Proyectos8" ref="A4:D1478" tableType="queryTable" totalsRowShown="0">
  <autoFilter ref="A4:D1478" xr:uid="{C085D5EA-EEAA-4FD9-A67D-8DD60C7A959D}"/>
  <sortState xmlns:xlrd2="http://schemas.microsoft.com/office/spreadsheetml/2017/richdata2" ref="A5:D1478">
    <sortCondition ref="A5"/>
  </sortState>
  <tableColumns count="4">
    <tableColumn id="1" xr3:uid="{EFF2A3A0-A56B-45FC-BBEF-3BDE423402C8}" uniqueName="1" name="PRYcodigo" queryTableFieldId="1"/>
    <tableColumn id="2" xr3:uid="{77478E08-807C-4090-B809-E4A9AF1E6BED}" uniqueName="2" name="PRYdescripcion" queryTableFieldId="2"/>
    <tableColumn id="4" xr3:uid="{C47B6847-0D20-4F0A-997E-ADCDAD0411C6}" uniqueName="4" name="PRYid" queryTableFieldId="4"/>
    <tableColumn id="3" xr3:uid="{9032360D-1746-4A9B-B1D8-EEE38F1C204C}" uniqueName="3" name="Columna1" queryTableFieldId="3" dataDxfId="66">
      <calculatedColumnFormula>SUMIFS(Horas!R:R,Horas!E:E,A6)</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75E3EA2-C63F-46B6-A0CE-3586D1AC2FF6}" name="Tabla_Consulta_desde_Proyectos3" displayName="Tabla_Consulta_desde_Proyectos3" ref="A4:C118" tableType="queryTable" totalsRowShown="0">
  <autoFilter ref="A4:C118" xr:uid="{427C19C0-EA9C-414F-B41C-53E4557C6BC9}"/>
  <tableColumns count="3">
    <tableColumn id="1" xr3:uid="{09210518-B85D-4343-808D-9A7CE565B16D}" uniqueName="1" name="PRYItipo" queryTableFieldId="1"/>
    <tableColumn id="2" xr3:uid="{4BEB5A15-FCA8-4A63-96B9-3AB0B52C7124}" uniqueName="2" name="PRYIdescripcion" queryTableFieldId="2"/>
    <tableColumn id="3" xr3:uid="{F171AAB1-7BD1-490F-BFCD-E6E0E9C17749}" uniqueName="3" name="PRYItipo - PRYIdescripcion" queryTableFieldId="3" dataDxfId="65">
      <calculatedColumnFormula>_xlfn.TEXTJOIN(" - ",TRUE,A5:B5)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0468C43-F11D-4408-B2F3-C84736AD9BF7}" name="Tabla_Consulta_desde_Proyectos4" displayName="Tabla_Consulta_desde_Proyectos4" ref="A4:D289" tableType="queryTable" totalsRowShown="0">
  <autoFilter ref="A4:D289" xr:uid="{C8196726-5740-4CAB-BFA2-054535EEED8D}"/>
  <sortState xmlns:xlrd2="http://schemas.microsoft.com/office/spreadsheetml/2017/richdata2" ref="A5:D289">
    <sortCondition ref="A5"/>
  </sortState>
  <tableColumns count="4">
    <tableColumn id="1" xr3:uid="{6909D089-C6FD-4D0E-B038-0B21EB0B931F}" uniqueName="1" name="PRYCcodigo" queryTableFieldId="1"/>
    <tableColumn id="2" xr3:uid="{78B9F001-313F-4B2F-9E58-712D29839EBB}" uniqueName="2" name="PRYCdescripcion" queryTableFieldId="2"/>
    <tableColumn id="3" xr3:uid="{CDC2AD8D-2C16-4FA3-BB48-133D5826D06B}" uniqueName="3" name="PRYCfechaIni" queryTableFieldId="3" dataDxfId="64"/>
    <tableColumn id="4" xr3:uid="{DCA4B943-1DA9-41F4-BC2F-C688D91EDD32}" uniqueName="4" name="PRYCfechaFin" queryTableFieldId="4" dataDxfId="6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2F47C1F-779F-4162-B8B7-5EE150385A6A}" name="Tabla_Consulta_desde_Proyectos5" displayName="Tabla_Consulta_desde_Proyectos5" ref="A4:B45" tableType="queryTable" totalsRowShown="0">
  <autoFilter ref="A4:B45" xr:uid="{CF1AFEDD-4A6E-431E-9509-C37268DD77FB}"/>
  <tableColumns count="2">
    <tableColumn id="1" xr3:uid="{403AD5B1-ADFD-41F6-8852-222DD36E80A6}" uniqueName="1" name="PRYTcodigo" queryTableFieldId="1"/>
    <tableColumn id="2" xr3:uid="{1C21C42B-1769-493E-8F82-54AF720654EE}" uniqueName="2" name="PRYTdescripcion" queryTableFieldId="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7A4223D-6A9D-40A8-B446-1EF03277FAA4}" name="Tabla_Consulta_desde_Proyectos6" displayName="Tabla_Consulta_desde_Proyectos6" ref="A4:B261" tableType="queryTable" totalsRowShown="0">
  <autoFilter ref="A4:B261" xr:uid="{932E605F-0DAF-49CB-8E27-A590DAB1648B}"/>
  <tableColumns count="2">
    <tableColumn id="1" xr3:uid="{8A506521-DB6A-4DAA-97C6-8FB32D9263BC}" uniqueName="1" name="PRYEcodigo" queryTableFieldId="1"/>
    <tableColumn id="2" xr3:uid="{1242D445-03C8-4775-8396-FDDF70054DA6}" uniqueName="2" name="PRYEdescripcion" queryTableFieldId="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4726D6-BCE9-42C6-85F7-BFF8374D3704}" name="Tabla_Consulta_desde_Proyectos7" displayName="Tabla_Consulta_desde_Proyectos7" ref="A4:E947" tableType="queryTable" totalsRowShown="0">
  <autoFilter ref="A4:E947" xr:uid="{F4FAB776-ACDB-4D92-878E-B04BEA071E2C}"/>
  <sortState xmlns:xlrd2="http://schemas.microsoft.com/office/spreadsheetml/2017/richdata2" ref="A5:E947">
    <sortCondition ref="A5"/>
  </sortState>
  <tableColumns count="5">
    <tableColumn id="1" xr3:uid="{AE02FEAB-14E6-45C5-ABBC-315C4D8CD9A2}" uniqueName="1" name="Usulogin" queryTableFieldId="1"/>
    <tableColumn id="2" xr3:uid="{86CDAF25-0EBA-4BBE-9F25-A8263F3C5D17}" uniqueName="2" name="Usunombre" queryTableFieldId="2"/>
    <tableColumn id="3" xr3:uid="{80A0198C-2B40-473F-8415-438C68990D59}" uniqueName="3" name="PRYUcosto" queryTableFieldId="3"/>
    <tableColumn id="4" xr3:uid="{5545AD30-FA98-47E2-8419-25BDDBF507A7}" uniqueName="4" name="Horas" queryTableFieldId="4" dataDxfId="62">
      <calculatedColumnFormula>SUMIFS(Horas!R:R,Horas!O:O,Tabla_Consulta_desde_Proyectos7[[#This Row],[Usunombre]])</calculatedColumnFormula>
    </tableColumn>
    <tableColumn id="5" xr3:uid="{3C80E37A-9483-4228-9930-9F442FDF6B12}" uniqueName="5" name="Monto" queryTableFieldId="5" dataDxfId="61">
      <calculatedColumnFormula>Tabla_Consulta_desde_Proyectos7[[#This Row],[Horas]]*Tabla_Consulta_desde_Proyectos7[[#This Row],[PRYUcosto]]/8</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8F3A93-B5E4-4E8A-86F1-FD0903B40603}">
  <sheetPr codeName="Hoja4"/>
  <dimension ref="A1:H8"/>
  <sheetViews>
    <sheetView workbookViewId="0">
      <selection activeCell="G8" sqref="G8:H8"/>
    </sheetView>
  </sheetViews>
  <sheetFormatPr defaultColWidth="11.5703125" defaultRowHeight="15"/>
  <cols>
    <col min="1" max="1" width="20.7109375" bestFit="1" customWidth="1"/>
    <col min="4" max="4" width="19.28515625" bestFit="1" customWidth="1"/>
    <col min="7" max="7" width="16.28515625" customWidth="1"/>
  </cols>
  <sheetData>
    <row r="1" spans="1:8">
      <c r="A1" t="s">
        <v>14</v>
      </c>
      <c r="D1" t="s">
        <v>34</v>
      </c>
      <c r="G1" t="s">
        <v>5375</v>
      </c>
      <c r="H1" t="s">
        <v>5485</v>
      </c>
    </row>
    <row r="2" spans="1:8">
      <c r="A2" t="s">
        <v>16</v>
      </c>
      <c r="B2" t="s">
        <v>15</v>
      </c>
      <c r="D2" t="s">
        <v>16</v>
      </c>
      <c r="E2" t="s">
        <v>15</v>
      </c>
      <c r="G2" t="s">
        <v>5355</v>
      </c>
      <c r="H2" t="s">
        <v>5233</v>
      </c>
    </row>
    <row r="3" spans="1:8">
      <c r="A3" t="s">
        <v>31</v>
      </c>
      <c r="B3">
        <v>2</v>
      </c>
      <c r="D3" t="s">
        <v>3846</v>
      </c>
      <c r="E3">
        <v>2</v>
      </c>
      <c r="G3" t="s">
        <v>5357</v>
      </c>
      <c r="H3" t="s">
        <v>5233</v>
      </c>
    </row>
    <row r="4" spans="1:8">
      <c r="A4" t="s">
        <v>32</v>
      </c>
      <c r="B4">
        <v>0</v>
      </c>
      <c r="D4" t="s">
        <v>35</v>
      </c>
      <c r="E4">
        <v>1</v>
      </c>
      <c r="G4" t="s">
        <v>5373</v>
      </c>
      <c r="H4" t="s">
        <v>5233</v>
      </c>
    </row>
    <row r="5" spans="1:8">
      <c r="A5" t="s">
        <v>33</v>
      </c>
      <c r="B5">
        <v>1</v>
      </c>
      <c r="D5" t="s">
        <v>36</v>
      </c>
      <c r="E5">
        <v>0</v>
      </c>
      <c r="G5" t="s">
        <v>5361</v>
      </c>
      <c r="H5" t="s">
        <v>5233</v>
      </c>
    </row>
    <row r="6" spans="1:8">
      <c r="G6" t="s">
        <v>5359</v>
      </c>
      <c r="H6" t="s">
        <v>5233</v>
      </c>
    </row>
    <row r="7" spans="1:8">
      <c r="G7" t="s">
        <v>2279</v>
      </c>
      <c r="H7" t="s">
        <v>5487</v>
      </c>
    </row>
    <row r="8" spans="1:8">
      <c r="G8" t="s">
        <v>6433</v>
      </c>
      <c r="H8" t="s">
        <v>5233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B5602-0115-4C10-9C75-F9674814FAF5}">
  <sheetPr codeName="Hoja13"/>
  <dimension ref="A1:B56"/>
  <sheetViews>
    <sheetView workbookViewId="0">
      <selection activeCell="A3" sqref="A3"/>
    </sheetView>
  </sheetViews>
  <sheetFormatPr defaultColWidth="11.42578125" defaultRowHeight="15"/>
  <cols>
    <col min="1" max="1" width="15" bestFit="1" customWidth="1"/>
  </cols>
  <sheetData>
    <row r="1" spans="1:2">
      <c r="A1" t="s">
        <v>5762</v>
      </c>
      <c r="B1" t="s">
        <v>5485</v>
      </c>
    </row>
    <row r="2" spans="1:2">
      <c r="A2" t="s">
        <v>6431</v>
      </c>
      <c r="B2" t="s">
        <v>5485</v>
      </c>
    </row>
    <row r="3" spans="1:2">
      <c r="A3" t="s">
        <v>5863</v>
      </c>
      <c r="B3" t="s">
        <v>5233</v>
      </c>
    </row>
    <row r="4" spans="1:2">
      <c r="A4" t="s">
        <v>5867</v>
      </c>
      <c r="B4" t="s">
        <v>5485</v>
      </c>
    </row>
    <row r="5" spans="1:2">
      <c r="A5" t="s">
        <v>5931</v>
      </c>
      <c r="B5" t="s">
        <v>5233</v>
      </c>
    </row>
    <row r="6" spans="1:2">
      <c r="A6" t="s">
        <v>6027</v>
      </c>
      <c r="B6" t="s">
        <v>5233</v>
      </c>
    </row>
    <row r="7" spans="1:2">
      <c r="A7" t="s">
        <v>5971</v>
      </c>
      <c r="B7" t="s">
        <v>5233</v>
      </c>
    </row>
    <row r="8" spans="1:2">
      <c r="A8" t="s">
        <v>5972</v>
      </c>
      <c r="B8" t="s">
        <v>5233</v>
      </c>
    </row>
    <row r="9" spans="1:2">
      <c r="A9" t="s">
        <v>5970</v>
      </c>
      <c r="B9" t="s">
        <v>5233</v>
      </c>
    </row>
    <row r="10" spans="1:2">
      <c r="A10" t="s">
        <v>6055</v>
      </c>
      <c r="B10" t="s">
        <v>5233</v>
      </c>
    </row>
    <row r="11" spans="1:2">
      <c r="A11" t="s">
        <v>6059</v>
      </c>
      <c r="B11" t="s">
        <v>5233</v>
      </c>
    </row>
    <row r="12" spans="1:2">
      <c r="A12" t="s">
        <v>6060</v>
      </c>
      <c r="B12" t="s">
        <v>5233</v>
      </c>
    </row>
    <row r="13" spans="1:2">
      <c r="A13" t="s">
        <v>6061</v>
      </c>
      <c r="B13" t="s">
        <v>5233</v>
      </c>
    </row>
    <row r="14" spans="1:2">
      <c r="A14" t="s">
        <v>6062</v>
      </c>
      <c r="B14" t="s">
        <v>5233</v>
      </c>
    </row>
    <row r="15" spans="1:2">
      <c r="A15" t="s">
        <v>6063</v>
      </c>
      <c r="B15" t="s">
        <v>5233</v>
      </c>
    </row>
    <row r="16" spans="1:2">
      <c r="A16" t="s">
        <v>6064</v>
      </c>
      <c r="B16" t="s">
        <v>5233</v>
      </c>
    </row>
    <row r="17" spans="1:2">
      <c r="A17" t="s">
        <v>6023</v>
      </c>
      <c r="B17" t="s">
        <v>5233</v>
      </c>
    </row>
    <row r="18" spans="1:2">
      <c r="A18" t="s">
        <v>6024</v>
      </c>
      <c r="B18" t="s">
        <v>5233</v>
      </c>
    </row>
    <row r="19" spans="1:2">
      <c r="A19" t="s">
        <v>6022</v>
      </c>
      <c r="B19" t="s">
        <v>5233</v>
      </c>
    </row>
    <row r="20" spans="1:2">
      <c r="A20" t="s">
        <v>2279</v>
      </c>
      <c r="B20" t="s">
        <v>5487</v>
      </c>
    </row>
    <row r="21" spans="1:2">
      <c r="A21" t="s">
        <v>3632</v>
      </c>
      <c r="B21" t="s">
        <v>5487</v>
      </c>
    </row>
    <row r="22" spans="1:2">
      <c r="A22" t="s">
        <v>4063</v>
      </c>
      <c r="B22" t="s">
        <v>5487</v>
      </c>
    </row>
    <row r="23" spans="1:2">
      <c r="A23" t="s">
        <v>4854</v>
      </c>
      <c r="B23" t="s">
        <v>5487</v>
      </c>
    </row>
    <row r="24" spans="1:2">
      <c r="A24" t="s">
        <v>5400</v>
      </c>
      <c r="B24" t="s">
        <v>5487</v>
      </c>
    </row>
    <row r="25" spans="1:2">
      <c r="A25" t="s">
        <v>5874</v>
      </c>
      <c r="B25" t="s">
        <v>5487</v>
      </c>
    </row>
    <row r="26" spans="1:2">
      <c r="A26" t="s">
        <v>6434</v>
      </c>
      <c r="B26" t="s">
        <v>5487</v>
      </c>
    </row>
    <row r="27" spans="1:2">
      <c r="A27" t="s">
        <v>6433</v>
      </c>
      <c r="B27" t="s">
        <v>5233</v>
      </c>
    </row>
    <row r="28" spans="1:2">
      <c r="A28" t="s">
        <v>6436</v>
      </c>
      <c r="B28" t="s">
        <v>5233</v>
      </c>
    </row>
    <row r="29" spans="1:2">
      <c r="A29" t="s">
        <v>6507</v>
      </c>
      <c r="B29" t="s">
        <v>5233</v>
      </c>
    </row>
    <row r="30" spans="1:2">
      <c r="A30" t="s">
        <v>6510</v>
      </c>
      <c r="B30" t="s">
        <v>5233</v>
      </c>
    </row>
    <row r="31" spans="1:2">
      <c r="A31" t="s">
        <v>6511</v>
      </c>
      <c r="B31" t="s">
        <v>5233</v>
      </c>
    </row>
    <row r="32" spans="1:2">
      <c r="A32" t="s">
        <v>6512</v>
      </c>
      <c r="B32" t="s">
        <v>5233</v>
      </c>
    </row>
    <row r="33" spans="1:2">
      <c r="A33" t="s">
        <v>6513</v>
      </c>
      <c r="B33" t="s">
        <v>5233</v>
      </c>
    </row>
    <row r="34" spans="1:2">
      <c r="A34" t="s">
        <v>6514</v>
      </c>
      <c r="B34" t="s">
        <v>5233</v>
      </c>
    </row>
    <row r="35" spans="1:2">
      <c r="A35" t="s">
        <v>6515</v>
      </c>
      <c r="B35" t="s">
        <v>5233</v>
      </c>
    </row>
    <row r="36" spans="1:2">
      <c r="A36" t="s">
        <v>6516</v>
      </c>
      <c r="B36" t="s">
        <v>5233</v>
      </c>
    </row>
    <row r="37" spans="1:2">
      <c r="A37" t="s">
        <v>6517</v>
      </c>
      <c r="B37" t="s">
        <v>5233</v>
      </c>
    </row>
    <row r="38" spans="1:2">
      <c r="A38" t="s">
        <v>6518</v>
      </c>
      <c r="B38" t="s">
        <v>5233</v>
      </c>
    </row>
    <row r="39" spans="1:2">
      <c r="A39" t="s">
        <v>6519</v>
      </c>
      <c r="B39" t="s">
        <v>5233</v>
      </c>
    </row>
    <row r="40" spans="1:2">
      <c r="A40" t="s">
        <v>6730</v>
      </c>
      <c r="B40" t="s">
        <v>5233</v>
      </c>
    </row>
    <row r="41" spans="1:2">
      <c r="A41" t="s">
        <v>6733</v>
      </c>
      <c r="B41" t="s">
        <v>5233</v>
      </c>
    </row>
    <row r="42" spans="1:2">
      <c r="A42" t="s">
        <v>6734</v>
      </c>
      <c r="B42" t="s">
        <v>5233</v>
      </c>
    </row>
    <row r="43" spans="1:2">
      <c r="A43" t="s">
        <v>6735</v>
      </c>
      <c r="B43" t="s">
        <v>5233</v>
      </c>
    </row>
    <row r="44" spans="1:2">
      <c r="A44" t="s">
        <v>6736</v>
      </c>
      <c r="B44" t="s">
        <v>5233</v>
      </c>
    </row>
    <row r="45" spans="1:2">
      <c r="A45" t="s">
        <v>6737</v>
      </c>
      <c r="B45" t="s">
        <v>5233</v>
      </c>
    </row>
    <row r="46" spans="1:2">
      <c r="A46" t="s">
        <v>6738</v>
      </c>
      <c r="B46" t="s">
        <v>5233</v>
      </c>
    </row>
    <row r="47" spans="1:2">
      <c r="A47" t="s">
        <v>6739</v>
      </c>
      <c r="B47" t="s">
        <v>5233</v>
      </c>
    </row>
    <row r="48" spans="1:2">
      <c r="A48" t="s">
        <v>6740</v>
      </c>
      <c r="B48" t="s">
        <v>5233</v>
      </c>
    </row>
    <row r="49" spans="1:2">
      <c r="A49" t="s">
        <v>6741</v>
      </c>
      <c r="B49" t="s">
        <v>5233</v>
      </c>
    </row>
    <row r="50" spans="1:2">
      <c r="A50" t="s">
        <v>6742</v>
      </c>
      <c r="B50" t="s">
        <v>5233</v>
      </c>
    </row>
    <row r="51" spans="1:2">
      <c r="A51" t="s">
        <v>6743</v>
      </c>
      <c r="B51" t="s">
        <v>5233</v>
      </c>
    </row>
    <row r="52" spans="1:2">
      <c r="A52" t="s">
        <v>6744</v>
      </c>
      <c r="B52" t="s">
        <v>5233</v>
      </c>
    </row>
    <row r="53" spans="1:2">
      <c r="A53" t="s">
        <v>6745</v>
      </c>
      <c r="B53" t="s">
        <v>5485</v>
      </c>
    </row>
    <row r="54" spans="1:2">
      <c r="A54" t="s">
        <v>6731</v>
      </c>
      <c r="B54" t="s">
        <v>5485</v>
      </c>
    </row>
    <row r="55" spans="1:2">
      <c r="A55" t="s">
        <v>6728</v>
      </c>
      <c r="B55" t="s">
        <v>5487</v>
      </c>
    </row>
    <row r="56" spans="1:2">
      <c r="A56" t="s">
        <v>6746</v>
      </c>
      <c r="B56" t="s">
        <v>5487</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40DC0-B02E-4FC6-9C62-2F2F19D36F5F}">
  <sheetPr codeName="Hoja1"/>
  <dimension ref="A2:Y33"/>
  <sheetViews>
    <sheetView tabSelected="1" topLeftCell="E1" workbookViewId="0">
      <selection activeCell="K17" sqref="K17"/>
    </sheetView>
  </sheetViews>
  <sheetFormatPr defaultColWidth="11.5703125" defaultRowHeight="15"/>
  <cols>
    <col min="1" max="1" width="26.7109375" hidden="1" customWidth="1"/>
    <col min="2" max="4" width="18" hidden="1" customWidth="1"/>
    <col min="5" max="5" width="27" bestFit="1" customWidth="1"/>
    <col min="6" max="25" width="22.7109375" customWidth="1"/>
  </cols>
  <sheetData>
    <row r="2" spans="1:25">
      <c r="H2" t="s">
        <v>3868</v>
      </c>
      <c r="I2" t="s">
        <v>3869</v>
      </c>
      <c r="J2" t="s">
        <v>3870</v>
      </c>
      <c r="K2" t="s">
        <v>3871</v>
      </c>
      <c r="L2" t="s">
        <v>3872</v>
      </c>
    </row>
    <row r="3" spans="1:25">
      <c r="A3" t="str">
        <f>"where PRYRAfecha between '"&amp;B3&amp;"' and '"&amp;B4&amp;"'"</f>
        <v>where PRYRAfecha between '2026-04-01 00:00:00' and '2026-04-30 23:59:59'</v>
      </c>
      <c r="B3" s="1" t="str">
        <f>YEAR(F3)&amp;TEXT(F3,"-mm-dd hh:mm:ss")</f>
        <v>2026-04-01 00:00:00</v>
      </c>
      <c r="C3" s="1"/>
      <c r="D3" t="s">
        <v>28</v>
      </c>
      <c r="E3" t="s">
        <v>1</v>
      </c>
      <c r="F3" s="7">
        <v>46113</v>
      </c>
      <c r="H3" t="s">
        <v>3873</v>
      </c>
      <c r="I3" t="s">
        <v>3876</v>
      </c>
      <c r="J3" t="s">
        <v>3879</v>
      </c>
      <c r="K3" t="s">
        <v>3882</v>
      </c>
      <c r="L3" t="s">
        <v>3885</v>
      </c>
    </row>
    <row r="4" spans="1:25">
      <c r="B4" s="1" t="str">
        <f>YEAR(F4)&amp;TEXT(F4+1-0.0000115740740740741,"-mm-dd hh:mm:ss")</f>
        <v>2026-04-30 23:59:59</v>
      </c>
      <c r="C4" s="1"/>
      <c r="D4" t="s">
        <v>28</v>
      </c>
      <c r="E4" t="s">
        <v>2</v>
      </c>
      <c r="F4" s="7">
        <v>46142</v>
      </c>
      <c r="H4" t="s">
        <v>3874</v>
      </c>
      <c r="I4" t="s">
        <v>3877</v>
      </c>
      <c r="J4" t="s">
        <v>3880</v>
      </c>
      <c r="K4" t="s">
        <v>3883</v>
      </c>
      <c r="L4" t="s">
        <v>3886</v>
      </c>
    </row>
    <row r="5" spans="1:25" ht="17.25">
      <c r="A5" t="str">
        <f>IF(C5=2,"","and ra.PRYCcerrado = "&amp;C5)</f>
        <v>and ra.PRYCcerrado = 0</v>
      </c>
      <c r="B5" t="str">
        <f>IF(C5=2,"","and ra.PRYCcerrado = "&amp;C5)</f>
        <v>and ra.PRYCcerrado = 0</v>
      </c>
      <c r="C5" s="16">
        <f>IF(F5="Horas Permitidas",0,IF(F5="Horas No Permitidas",1,2))</f>
        <v>0</v>
      </c>
      <c r="D5" t="s">
        <v>30</v>
      </c>
      <c r="E5" t="s">
        <v>6</v>
      </c>
      <c r="F5" t="s">
        <v>32</v>
      </c>
      <c r="H5" t="s">
        <v>3875</v>
      </c>
      <c r="I5" t="s">
        <v>3878</v>
      </c>
      <c r="J5" t="s">
        <v>3881</v>
      </c>
      <c r="K5" t="s">
        <v>3884</v>
      </c>
      <c r="L5" t="s">
        <v>3887</v>
      </c>
    </row>
    <row r="6" spans="1:25">
      <c r="B6" t="str">
        <f>IF(C6=2,"","and ra.PRYRAfacturable = "&amp;C6)</f>
        <v>and ra.PRYRAfacturable = 1</v>
      </c>
      <c r="C6">
        <f>IF(F6="",2,VLOOKUP(F6,Catálogos!$D$3:$E$5,2,FALSE))</f>
        <v>1</v>
      </c>
      <c r="D6" t="s">
        <v>30</v>
      </c>
      <c r="E6" t="s">
        <v>7</v>
      </c>
      <c r="F6" t="s">
        <v>35</v>
      </c>
    </row>
    <row r="7" spans="1:25">
      <c r="B7" s="1"/>
      <c r="C7" s="1"/>
      <c r="F7" s="1"/>
    </row>
    <row r="8" spans="1:25">
      <c r="B8" s="1"/>
      <c r="C8" s="1" t="s">
        <v>2076</v>
      </c>
      <c r="F8" s="5" t="s">
        <v>2029</v>
      </c>
      <c r="G8" s="6" t="s">
        <v>2030</v>
      </c>
      <c r="H8" s="5" t="s">
        <v>2031</v>
      </c>
      <c r="I8" s="6" t="s">
        <v>2032</v>
      </c>
      <c r="J8" s="5" t="s">
        <v>2033</v>
      </c>
      <c r="K8" s="6" t="s">
        <v>2034</v>
      </c>
      <c r="L8" s="5" t="s">
        <v>2035</v>
      </c>
      <c r="M8" s="6" t="s">
        <v>2036</v>
      </c>
      <c r="N8" s="5" t="s">
        <v>2037</v>
      </c>
      <c r="O8" s="6" t="s">
        <v>2038</v>
      </c>
      <c r="P8" s="5" t="s">
        <v>2039</v>
      </c>
      <c r="Q8" s="6" t="s">
        <v>2040</v>
      </c>
      <c r="R8" s="5" t="s">
        <v>2041</v>
      </c>
      <c r="S8" s="6" t="s">
        <v>2042</v>
      </c>
      <c r="T8" s="5" t="s">
        <v>2043</v>
      </c>
      <c r="U8" s="6" t="s">
        <v>2044</v>
      </c>
      <c r="V8" s="5" t="s">
        <v>2045</v>
      </c>
      <c r="W8" s="6" t="s">
        <v>2046</v>
      </c>
      <c r="X8" s="5" t="s">
        <v>2047</v>
      </c>
      <c r="Y8" s="6" t="s">
        <v>2048</v>
      </c>
    </row>
    <row r="9" spans="1:25">
      <c r="A9" t="str">
        <f>IF(C9=0,"","and (select count(1) from PRYUsuariosGrupo where PRYGTid in ("&amp;B22&amp;") and Ecodigo=uu.Ecodigo and Usucodigo=uu.Usucodigo) &gt; 0")</f>
        <v/>
      </c>
      <c r="B9" t="str">
        <f>_xlfn.TEXTJOIN("', '",TRUE,F9:Y9)</f>
        <v/>
      </c>
      <c r="C9">
        <f>COUNTA(F9:Y9)</f>
        <v>0</v>
      </c>
      <c r="D9" t="s">
        <v>28</v>
      </c>
      <c r="E9" t="s">
        <v>3</v>
      </c>
      <c r="F9" s="8"/>
      <c r="G9" s="8"/>
      <c r="H9" s="8"/>
      <c r="I9" s="8"/>
      <c r="J9" s="8"/>
      <c r="K9" s="8"/>
      <c r="L9" s="8"/>
      <c r="M9" s="8"/>
      <c r="N9" s="8"/>
      <c r="O9" s="8"/>
      <c r="P9" s="8"/>
      <c r="Q9" s="8"/>
      <c r="R9" s="8"/>
      <c r="S9" s="8"/>
      <c r="T9" s="8"/>
      <c r="U9" s="8"/>
      <c r="V9" s="8"/>
      <c r="W9" s="8"/>
      <c r="X9" s="8"/>
      <c r="Y9" s="8"/>
    </row>
    <row r="10" spans="1:25">
      <c r="A10" s="3"/>
      <c r="B10" t="str">
        <f>_xlfn.TEXTJOIN("', '",TRUE,F10:Y10)</f>
        <v/>
      </c>
      <c r="C10">
        <f t="shared" ref="C10:C19" si="0">COUNTA(F10:Y10)</f>
        <v>0</v>
      </c>
      <c r="D10" t="s">
        <v>28</v>
      </c>
      <c r="E10" t="s">
        <v>4</v>
      </c>
      <c r="F10" s="8"/>
      <c r="G10" s="8"/>
      <c r="H10" s="8"/>
      <c r="I10" s="8"/>
      <c r="J10" s="8"/>
      <c r="K10" s="8"/>
      <c r="L10" s="8"/>
      <c r="M10" s="8"/>
      <c r="N10" s="8"/>
      <c r="O10" s="8"/>
      <c r="P10" s="8"/>
      <c r="Q10" s="8"/>
      <c r="R10" s="8"/>
      <c r="S10" s="8"/>
      <c r="T10" s="8"/>
      <c r="U10" s="8"/>
      <c r="V10" s="8"/>
      <c r="W10" s="8"/>
      <c r="X10" s="8"/>
      <c r="Y10" s="8"/>
    </row>
    <row r="11" spans="1:25">
      <c r="A11" s="3"/>
      <c r="B11" t="str">
        <f>_xlfn.TEXTJOIN("', '",TRUE,F11:Y11)</f>
        <v/>
      </c>
      <c r="C11">
        <f t="shared" si="0"/>
        <v>0</v>
      </c>
      <c r="D11" t="s">
        <v>29</v>
      </c>
      <c r="E11" t="s">
        <v>0</v>
      </c>
      <c r="F11" s="11"/>
      <c r="G11" s="11"/>
      <c r="H11" s="9"/>
      <c r="I11" s="9"/>
      <c r="J11" s="9"/>
      <c r="K11" s="9"/>
      <c r="L11" s="9"/>
      <c r="M11" s="9"/>
      <c r="N11" s="9"/>
      <c r="O11" s="9"/>
      <c r="P11" s="9"/>
      <c r="Q11" s="9"/>
      <c r="R11" s="9"/>
      <c r="S11" s="9"/>
      <c r="T11" s="9"/>
      <c r="U11" s="9"/>
      <c r="V11" s="9"/>
      <c r="W11" s="9"/>
      <c r="X11" s="9"/>
      <c r="Y11" s="9"/>
    </row>
    <row r="12" spans="1:25">
      <c r="A12" t="str">
        <f>IF(C12=0,"","and aa.PRYAcodigo in ( '"&amp;B12&amp;"' )")</f>
        <v/>
      </c>
      <c r="B12" t="str">
        <f>_xlfn.TEXTJOIN("', '",TRUE,F12:Y12)</f>
        <v/>
      </c>
      <c r="C12">
        <f t="shared" si="0"/>
        <v>0</v>
      </c>
      <c r="D12" t="s">
        <v>29</v>
      </c>
      <c r="E12" t="s">
        <v>5</v>
      </c>
      <c r="F12" s="11"/>
      <c r="G12" s="9"/>
      <c r="H12" s="9"/>
      <c r="I12" s="9"/>
      <c r="J12" s="9"/>
      <c r="K12" s="9"/>
      <c r="L12" s="9"/>
      <c r="M12" s="9"/>
      <c r="N12" s="9"/>
      <c r="O12" s="9"/>
      <c r="P12" s="9"/>
      <c r="Q12" s="9"/>
      <c r="R12" s="9"/>
      <c r="S12" s="9"/>
      <c r="T12" s="9"/>
      <c r="U12" s="9"/>
      <c r="V12" s="9"/>
      <c r="W12" s="9"/>
      <c r="X12" s="9"/>
      <c r="Y12" s="9"/>
    </row>
    <row r="14" spans="1:25">
      <c r="E14" s="2" t="s">
        <v>13</v>
      </c>
    </row>
    <row r="15" spans="1:25">
      <c r="A15" s="10" t="str">
        <f>IF(C15=0,"","and cc.PRYCcodigo in ( '"&amp;B15&amp;" ')")</f>
        <v/>
      </c>
      <c r="B15" t="str">
        <f>_xlfn.TEXTJOIN("', '",TRUE,F15:Y15)</f>
        <v/>
      </c>
      <c r="C15">
        <f t="shared" si="0"/>
        <v>0</v>
      </c>
      <c r="D15" t="s">
        <v>28</v>
      </c>
      <c r="E15" t="s">
        <v>8</v>
      </c>
      <c r="F15" s="8"/>
      <c r="G15" s="8"/>
      <c r="H15" s="8"/>
      <c r="I15" s="8"/>
      <c r="J15" s="8"/>
      <c r="K15" s="8"/>
      <c r="L15" s="8"/>
      <c r="M15" s="8"/>
      <c r="N15" s="8"/>
      <c r="O15" s="8"/>
      <c r="P15" s="8"/>
      <c r="Q15" s="8"/>
      <c r="R15" s="8"/>
      <c r="S15" s="8"/>
      <c r="T15" s="8"/>
      <c r="U15" s="8"/>
      <c r="V15" s="8"/>
      <c r="W15" s="8"/>
      <c r="X15" s="8"/>
      <c r="Y15" s="8"/>
    </row>
    <row r="16" spans="1:25">
      <c r="A16" s="10" t="str">
        <f>IF(C16=0,"","and tt.PRYTcodigo in ( '"&amp;B16&amp;" ')")</f>
        <v/>
      </c>
      <c r="B16" t="str">
        <f>_xlfn.TEXTJOIN("', '",TRUE,F16:Y16)</f>
        <v/>
      </c>
      <c r="C16">
        <f t="shared" si="0"/>
        <v>0</v>
      </c>
      <c r="D16" t="s">
        <v>28</v>
      </c>
      <c r="E16" t="s">
        <v>9</v>
      </c>
      <c r="F16" s="8"/>
      <c r="G16" s="8"/>
      <c r="H16" s="8"/>
      <c r="I16" s="8"/>
      <c r="J16" s="8"/>
      <c r="K16" s="8"/>
      <c r="L16" s="8"/>
      <c r="M16" s="8"/>
      <c r="N16" s="8"/>
      <c r="O16" s="8"/>
      <c r="P16" s="8"/>
      <c r="Q16" s="8"/>
      <c r="R16" s="8"/>
      <c r="S16" s="8"/>
      <c r="T16" s="8"/>
      <c r="U16" s="8"/>
      <c r="V16" s="8"/>
      <c r="W16" s="8"/>
      <c r="X16" s="8"/>
      <c r="Y16" s="8"/>
    </row>
    <row r="17" spans="1:25">
      <c r="A17" s="10" t="str">
        <f>IF(C17=0,"","and pp.PRYcodigo in ( '"&amp;B17&amp;" ')")</f>
        <v>and pp.PRYcodigo in ( '095-202-RDIG', '151-400-RGT2.0', '579-203-REDIMED', '095-192-RGT', '151-350-NV.OP.SWAT', '095-400-INS-REG ')</v>
      </c>
      <c r="B17" t="str">
        <f>_xlfn.TEXTJOIN("', '",TRUE,F17:Y17)</f>
        <v>095-202-RDIG', '151-400-RGT2.0', '579-203-REDIMED', '095-192-RGT', '151-350-NV.OP.SWAT', '095-400-INS-REG</v>
      </c>
      <c r="C17">
        <f t="shared" si="0"/>
        <v>6</v>
      </c>
      <c r="E17" t="s">
        <v>10</v>
      </c>
      <c r="F17" s="8" t="s">
        <v>6752</v>
      </c>
      <c r="G17" s="8" t="s">
        <v>5344</v>
      </c>
      <c r="H17" s="8" t="s">
        <v>4907</v>
      </c>
      <c r="I17" s="8" t="s">
        <v>2747</v>
      </c>
      <c r="J17" s="8" t="s">
        <v>7184</v>
      </c>
      <c r="K17" s="8" t="s">
        <v>5576</v>
      </c>
      <c r="L17" s="8"/>
      <c r="M17" s="8"/>
      <c r="N17" s="8"/>
      <c r="O17" s="8"/>
      <c r="P17" s="8"/>
      <c r="Q17" s="8"/>
      <c r="R17" s="8"/>
      <c r="S17" s="8"/>
      <c r="T17" s="8"/>
      <c r="U17" s="8"/>
      <c r="V17" s="8"/>
      <c r="W17" s="8"/>
      <c r="X17" s="8"/>
      <c r="Y17" s="8"/>
    </row>
    <row r="18" spans="1:25">
      <c r="A18" s="10" t="str">
        <f>IF(C18=0,"","and ee.PRYEcodigo in ( '"&amp;B18&amp;" ')")</f>
        <v/>
      </c>
      <c r="B18" t="str">
        <f>_xlfn.TEXTJOIN("', '",TRUE,F18:Y18)</f>
        <v/>
      </c>
      <c r="C18">
        <f t="shared" si="0"/>
        <v>0</v>
      </c>
      <c r="D18" t="s">
        <v>28</v>
      </c>
      <c r="E18" t="s">
        <v>11</v>
      </c>
      <c r="F18" s="8"/>
      <c r="G18" s="8"/>
      <c r="H18" s="8"/>
      <c r="I18" s="8"/>
      <c r="J18" s="8"/>
      <c r="K18" s="8"/>
      <c r="L18" s="8"/>
      <c r="M18" s="8"/>
      <c r="N18" s="8"/>
      <c r="O18" s="8"/>
      <c r="P18" s="8"/>
      <c r="Q18" s="8"/>
      <c r="R18" s="8"/>
      <c r="S18" s="8"/>
      <c r="T18" s="8"/>
      <c r="U18" s="8"/>
      <c r="V18" s="8"/>
      <c r="W18" s="8"/>
      <c r="X18" s="8"/>
      <c r="Y18" s="8"/>
    </row>
    <row r="19" spans="1:25">
      <c r="A19" s="10" t="str">
        <f>IF(C19=0,"","and uu.Usulogin in ( '"&amp;B19&amp;" ')")</f>
        <v/>
      </c>
      <c r="B19" t="str">
        <f>_xlfn.TEXTJOIN("', '",TRUE,F19:Y19)</f>
        <v/>
      </c>
      <c r="C19">
        <f t="shared" si="0"/>
        <v>0</v>
      </c>
      <c r="D19" t="s">
        <v>28</v>
      </c>
      <c r="E19" t="s">
        <v>12</v>
      </c>
      <c r="F19" s="8"/>
      <c r="G19" s="8"/>
      <c r="H19" s="8"/>
      <c r="I19" s="8"/>
      <c r="J19" s="8"/>
      <c r="K19" s="8"/>
      <c r="L19" s="8"/>
      <c r="M19" s="8"/>
      <c r="N19" s="8"/>
      <c r="O19" s="8"/>
      <c r="P19" s="8"/>
      <c r="Q19" s="8"/>
      <c r="R19" s="8"/>
      <c r="S19" s="8"/>
      <c r="T19" s="8"/>
      <c r="U19" s="8"/>
      <c r="V19" s="8"/>
      <c r="W19" s="8"/>
      <c r="X19" s="8"/>
      <c r="Y19" s="8"/>
    </row>
    <row r="20" spans="1:25">
      <c r="A20" s="10"/>
    </row>
    <row r="22" spans="1:25" hidden="1">
      <c r="B22" t="str">
        <f>_xlfn.TEXTJOIN(", ",TRUE,F22:Y22)</f>
        <v/>
      </c>
      <c r="E22" t="s">
        <v>2089</v>
      </c>
      <c r="F22" t="str">
        <f>IFERROR(INDEX(Tabla_Consulta_desde_Proyectos[#All],MATCH(F9,Tabla_Consulta_desde_Proyectos[[#All],[PRYGTcodigo]],0),3),"")</f>
        <v/>
      </c>
      <c r="G22" t="str">
        <f>IFERROR(INDEX(Tabla_Consulta_desde_Proyectos[#All],MATCH(G9,Tabla_Consulta_desde_Proyectos[[#All],[PRYGTcodigo]],0),3),"")</f>
        <v/>
      </c>
      <c r="H22" t="str">
        <f>IFERROR(INDEX(Tabla_Consulta_desde_Proyectos[#All],MATCH(H9,Tabla_Consulta_desde_Proyectos[[#All],[PRYGTcodigo]],0),3),"")</f>
        <v/>
      </c>
      <c r="J22" t="str">
        <f>IFERROR(INDEX(Tabla_Consulta_desde_Proyectos[#All],MATCH(J9,Tabla_Consulta_desde_Proyectos[[#All],[PRYGTcodigo]],0),3),"")</f>
        <v/>
      </c>
      <c r="K22" t="str">
        <f>IFERROR(INDEX(Tabla_Consulta_desde_Proyectos[#All],MATCH(K9,Tabla_Consulta_desde_Proyectos[[#All],[PRYGTcodigo]],0),3),"")</f>
        <v/>
      </c>
      <c r="L22" t="str">
        <f>IFERROR(INDEX(Tabla_Consulta_desde_Proyectos[#All],MATCH(L9,Tabla_Consulta_desde_Proyectos[[#All],[PRYGTcodigo]],0),3),"")</f>
        <v/>
      </c>
      <c r="M22" t="str">
        <f>IFERROR(INDEX(Tabla_Consulta_desde_Proyectos[#All],MATCH(M9,Tabla_Consulta_desde_Proyectos[[#All],[PRYGTcodigo]],0),3),"")</f>
        <v/>
      </c>
      <c r="N22" t="str">
        <f>IFERROR(INDEX(Tabla_Consulta_desde_Proyectos[#All],MATCH(N9,Tabla_Consulta_desde_Proyectos[[#All],[PRYGTcodigo]],0),3),"")</f>
        <v/>
      </c>
      <c r="O22" t="str">
        <f>IFERROR(INDEX(Tabla_Consulta_desde_Proyectos[#All],MATCH(O9,Tabla_Consulta_desde_Proyectos[[#All],[PRYGTcodigo]],0),3),"")</f>
        <v/>
      </c>
      <c r="P22" t="str">
        <f>IFERROR(INDEX(Tabla_Consulta_desde_Proyectos[#All],MATCH(P9,Tabla_Consulta_desde_Proyectos[[#All],[PRYGTcodigo]],0),3),"")</f>
        <v/>
      </c>
      <c r="Q22" t="str">
        <f>IFERROR(INDEX(Tabla_Consulta_desde_Proyectos[#All],MATCH(Q9,Tabla_Consulta_desde_Proyectos[[#All],[PRYGTcodigo]],0),3),"")</f>
        <v/>
      </c>
      <c r="R22" t="str">
        <f>IFERROR(INDEX(Tabla_Consulta_desde_Proyectos[#All],MATCH(R9,Tabla_Consulta_desde_Proyectos[[#All],[PRYGTcodigo]],0),3),"")</f>
        <v/>
      </c>
      <c r="S22" t="str">
        <f>IFERROR(INDEX(Tabla_Consulta_desde_Proyectos[#All],MATCH(S9,Tabla_Consulta_desde_Proyectos[[#All],[PRYGTcodigo]],0),3),"")</f>
        <v/>
      </c>
      <c r="T22" t="str">
        <f>IFERROR(INDEX(Tabla_Consulta_desde_Proyectos[#All],MATCH(T9,Tabla_Consulta_desde_Proyectos[[#All],[PRYGTcodigo]],0),3),"")</f>
        <v/>
      </c>
      <c r="U22" t="str">
        <f>IFERROR(INDEX(Tabla_Consulta_desde_Proyectos[#All],MATCH(U9,Tabla_Consulta_desde_Proyectos[[#All],[PRYGTcodigo]],0),3),"")</f>
        <v/>
      </c>
      <c r="V22" t="str">
        <f>IFERROR(INDEX(Tabla_Consulta_desde_Proyectos[#All],MATCH(V9,Tabla_Consulta_desde_Proyectos[[#All],[PRYGTcodigo]],0),3),"")</f>
        <v/>
      </c>
      <c r="W22" t="str">
        <f>IFERROR(INDEX(Tabla_Consulta_desde_Proyectos[#All],MATCH(W9,Tabla_Consulta_desde_Proyectos[[#All],[PRYGTcodigo]],0),3),"")</f>
        <v/>
      </c>
      <c r="X22" t="str">
        <f>IFERROR(INDEX(Tabla_Consulta_desde_Proyectos[#All],MATCH(X9,Tabla_Consulta_desde_Proyectos[[#All],[PRYGTcodigo]],0),3),"")</f>
        <v/>
      </c>
      <c r="Y22" t="str">
        <f>IFERROR(INDEX(Tabla_Consulta_desde_Proyectos[#All],MATCH(Y9,Tabla_Consulta_desde_Proyectos[[#All],[PRYGTcodigo]],0),3),"")</f>
        <v/>
      </c>
    </row>
    <row r="23" spans="1:25" hidden="1">
      <c r="A23" s="10" t="str">
        <f>IF(C23=0,"","and (ra.PRYItipo in ('"&amp;B23&amp;"') OR ra.PRYAid in ( select PRYAid from PRYActividadClases where PRYItipo in ('"&amp;B23&amp;"') ))")</f>
        <v/>
      </c>
      <c r="B23" t="str">
        <f>_xlfn.TEXTJOIN("', '",TRUE,F23:Y23)</f>
        <v/>
      </c>
      <c r="C23">
        <f>COUNTA(F23:Y23)-COUNTIF(F23:Y23,"")</f>
        <v>0</v>
      </c>
      <c r="E23" t="s">
        <v>2090</v>
      </c>
      <c r="F23" t="str">
        <f>IFERROR(INDEX('Tipo Clasificación'!$A:$C,MATCH(F$10,'Tipo Clasificación'!$C:$C,0),1),"")</f>
        <v/>
      </c>
      <c r="G23" t="str">
        <f>IFERROR(INDEX('Tipo Clasificación'!$A:$C,MATCH(G$10,'Tipo Clasificación'!$C:$C,0),1),"")</f>
        <v/>
      </c>
      <c r="H23" t="str">
        <f>IFERROR(INDEX('Tipo Clasificación'!$A:$C,MATCH(H$10,'Tipo Clasificación'!$C:$C,0),1),"")</f>
        <v/>
      </c>
      <c r="I23" t="str">
        <f>IFERROR(INDEX('Tipo Clasificación'!$A:$C,MATCH(I$10,'Tipo Clasificación'!$C:$C,0),1),"")</f>
        <v/>
      </c>
      <c r="J23" t="str">
        <f>IFERROR(INDEX('Tipo Clasificación'!$A:$C,MATCH(J$10,'Tipo Clasificación'!$C:$C,0),1),"")</f>
        <v/>
      </c>
      <c r="K23" t="str">
        <f>IFERROR(INDEX('Tipo Clasificación'!$A:$C,MATCH(K$10,'Tipo Clasificación'!$C:$C,0),1),"")</f>
        <v/>
      </c>
      <c r="L23" t="str">
        <f>IFERROR(INDEX('Tipo Clasificación'!$A:$C,MATCH(L$10,'Tipo Clasificación'!$C:$C,0),1),"")</f>
        <v/>
      </c>
      <c r="M23" t="str">
        <f>IFERROR(INDEX('Tipo Clasificación'!$A:$C,MATCH(M$10,'Tipo Clasificación'!$C:$C,0),1),"")</f>
        <v/>
      </c>
      <c r="N23" t="str">
        <f>IFERROR(INDEX('Tipo Clasificación'!$A:$C,MATCH(N$10,'Tipo Clasificación'!$C:$C,0),1),"")</f>
        <v/>
      </c>
      <c r="O23" t="str">
        <f>IFERROR(INDEX('Tipo Clasificación'!$A:$C,MATCH(O$10,'Tipo Clasificación'!$C:$C,0),1),"")</f>
        <v/>
      </c>
      <c r="P23" t="str">
        <f>IFERROR(INDEX('Tipo Clasificación'!$A:$C,MATCH(P$10,'Tipo Clasificación'!$C:$C,0),1),"")</f>
        <v/>
      </c>
      <c r="Q23" t="str">
        <f>IFERROR(INDEX('Tipo Clasificación'!$A:$C,MATCH(Q$10,'Tipo Clasificación'!$C:$C,0),1),"")</f>
        <v/>
      </c>
      <c r="R23" t="str">
        <f>IFERROR(INDEX('Tipo Clasificación'!$A:$C,MATCH(R$10,'Tipo Clasificación'!$C:$C,0),1),"")</f>
        <v/>
      </c>
      <c r="S23" t="str">
        <f>IFERROR(INDEX('Tipo Clasificación'!$A:$C,MATCH(S$10,'Tipo Clasificación'!$C:$C,0),1),"")</f>
        <v/>
      </c>
      <c r="T23" t="str">
        <f>IFERROR(INDEX('Tipo Clasificación'!$A:$C,MATCH(T$10,'Tipo Clasificación'!$C:$C,0),1),"")</f>
        <v/>
      </c>
      <c r="U23" t="str">
        <f>IFERROR(INDEX('Tipo Clasificación'!$A:$C,MATCH(U$10,'Tipo Clasificación'!$C:$C,0),1),"")</f>
        <v/>
      </c>
      <c r="V23" t="str">
        <f>IFERROR(INDEX('Tipo Clasificación'!$A:$C,MATCH(V$10,'Tipo Clasificación'!$C:$C,0),1),"")</f>
        <v/>
      </c>
      <c r="W23" t="str">
        <f>IFERROR(INDEX('Tipo Clasificación'!$A:$C,MATCH(W$10,'Tipo Clasificación'!$C:$C,0),1),"")</f>
        <v/>
      </c>
      <c r="X23" t="str">
        <f>IFERROR(INDEX('Tipo Clasificación'!$A:$C,MATCH(X$10,'Tipo Clasificación'!$C:$C,0),1),"")</f>
        <v/>
      </c>
      <c r="Y23" t="str">
        <f>IFERROR(INDEX('Tipo Clasificación'!$A:$C,MATCH(Y$10,'Tipo Clasificación'!$C:$C,0),1),"")</f>
        <v/>
      </c>
    </row>
    <row r="24" spans="1:25" hidden="1">
      <c r="A24" t="str">
        <f>IF(OR(A23="",C24=0),"","and (ra.PRYItipo in ('"&amp;B23&amp;"')  and ra.PRYInumero in ('"&amp;B24&amp;"') OR ra.PRYAid in (select PRYAid from PRYActividadClases where PRYItipo in ('"&amp;B23&amp;"') and PRYInumero in ('"&amp;B24&amp;"')  ))")</f>
        <v/>
      </c>
      <c r="B24" t="str">
        <f>_xlfn.TEXTJOIN("', '",TRUE,F24:Y24)</f>
        <v/>
      </c>
      <c r="C24">
        <f>COUNTA(F24:Y24)-COUNTIF(F24:Y24,"")</f>
        <v>0</v>
      </c>
      <c r="E24" t="s">
        <v>2091</v>
      </c>
      <c r="F24" t="str">
        <f>IF(F10="","",F11)</f>
        <v/>
      </c>
      <c r="G24" t="str">
        <f t="shared" ref="G24:Y24" si="1">IF(G10="","",G11)</f>
        <v/>
      </c>
      <c r="H24" t="str">
        <f t="shared" si="1"/>
        <v/>
      </c>
      <c r="I24" t="str">
        <f t="shared" si="1"/>
        <v/>
      </c>
      <c r="J24" t="str">
        <f t="shared" si="1"/>
        <v/>
      </c>
      <c r="K24" t="str">
        <f t="shared" si="1"/>
        <v/>
      </c>
      <c r="L24" t="str">
        <f t="shared" si="1"/>
        <v/>
      </c>
      <c r="M24" t="str">
        <f t="shared" si="1"/>
        <v/>
      </c>
      <c r="N24" t="str">
        <f t="shared" si="1"/>
        <v/>
      </c>
      <c r="O24" t="str">
        <f t="shared" si="1"/>
        <v/>
      </c>
      <c r="P24" t="str">
        <f t="shared" si="1"/>
        <v/>
      </c>
      <c r="Q24" t="str">
        <f t="shared" si="1"/>
        <v/>
      </c>
      <c r="R24" t="str">
        <f t="shared" si="1"/>
        <v/>
      </c>
      <c r="S24" t="str">
        <f t="shared" si="1"/>
        <v/>
      </c>
      <c r="T24" t="str">
        <f t="shared" si="1"/>
        <v/>
      </c>
      <c r="U24" t="str">
        <f t="shared" si="1"/>
        <v/>
      </c>
      <c r="V24" t="str">
        <f t="shared" si="1"/>
        <v/>
      </c>
      <c r="W24" t="str">
        <f t="shared" si="1"/>
        <v/>
      </c>
      <c r="X24" t="str">
        <f t="shared" si="1"/>
        <v/>
      </c>
      <c r="Y24" t="str">
        <f t="shared" si="1"/>
        <v/>
      </c>
    </row>
    <row r="29" spans="1:25">
      <c r="A29" t="s">
        <v>2092</v>
      </c>
    </row>
    <row r="30" spans="1:25">
      <c r="A30" t="s">
        <v>2093</v>
      </c>
    </row>
    <row r="31" spans="1:25">
      <c r="A31" t="s">
        <v>3844</v>
      </c>
    </row>
    <row r="32" spans="1:25">
      <c r="A32" t="s">
        <v>3845</v>
      </c>
    </row>
    <row r="33" spans="1:1">
      <c r="A33" t="s">
        <v>3860</v>
      </c>
    </row>
  </sheetData>
  <phoneticPr fontId="2"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Módulo1.Query">
                <anchor moveWithCells="1" sizeWithCells="1">
                  <from>
                    <xdr:col>6</xdr:col>
                    <xdr:colOff>19050</xdr:colOff>
                    <xdr:row>2</xdr:row>
                    <xdr:rowOff>19050</xdr:rowOff>
                  </from>
                  <to>
                    <xdr:col>6</xdr:col>
                    <xdr:colOff>1543050</xdr:colOff>
                    <xdr:row>3</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9">
        <x14:dataValidation type="list" allowBlank="1" showInputMessage="1" showErrorMessage="1" xr:uid="{ECBB9201-912A-45B8-B25B-9C41B7D082C0}">
          <x14:formula1>
            <xm:f>Catálogos!$A$3:$A$5</xm:f>
          </x14:formula1>
          <xm:sqref>F5</xm:sqref>
        </x14:dataValidation>
        <x14:dataValidation type="list" allowBlank="1" showInputMessage="1" showErrorMessage="1" xr:uid="{A0BB0563-F45E-42E7-888A-D141802F4F94}">
          <x14:formula1>
            <xm:f>Catálogos!$D$3:$D$5</xm:f>
          </x14:formula1>
          <xm:sqref>F6</xm:sqref>
        </x14:dataValidation>
        <x14:dataValidation type="list" allowBlank="1" showInputMessage="1" showErrorMessage="1" xr:uid="{F86A7132-610D-4E8E-AE8F-FBF634612953}">
          <x14:formula1>
            <xm:f>'Area Responsabilidad'!$A$5:$A$195</xm:f>
          </x14:formula1>
          <xm:sqref>F16:Y16</xm:sqref>
        </x14:dataValidation>
        <x14:dataValidation type="list" allowBlank="1" showInputMessage="1" showErrorMessage="1" xr:uid="{B0F752D8-E714-494D-8D1F-36A775B23297}">
          <x14:formula1>
            <xm:f>'Grupo Trabajo'!$A$5:$A$253</xm:f>
          </x14:formula1>
          <xm:sqref>F9:Y9</xm:sqref>
        </x14:dataValidation>
        <x14:dataValidation type="list" allowBlank="1" showInputMessage="1" showErrorMessage="1" xr:uid="{A0431BC5-F35A-4B75-BAE8-926CC51BACC3}">
          <x14:formula1>
            <xm:f>Proyecto!$A$5:$A$1478</xm:f>
          </x14:formula1>
          <xm:sqref>F17:Y17</xm:sqref>
        </x14:dataValidation>
        <x14:dataValidation type="list" allowBlank="1" showInputMessage="1" showErrorMessage="1" xr:uid="{ADD253D2-7BCD-4FD3-BC20-62BE904B7869}">
          <x14:formula1>
            <xm:f>'Tipo Clasificación'!$C$5:$C$263</xm:f>
          </x14:formula1>
          <xm:sqref>F10:Y10</xm:sqref>
        </x14:dataValidation>
        <x14:dataValidation type="list" allowBlank="1" showInputMessage="1" showErrorMessage="1" xr:uid="{77FF353C-1471-47D8-8E22-0238459510F4}">
          <x14:formula1>
            <xm:f>Contrato!$A$5:$A$387</xm:f>
          </x14:formula1>
          <xm:sqref>F15:Y15</xm:sqref>
        </x14:dataValidation>
        <x14:dataValidation type="list" allowBlank="1" showInputMessage="1" showErrorMessage="1" xr:uid="{BAB43F4E-0317-40BB-BF1D-C36D2F6FD2A8}">
          <x14:formula1>
            <xm:f>Especialidad!$A$5:$A$383</xm:f>
          </x14:formula1>
          <xm:sqref>F18:Y18</xm:sqref>
        </x14:dataValidation>
        <x14:dataValidation type="list" allowBlank="1" showInputMessage="1" showErrorMessage="1" xr:uid="{243C5504-E4A8-4CA9-8444-EBDD341F3D7C}">
          <x14:formula1>
            <xm:f>Usuarios!$A$5:$A$1366</xm:f>
          </x14:formula1>
          <xm:sqref>F19:Y19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D0151-E181-4277-AD4C-9D8C9ADFAC26}">
  <sheetPr codeName="Hoja5"/>
  <dimension ref="A1:I55"/>
  <sheetViews>
    <sheetView workbookViewId="0">
      <selection activeCell="D3" sqref="D3"/>
    </sheetView>
  </sheetViews>
  <sheetFormatPr defaultColWidth="11.5703125" defaultRowHeight="15"/>
  <cols>
    <col min="1" max="1" width="37.28515625" customWidth="1"/>
    <col min="2" max="3" width="32.5703125" customWidth="1"/>
  </cols>
  <sheetData>
    <row r="1" spans="1:9">
      <c r="A1" t="str">
        <f>D1</f>
        <v>Select DISTINCT</v>
      </c>
      <c r="B1" t="s">
        <v>2086</v>
      </c>
      <c r="C1" t="s">
        <v>3892</v>
      </c>
      <c r="D1" t="s">
        <v>4110</v>
      </c>
      <c r="I1" t="s">
        <v>4110</v>
      </c>
    </row>
    <row r="3" spans="1:9">
      <c r="A3" t="str">
        <f t="shared" ref="A3:A21" si="0">D3</f>
        <v>ra.PRYItipo, ra.PRYInumero</v>
      </c>
      <c r="B3" t="s">
        <v>2086</v>
      </c>
      <c r="C3" t="str">
        <f>LEFT(D3,IFERROR(FIND(" as ",D3),))</f>
        <v/>
      </c>
      <c r="D3" t="s">
        <v>5757</v>
      </c>
      <c r="I3" t="s">
        <v>5748</v>
      </c>
    </row>
    <row r="4" spans="1:9">
      <c r="C4" t="str">
        <f>LEFT(D4,IFERROR(FIND(" as ",D4),))</f>
        <v/>
      </c>
      <c r="I4" t="s">
        <v>3888</v>
      </c>
    </row>
    <row r="5" spans="1:9">
      <c r="A5" t="str">
        <f t="shared" si="0"/>
        <v>, tt.PRYTcodigo</v>
      </c>
      <c r="C5" t="str">
        <f>LEFT(D5,IFERROR(FIND(" as ",D5),))</f>
        <v/>
      </c>
      <c r="D5" t="s">
        <v>5758</v>
      </c>
      <c r="I5" t="s">
        <v>3889</v>
      </c>
    </row>
    <row r="6" spans="1:9">
      <c r="A6" t="str">
        <f t="shared" si="0"/>
        <v>, pp.PRYcodigo, pp.PRYdescripcion</v>
      </c>
      <c r="C6" t="str">
        <f>LEFT(D6,IFERROR(FIND(" as ",D6),))</f>
        <v/>
      </c>
      <c r="D6" t="s">
        <v>3890</v>
      </c>
      <c r="I6" t="s">
        <v>3890</v>
      </c>
    </row>
    <row r="7" spans="1:9">
      <c r="A7" t="str">
        <f t="shared" si="0"/>
        <v xml:space="preserve">, ap.PRYAcodigo, ap.PRYAdescripcion, ap.PRYAnivel, ap.PRYApath </v>
      </c>
      <c r="C7" t="str">
        <f>LEFT(D7,IFERROR(FIND(" as ",D7),))</f>
        <v/>
      </c>
      <c r="D7" t="s">
        <v>5759</v>
      </c>
      <c r="I7" t="s">
        <v>3891</v>
      </c>
    </row>
    <row r="8" spans="1:9">
      <c r="A8" t="s">
        <v>4111</v>
      </c>
    </row>
    <row r="10" spans="1:9">
      <c r="B10" t="s">
        <v>2086</v>
      </c>
      <c r="C10" t="str">
        <f t="shared" ref="C10:C21" si="1">LEFT(D10,IFERROR(FIND(" as ",D10),))</f>
        <v xml:space="preserve">, case when ap.PRYAid = aa.PRYAid then ee.PRYEid end </v>
      </c>
      <c r="D10" t="s">
        <v>2050</v>
      </c>
      <c r="I10" t="s">
        <v>2050</v>
      </c>
    </row>
    <row r="11" spans="1:9">
      <c r="A11" t="str">
        <f t="shared" si="0"/>
        <v xml:space="preserve">, case when ap.PRYAid = aa.PRYAid then  ee.PRYEcodigo end as PRYEcodigo </v>
      </c>
      <c r="B11" t="s">
        <v>2086</v>
      </c>
      <c r="C11" t="str">
        <f t="shared" si="1"/>
        <v xml:space="preserve">, case when ap.PRYAid = aa.PRYAid then  ee.PRYEcodigo end </v>
      </c>
      <c r="D11" t="s">
        <v>2051</v>
      </c>
      <c r="I11" t="s">
        <v>2051</v>
      </c>
    </row>
    <row r="12" spans="1:9">
      <c r="A12" t="str">
        <f t="shared" si="0"/>
        <v xml:space="preserve">, case when ap.PRYAid = aa.PRYAid then  ee.PRYEdescripcion end as PRYEdescripcion </v>
      </c>
      <c r="B12" t="s">
        <v>2086</v>
      </c>
      <c r="C12" t="str">
        <f t="shared" si="1"/>
        <v xml:space="preserve">, case when ap.PRYAid = aa.PRYAid then  ee.PRYEdescripcion end </v>
      </c>
      <c r="D12" t="s">
        <v>2052</v>
      </c>
      <c r="I12" t="s">
        <v>2052</v>
      </c>
    </row>
    <row r="13" spans="1:9">
      <c r="B13" t="s">
        <v>2086</v>
      </c>
      <c r="C13" t="str">
        <f t="shared" si="1"/>
        <v xml:space="preserve">, case when ap.PRYAid = aa.PRYAid then uu.Usucodigo end </v>
      </c>
      <c r="D13" t="s">
        <v>2053</v>
      </c>
      <c r="I13" t="s">
        <v>2053</v>
      </c>
    </row>
    <row r="14" spans="1:9">
      <c r="A14" t="str">
        <f t="shared" si="0"/>
        <v xml:space="preserve">, case when ap.PRYAid = aa.PRYAid then  uu.Usulogin end as Usulogin </v>
      </c>
      <c r="B14" t="s">
        <v>2086</v>
      </c>
      <c r="C14" t="str">
        <f t="shared" si="1"/>
        <v xml:space="preserve">, case when ap.PRYAid = aa.PRYAid then  uu.Usulogin end </v>
      </c>
      <c r="D14" t="s">
        <v>2054</v>
      </c>
      <c r="I14" t="s">
        <v>2054</v>
      </c>
    </row>
    <row r="15" spans="1:9">
      <c r="A15" t="str">
        <f t="shared" si="0"/>
        <v xml:space="preserve">, case when ap.PRYAid = aa.PRYAid then  uu.Usunombre end as Usunombre </v>
      </c>
      <c r="B15" t="s">
        <v>2086</v>
      </c>
      <c r="C15" t="str">
        <f t="shared" si="1"/>
        <v xml:space="preserve">, case when ap.PRYAid = aa.PRYAid then  uu.Usunombre end </v>
      </c>
      <c r="D15" t="s">
        <v>2055</v>
      </c>
      <c r="I15" t="s">
        <v>2055</v>
      </c>
    </row>
    <row r="16" spans="1:9">
      <c r="B16" t="s">
        <v>2086</v>
      </c>
      <c r="C16" t="str">
        <f t="shared" si="1"/>
        <v xml:space="preserve">, case when ap.PRYAid = aa.PRYAid then ra.PRYRAid end </v>
      </c>
      <c r="D16" t="s">
        <v>2056</v>
      </c>
      <c r="I16" t="s">
        <v>2056</v>
      </c>
    </row>
    <row r="17" spans="1:9">
      <c r="A17" t="str">
        <f t="shared" si="0"/>
        <v xml:space="preserve">, case when ap.PRYAid = aa.PRYAid then  ra.PRYRAfecha end as PRYRAfecha </v>
      </c>
      <c r="B17" s="3" t="s">
        <v>29</v>
      </c>
      <c r="C17" t="str">
        <f t="shared" si="1"/>
        <v xml:space="preserve">, case when ap.PRYAid = aa.PRYAid then  ra.PRYRAfecha end </v>
      </c>
      <c r="D17" t="s">
        <v>2057</v>
      </c>
      <c r="I17" t="s">
        <v>2057</v>
      </c>
    </row>
    <row r="18" spans="1:9">
      <c r="B18" t="s">
        <v>2086</v>
      </c>
      <c r="C18" t="str">
        <f t="shared" si="1"/>
        <v xml:space="preserve">, case when ap.PRYAid = aa.PRYAid then datalength(ra.PRYRAcomentario) end </v>
      </c>
      <c r="D18" t="s">
        <v>2058</v>
      </c>
      <c r="I18" t="s">
        <v>2058</v>
      </c>
    </row>
    <row r="19" spans="1:9">
      <c r="A19" t="str">
        <f t="shared" si="0"/>
        <v>, case when ap.PRYAid = aa.PRYAid then case when datalength(ra.PRYRAcomentario)&lt;=512 then ra.PRYRAcomentario else substring (ra.PRYRAcomentario, 1, 509)  +  '...' end end as PRYRAcomentario</v>
      </c>
      <c r="B19" s="3" t="s">
        <v>29</v>
      </c>
      <c r="C19" t="str">
        <f t="shared" si="1"/>
        <v xml:space="preserve">, case when ap.PRYAid = aa.PRYAid then case when datalength(ra.PRYRAcomentario)&lt;=512 then ra.PRYRAcomentario else substring (ra.PRYRAcomentario, 1, 509)  +  '...' end end </v>
      </c>
      <c r="D19" t="s">
        <v>2070</v>
      </c>
      <c r="I19" t="s">
        <v>2070</v>
      </c>
    </row>
    <row r="20" spans="1:9">
      <c r="B20" t="s">
        <v>2086</v>
      </c>
      <c r="C20" t="str">
        <f t="shared" si="1"/>
        <v xml:space="preserve">, case when ap.PRYAid = aa.PRYAid then  ra.PRYRAavanceNuevo end </v>
      </c>
      <c r="D20" t="s">
        <v>2059</v>
      </c>
      <c r="I20" t="s">
        <v>2059</v>
      </c>
    </row>
    <row r="21" spans="1:9">
      <c r="A21" t="str">
        <f t="shared" si="0"/>
        <v xml:space="preserve">, case when ap.PRYAid = aa.PRYAid then  ra.PRYRAhoras end as PRYRAhoras </v>
      </c>
      <c r="B21" t="s">
        <v>2086</v>
      </c>
      <c r="C21" t="str">
        <f t="shared" si="1"/>
        <v xml:space="preserve">, case when ap.PRYAid = aa.PRYAid then  ra.PRYRAhoras end </v>
      </c>
      <c r="D21" t="s">
        <v>2060</v>
      </c>
      <c r="I21" t="s">
        <v>2060</v>
      </c>
    </row>
    <row r="23" spans="1:9">
      <c r="A23" t="str">
        <f t="shared" ref="A23:A30" si="2">D23</f>
        <v>from PRYReporteActividad ra</v>
      </c>
      <c r="B23" t="s">
        <v>2086</v>
      </c>
      <c r="D23" t="s">
        <v>2061</v>
      </c>
      <c r="I23" t="s">
        <v>2061</v>
      </c>
    </row>
    <row r="24" spans="1:9">
      <c r="A24" t="str">
        <f t="shared" si="2"/>
        <v>inner join PRYReporteControl rc</v>
      </c>
      <c r="B24" t="s">
        <v>2086</v>
      </c>
      <c r="D24" t="s">
        <v>2062</v>
      </c>
      <c r="I24" t="s">
        <v>2062</v>
      </c>
    </row>
    <row r="25" spans="1:9">
      <c r="A25" t="str">
        <f t="shared" si="2"/>
        <v>on rc.PRYRCid = ra.PRYRCid</v>
      </c>
      <c r="B25" t="s">
        <v>2086</v>
      </c>
      <c r="D25" t="s">
        <v>2063</v>
      </c>
      <c r="I25" t="s">
        <v>2063</v>
      </c>
    </row>
    <row r="26" spans="1:9">
      <c r="A26" t="str">
        <f t="shared" si="2"/>
        <v>inner join PRYActividad aa</v>
      </c>
      <c r="B26" t="s">
        <v>2086</v>
      </c>
      <c r="D26" t="s">
        <v>2064</v>
      </c>
      <c r="I26" t="s">
        <v>2064</v>
      </c>
    </row>
    <row r="27" spans="1:9">
      <c r="A27" t="str">
        <f t="shared" si="2"/>
        <v>on aa.PRYAid = ra.PRYAid</v>
      </c>
      <c r="B27" t="s">
        <v>2086</v>
      </c>
      <c r="D27" t="s">
        <v>2065</v>
      </c>
      <c r="I27" t="s">
        <v>2065</v>
      </c>
    </row>
    <row r="28" spans="1:9">
      <c r="A28" t="str">
        <f t="shared" si="2"/>
        <v>inner join PRYproyecto pp</v>
      </c>
      <c r="B28" t="s">
        <v>2086</v>
      </c>
      <c r="D28" t="s">
        <v>2066</v>
      </c>
      <c r="I28" t="s">
        <v>2066</v>
      </c>
    </row>
    <row r="29" spans="1:9">
      <c r="A29" t="str">
        <f t="shared" si="2"/>
        <v>on pp.PRYid = aa.PRYid</v>
      </c>
      <c r="B29" t="s">
        <v>2086</v>
      </c>
      <c r="D29" t="s">
        <v>2067</v>
      </c>
      <c r="I29" t="s">
        <v>2067</v>
      </c>
    </row>
    <row r="30" spans="1:9">
      <c r="A30" t="str">
        <f t="shared" si="2"/>
        <v xml:space="preserve">inner join PRYTipoAreaRespons tt on tt.PRYTid = pp.PRYTid inner join PRYActividad ap on aa.PRYid=ap.PRYid and aa.PRYApath like ap.PRYApath + '%' inner join PRYEspecialidad ee on ee.PRYEid = ra.PRYEid inner join PRYUsuarios uu on uu.Usucodigo = rc.Usucodigo </v>
      </c>
      <c r="B30" t="s">
        <v>2086</v>
      </c>
      <c r="D30" t="s">
        <v>5760</v>
      </c>
      <c r="I30" t="s">
        <v>2068</v>
      </c>
    </row>
    <row r="32" spans="1:9">
      <c r="A32" t="str">
        <f>IF(Control!A3="","",Control!A3)</f>
        <v>where PRYRAfecha between '2026-04-01 00:00:00' and '2026-04-30 23:59:59'</v>
      </c>
      <c r="B32" t="s">
        <v>2077</v>
      </c>
      <c r="D32" t="s">
        <v>2071</v>
      </c>
      <c r="I32" t="s">
        <v>2071</v>
      </c>
    </row>
    <row r="33" spans="1:9">
      <c r="A33" t="str">
        <f>IF(Control!A5="","",Control!A5)</f>
        <v>and ra.PRYCcerrado = 0</v>
      </c>
      <c r="B33" t="s">
        <v>14</v>
      </c>
      <c r="D33" t="s">
        <v>2072</v>
      </c>
      <c r="I33" t="s">
        <v>2072</v>
      </c>
    </row>
    <row r="34" spans="1:9">
      <c r="A34" t="s">
        <v>2072</v>
      </c>
    </row>
    <row r="35" spans="1:9">
      <c r="A35" t="str">
        <f>IF(Control!A15="","",Control!A15)</f>
        <v/>
      </c>
      <c r="B35" t="s">
        <v>8</v>
      </c>
      <c r="D35" t="s">
        <v>2081</v>
      </c>
      <c r="I35" t="s">
        <v>2081</v>
      </c>
    </row>
    <row r="36" spans="1:9">
      <c r="A36" t="str">
        <f>IF(Control!A16="","",Control!A16)</f>
        <v/>
      </c>
      <c r="B36" t="s">
        <v>9</v>
      </c>
      <c r="D36" t="s">
        <v>2082</v>
      </c>
      <c r="I36" t="s">
        <v>2082</v>
      </c>
    </row>
    <row r="37" spans="1:9">
      <c r="A37" t="str">
        <f>IF(Control!A17="","",Control!A17)</f>
        <v>and pp.PRYcodigo in ( '095-202-RDIG', '151-400-RGT2.0', '579-203-REDIMED', '095-192-RGT', '151-350-NV.OP.SWAT', '095-400-INS-REG ')</v>
      </c>
      <c r="B37" t="s">
        <v>10</v>
      </c>
      <c r="D37" t="s">
        <v>2083</v>
      </c>
      <c r="I37" t="s">
        <v>2083</v>
      </c>
    </row>
    <row r="38" spans="1:9">
      <c r="A38" t="str">
        <f>IF(Control!A18="","",Control!A18)</f>
        <v/>
      </c>
      <c r="B38" t="s">
        <v>11</v>
      </c>
      <c r="D38" t="s">
        <v>2084</v>
      </c>
      <c r="I38" t="s">
        <v>2084</v>
      </c>
    </row>
    <row r="39" spans="1:9">
      <c r="A39" t="str">
        <f>IF(Control!A19="","",Control!A19)</f>
        <v/>
      </c>
      <c r="B39" t="s">
        <v>12</v>
      </c>
      <c r="D39" t="s">
        <v>2085</v>
      </c>
      <c r="I39" t="s">
        <v>2085</v>
      </c>
    </row>
    <row r="41" spans="1:9">
      <c r="A41" t="str">
        <f>IF(Control!A24="",Control!A23,Control!A24)</f>
        <v/>
      </c>
      <c r="B41" t="s">
        <v>2078</v>
      </c>
      <c r="D41" t="s">
        <v>2073</v>
      </c>
      <c r="I41" t="s">
        <v>2073</v>
      </c>
    </row>
    <row r="42" spans="1:9">
      <c r="A42" s="3" t="str">
        <f>Control!A12</f>
        <v/>
      </c>
      <c r="B42" t="s">
        <v>2079</v>
      </c>
      <c r="D42" t="s">
        <v>2074</v>
      </c>
      <c r="I42" t="s">
        <v>2074</v>
      </c>
    </row>
    <row r="43" spans="1:9">
      <c r="A43" t="str">
        <f>Control!A9</f>
        <v/>
      </c>
      <c r="B43" t="s">
        <v>2080</v>
      </c>
      <c r="D43" t="s">
        <v>2075</v>
      </c>
      <c r="I43" t="s">
        <v>2075</v>
      </c>
    </row>
    <row r="45" spans="1:9">
      <c r="A45" t="str">
        <f>D45</f>
        <v>order by tt.PRYTcodigo, pp.PRYcodigo, ap.PRYApath, ee.PRYEcodigo, uu.Usulogin, ra.PRYRAfecha</v>
      </c>
      <c r="B45" t="s">
        <v>2086</v>
      </c>
      <c r="D45" t="s">
        <v>5761</v>
      </c>
      <c r="I45" t="s">
        <v>2069</v>
      </c>
    </row>
    <row r="46" spans="1:9">
      <c r="A46" t="str">
        <f>_xlfn.TEXTJOIN(" ",TRUE,"group by ",A3:A20)</f>
        <v>group by  ra.PRYItipo, ra.PRYInumero , tt.PRYTcodigo , pp.PRYcodigo, pp.PRYdescripcion , ap.PRYAcodigo, ap.PRYAdescripcion, ap.PRYAnivel, ap.PRYApath  , ra.PRYRAid , case when ap.PRYAid = aa.PRYAid then  ee.PRYEcodigo end as PRYEcodigo  , case when ap.PRYAid = aa.PRYAid then  ee.PRYEdescripcion end as PRYEdescripcion  , case when ap.PRYAid = aa.PRYAid then  uu.Usulogin end as Usulogin  , case when ap.PRYAid = aa.PRYAid then  uu.Usunombre end as Usunombre  , case when ap.PRYAid = aa.PRYAid then  ra.PRYRAfecha end as PRYRAfecha  , case when ap.PRYAid = aa.PRYAid then case when datalength(ra.PRYRAcomentario)&lt;=512 then ra.PRYRAcomentario else substring (ra.PRYRAcomentario, 1, 509)  +  '...' end end as PRYRAcomentario</v>
      </c>
    </row>
    <row r="51" spans="1:1">
      <c r="A51" t="str">
        <f>_xlfn.TEXTJOIN(" ",FALSE,Query)</f>
        <v>Select DISTINCT  ra.PRYItipo, ra.PRYInumero  , tt.PRYTcodigo , pp.PRYcodigo, pp.PRYdescripcion , ap.PRYAcodigo, ap.PRYAdescripcion, ap.PRYAnivel, ap.PRYApath  , ra.PRYRAid   , case when ap.PRYAid = aa.PRYAid then  ee.PRYEcodigo end as PRYEcodigo  , case when ap.PRYAid = aa.PRYAid then  ee.PRYEdescripcion end as PRYEdescripcion   , case when ap.PRYAid = aa.PRYAid then  uu.Usulogin end as Usulogin  , case when ap.PRYAid = aa.PRYAid then  uu.Usunombre end as Usunombre   , case when ap.PRYAid = aa.PRYAid then  ra.PRYRAfecha end as PRYRAfecha   , case when ap.PRYAid = aa.PRYAid then case when datalength(ra.PRYRAcomentario)&lt;=512 then ra.PRYRAcomentario else substring (ra.PRYRAcomentario, 1, 509)  +  '...' end end as PRYRAcomentario  , case when ap.PRYAid = aa.PRYAid then  ra.PRYRAhoras end as PRYRAhoras   from PRYReporteActividad ra inner join PRYReporteControl rc on rc.PRYRCid = ra.PRYRCid inner join PRYActividad aa on aa.PRYAid = ra.PRYAid inner join PRYproyecto pp on pp.PRYid = aa.PRYid inner join PRYTipoAreaRespons tt on tt.PRYTid = pp.PRYTid inner join PRYActividad ap on aa.PRYid=ap.PRYid and aa.PRYApath like ap.PRYApath + '%' inner join PRYEspecialidad ee on ee.PRYEid = ra.PRYEid inner join PRYUsuarios uu on uu.Usucodigo = rc.Usucodigo   where PRYRAfecha between '2026-04-01 00:00:00' and '2026-04-30 23:59:59' and ra.PRYCcerrado = 0 and rc.PRYRCestado = 1   and pp.PRYcodigo in ( '095-202-RDIG', '151-400-RGT2.0', '579-203-REDIMED', '095-192-RGT', '151-350-NV.OP.SWAT', '095-400-INS-REG ')        order by tt.PRYTcodigo, pp.PRYcodigo, ap.PRYApath, ee.PRYEcodigo, uu.Usulogin, ra.PRYRAfecha</v>
      </c>
    </row>
    <row r="55" spans="1:1">
      <c r="A55" t="s">
        <v>6430</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305450-B2D7-4753-B89E-C1B5D035CC94}">
  <sheetPr codeName="Hoja10"/>
  <dimension ref="A1:AE468"/>
  <sheetViews>
    <sheetView topLeftCell="A391" workbookViewId="0">
      <selection activeCell="N1" sqref="N1:N1048576"/>
    </sheetView>
  </sheetViews>
  <sheetFormatPr defaultColWidth="11.5703125" defaultRowHeight="15"/>
  <cols>
    <col min="1" max="1" width="13.5703125" bestFit="1" customWidth="1"/>
    <col min="2" max="2" width="20.28515625" bestFit="1" customWidth="1"/>
    <col min="3" max="3" width="63.42578125" bestFit="1" customWidth="1"/>
    <col min="4" max="4" width="16.7109375" bestFit="1" customWidth="1"/>
    <col min="5" max="5" width="55.7109375" bestFit="1" customWidth="1"/>
    <col min="6" max="6" width="12.42578125" bestFit="1" customWidth="1"/>
    <col min="7" max="7" width="15.7109375" bestFit="1" customWidth="1"/>
    <col min="8" max="8" width="13.5703125" bestFit="1" customWidth="1"/>
    <col min="9" max="9" width="43" bestFit="1" customWidth="1"/>
    <col min="10" max="10" width="11.140625" bestFit="1" customWidth="1"/>
    <col min="11" max="11" width="37.28515625" bestFit="1" customWidth="1"/>
    <col min="12" max="12" width="14" bestFit="1" customWidth="1"/>
    <col min="13" max="13" width="81.140625" bestFit="1" customWidth="1"/>
    <col min="14" max="14" width="14" bestFit="1" customWidth="1"/>
    <col min="15" max="16" width="10.85546875" bestFit="1" customWidth="1"/>
    <col min="17" max="17" width="17" bestFit="1" customWidth="1"/>
    <col min="18" max="18" width="12.140625" bestFit="1" customWidth="1"/>
    <col min="19" max="19" width="16.5703125" bestFit="1" customWidth="1"/>
    <col min="20" max="20" width="8" bestFit="1" customWidth="1"/>
    <col min="21" max="21" width="13.7109375" bestFit="1" customWidth="1"/>
    <col min="22" max="22" width="15.140625" bestFit="1" customWidth="1"/>
    <col min="23" max="23" width="31.7109375" bestFit="1" customWidth="1"/>
    <col min="24" max="24" width="67" bestFit="1" customWidth="1"/>
    <col min="25" max="25" width="66.5703125" bestFit="1" customWidth="1"/>
    <col min="26" max="26" width="14.42578125" bestFit="1" customWidth="1"/>
    <col min="27" max="27" width="8.5703125" bestFit="1" customWidth="1"/>
    <col min="28" max="28" width="12.140625" bestFit="1" customWidth="1"/>
    <col min="29" max="29" width="14.42578125" bestFit="1" customWidth="1"/>
    <col min="30" max="31" width="12.140625" bestFit="1" customWidth="1"/>
    <col min="32" max="32" width="9.140625" customWidth="1"/>
    <col min="33" max="33" width="11.7109375" bestFit="1" customWidth="1"/>
    <col min="34" max="34" width="13.42578125" bestFit="1" customWidth="1"/>
    <col min="35" max="35" width="11.7109375" bestFit="1" customWidth="1"/>
    <col min="36" max="36" width="15.7109375" bestFit="1" customWidth="1"/>
    <col min="37" max="37" width="7.42578125" bestFit="1" customWidth="1"/>
    <col min="38" max="38" width="13.140625" bestFit="1" customWidth="1"/>
    <col min="39" max="39" width="14.5703125" bestFit="1" customWidth="1"/>
    <col min="40" max="40" width="7.42578125" customWidth="1"/>
    <col min="41" max="41" width="13.140625" customWidth="1"/>
    <col min="42" max="42" width="14.5703125" customWidth="1"/>
  </cols>
  <sheetData>
    <row r="1" spans="1:31">
      <c r="A1" t="s">
        <v>547</v>
      </c>
      <c r="B1" t="s">
        <v>2096</v>
      </c>
      <c r="C1" t="s">
        <v>2097</v>
      </c>
      <c r="D1" t="s">
        <v>3848</v>
      </c>
      <c r="E1" t="s">
        <v>3849</v>
      </c>
      <c r="F1" t="s">
        <v>3850</v>
      </c>
      <c r="G1" t="s">
        <v>3851</v>
      </c>
      <c r="H1" t="s">
        <v>577</v>
      </c>
      <c r="I1" t="s">
        <v>578</v>
      </c>
      <c r="J1" t="s">
        <v>906</v>
      </c>
      <c r="K1" t="s">
        <v>907</v>
      </c>
      <c r="L1" t="s">
        <v>3852</v>
      </c>
      <c r="M1" t="s">
        <v>3853</v>
      </c>
      <c r="N1" t="s">
        <v>3854</v>
      </c>
      <c r="O1" t="s">
        <v>4112</v>
      </c>
      <c r="P1" t="s">
        <v>286</v>
      </c>
      <c r="Q1" t="s">
        <v>5747</v>
      </c>
      <c r="R1" t="s">
        <v>3847</v>
      </c>
      <c r="S1" t="s">
        <v>3856</v>
      </c>
      <c r="T1" t="s">
        <v>3855</v>
      </c>
      <c r="U1" t="s">
        <v>3857</v>
      </c>
      <c r="V1" t="s">
        <v>3858</v>
      </c>
      <c r="W1" t="s">
        <v>4059</v>
      </c>
      <c r="X1" t="s">
        <v>3859</v>
      </c>
      <c r="Y1" t="s">
        <v>4130</v>
      </c>
      <c r="Z1" t="s">
        <v>4134</v>
      </c>
      <c r="AA1" t="s">
        <v>4119</v>
      </c>
      <c r="AB1" t="s">
        <v>5398</v>
      </c>
      <c r="AC1" t="s">
        <v>5405</v>
      </c>
      <c r="AD1" t="s">
        <v>5488</v>
      </c>
      <c r="AE1" t="s">
        <v>6947</v>
      </c>
    </row>
    <row r="2" spans="1:31" hidden="1">
      <c r="A2" t="s">
        <v>4032</v>
      </c>
      <c r="B2" t="s">
        <v>2747</v>
      </c>
      <c r="C2" t="s">
        <v>5477</v>
      </c>
      <c r="D2" t="s">
        <v>7194</v>
      </c>
      <c r="E2" t="s">
        <v>7195</v>
      </c>
      <c r="F2">
        <v>0</v>
      </c>
      <c r="G2" t="s">
        <v>7196</v>
      </c>
      <c r="L2" s="4"/>
      <c r="O2">
        <v>3000000001823661</v>
      </c>
      <c r="P2" t="s">
        <v>6790</v>
      </c>
      <c r="Q2" t="s">
        <v>7580</v>
      </c>
      <c r="W2" t="str">
        <f>Tabla_Consulta_desde_Proyectos10[[#This Row],[PRYcodigo]]&amp;Tabla_Consulta_desde_Proyectos10[[#This Row],[PRYApath]]</f>
        <v>095-192-RGT/0014</v>
      </c>
      <c r="X2" t="str">
        <f>Tabla_Consulta_desde_Proyectos10[[#This Row],[PRYAcodigo]]&amp;" - "&amp;Tabla_Consulta_desde_Proyectos10[[#This Row],[PRYAdescripcion]]</f>
        <v>500.1 - ACTIVIDADES DEL EQUIPO DE RELEASE MANAGMENT</v>
      </c>
      <c r="Y2" t="str">
        <f>SUBSTITUTE(IFERROR(VLOOKUP(LEFT(Tabla_Consulta_desde_Proyectos10[[#This Row],[Nivel1]],LEN(Tabla_Consulta_desde_Proyectos10[[#This Row],[Nivel1]])-5),Tabla_Consulta_desde_Proyectos10[[#All],[Nivel1]:[Actividad]],2,FALSE),""),"_","-")</f>
        <v/>
      </c>
      <c r="Z2" t="str">
        <f>IFERROR(VLOOKUP(Tabla_Consulta_desde_Proyectos10[[#This Row],[PRYRAfecha]],'Fechas Mes'!G:J,4,TRUE),"")</f>
        <v/>
      </c>
      <c r="AA2" t="e" cm="1">
        <f t="array" ref="AA2">INDEX('Fechas Mes'!F:F,MATCH(Tabla_Consulta_desde_Proyectos10[[#This Row],[Semana]],'Fechas Mes'!J:J,0),)</f>
        <v>#N/A</v>
      </c>
      <c r="AB2">
        <f>YEAR(Tabla_Consulta_desde_Proyectos10[[#This Row],[PRYRAfecha]])</f>
        <v>1900</v>
      </c>
      <c r="AC2" t="e">
        <f>VLOOKUP(Tabla_Consulta_desde_Proyectos10[[#This Row],[PRYRAfecha]],'Fechas Mes'!G:J,4,TRUE)</f>
        <v>#N/A</v>
      </c>
      <c r="AD2" t="str">
        <f>IFERROR(VLOOKUP(Tabla_Consulta_desde_Proyectos10[[#This Row],[PRYcodigo]],Catálogo!A:B,2,FALSE),"Otros")</f>
        <v>Otros</v>
      </c>
      <c r="AE2" t="str">
        <f>IF(LEN(Tabla_Consulta_desde_Proyectos10[[#This Row],[Semana]])&lt;13,"CI",RIGHT(Tabla_Consulta_desde_Proyectos10[[#This Row],[Semana]],4))</f>
        <v>CI</v>
      </c>
    </row>
    <row r="3" spans="1:31" hidden="1">
      <c r="A3" t="s">
        <v>4032</v>
      </c>
      <c r="B3" t="s">
        <v>2747</v>
      </c>
      <c r="C3" t="s">
        <v>5477</v>
      </c>
      <c r="D3" t="s">
        <v>7194</v>
      </c>
      <c r="E3" t="s">
        <v>7195</v>
      </c>
      <c r="F3">
        <v>0</v>
      </c>
      <c r="G3" t="s">
        <v>7196</v>
      </c>
      <c r="L3" s="4"/>
      <c r="O3">
        <v>3000000001824270</v>
      </c>
      <c r="P3" t="s">
        <v>6790</v>
      </c>
      <c r="Q3" t="s">
        <v>7240</v>
      </c>
      <c r="W3" t="str">
        <f>Tabla_Consulta_desde_Proyectos10[[#This Row],[PRYcodigo]]&amp;Tabla_Consulta_desde_Proyectos10[[#This Row],[PRYApath]]</f>
        <v>095-192-RGT/0014</v>
      </c>
      <c r="X3" t="str">
        <f>Tabla_Consulta_desde_Proyectos10[[#This Row],[PRYAcodigo]]&amp;" - "&amp;Tabla_Consulta_desde_Proyectos10[[#This Row],[PRYAdescripcion]]</f>
        <v>500.1 - ACTIVIDADES DEL EQUIPO DE RELEASE MANAGMENT</v>
      </c>
      <c r="Y3" t="str">
        <f>SUBSTITUTE(IFERROR(VLOOKUP(LEFT(Tabla_Consulta_desde_Proyectos10[[#This Row],[Nivel1]],LEN(Tabla_Consulta_desde_Proyectos10[[#This Row],[Nivel1]])-5),Tabla_Consulta_desde_Proyectos10[[#All],[Nivel1]:[Actividad]],2,FALSE),""),"_","-")</f>
        <v/>
      </c>
      <c r="Z3" t="str">
        <f>IFERROR(VLOOKUP(Tabla_Consulta_desde_Proyectos10[[#This Row],[PRYRAfecha]],'Fechas Mes'!G:J,4,TRUE),"")</f>
        <v/>
      </c>
      <c r="AA3" t="e" cm="1">
        <f t="array" ref="AA3">INDEX('Fechas Mes'!F:F,MATCH(Tabla_Consulta_desde_Proyectos10[[#This Row],[Semana]],'Fechas Mes'!J:J,0),)</f>
        <v>#N/A</v>
      </c>
      <c r="AB3">
        <f>YEAR(Tabla_Consulta_desde_Proyectos10[[#This Row],[PRYRAfecha]])</f>
        <v>1900</v>
      </c>
      <c r="AC3" t="e">
        <f>VLOOKUP(Tabla_Consulta_desde_Proyectos10[[#This Row],[PRYRAfecha]],'Fechas Mes'!G:J,4,TRUE)</f>
        <v>#N/A</v>
      </c>
      <c r="AD3" t="str">
        <f>IFERROR(VLOOKUP(Tabla_Consulta_desde_Proyectos10[[#This Row],[PRYcodigo]],Catálogo!A:B,2,FALSE),"Otros")</f>
        <v>Otros</v>
      </c>
      <c r="AE3" t="str">
        <f>IF(LEN(Tabla_Consulta_desde_Proyectos10[[#This Row],[Semana]])&lt;13,"CI",RIGHT(Tabla_Consulta_desde_Proyectos10[[#This Row],[Semana]],4))</f>
        <v>CI</v>
      </c>
    </row>
    <row r="4" spans="1:31" hidden="1">
      <c r="A4" t="s">
        <v>4032</v>
      </c>
      <c r="B4" t="s">
        <v>2747</v>
      </c>
      <c r="C4" t="s">
        <v>5477</v>
      </c>
      <c r="D4" t="s">
        <v>7194</v>
      </c>
      <c r="E4" t="s">
        <v>7195</v>
      </c>
      <c r="F4">
        <v>0</v>
      </c>
      <c r="G4" t="s">
        <v>7196</v>
      </c>
      <c r="L4" s="4"/>
      <c r="O4">
        <v>3000000001827711</v>
      </c>
      <c r="P4" t="s">
        <v>6790</v>
      </c>
      <c r="Q4" t="s">
        <v>7240</v>
      </c>
      <c r="W4" t="str">
        <f>Tabla_Consulta_desde_Proyectos10[[#This Row],[PRYcodigo]]&amp;Tabla_Consulta_desde_Proyectos10[[#This Row],[PRYApath]]</f>
        <v>095-192-RGT/0014</v>
      </c>
      <c r="X4" t="str">
        <f>Tabla_Consulta_desde_Proyectos10[[#This Row],[PRYAcodigo]]&amp;" - "&amp;Tabla_Consulta_desde_Proyectos10[[#This Row],[PRYAdescripcion]]</f>
        <v>500.1 - ACTIVIDADES DEL EQUIPO DE RELEASE MANAGMENT</v>
      </c>
      <c r="Y4" t="str">
        <f>SUBSTITUTE(IFERROR(VLOOKUP(LEFT(Tabla_Consulta_desde_Proyectos10[[#This Row],[Nivel1]],LEN(Tabla_Consulta_desde_Proyectos10[[#This Row],[Nivel1]])-5),Tabla_Consulta_desde_Proyectos10[[#All],[Nivel1]:[Actividad]],2,FALSE),""),"_","-")</f>
        <v/>
      </c>
      <c r="Z4" t="str">
        <f>IFERROR(VLOOKUP(Tabla_Consulta_desde_Proyectos10[[#This Row],[PRYRAfecha]],'Fechas Mes'!G:J,4,TRUE),"")</f>
        <v/>
      </c>
      <c r="AA4" t="e" cm="1">
        <f t="array" ref="AA4">INDEX('Fechas Mes'!F:F,MATCH(Tabla_Consulta_desde_Proyectos10[[#This Row],[Semana]],'Fechas Mes'!J:J,0),)</f>
        <v>#N/A</v>
      </c>
      <c r="AB4">
        <f>YEAR(Tabla_Consulta_desde_Proyectos10[[#This Row],[PRYRAfecha]])</f>
        <v>1900</v>
      </c>
      <c r="AC4" t="e">
        <f>VLOOKUP(Tabla_Consulta_desde_Proyectos10[[#This Row],[PRYRAfecha]],'Fechas Mes'!G:J,4,TRUE)</f>
        <v>#N/A</v>
      </c>
      <c r="AD4" t="str">
        <f>IFERROR(VLOOKUP(Tabla_Consulta_desde_Proyectos10[[#This Row],[PRYcodigo]],Catálogo!A:B,2,FALSE),"Otros")</f>
        <v>Otros</v>
      </c>
      <c r="AE4" t="str">
        <f>IF(LEN(Tabla_Consulta_desde_Proyectos10[[#This Row],[Semana]])&lt;13,"CI",RIGHT(Tabla_Consulta_desde_Proyectos10[[#This Row],[Semana]],4))</f>
        <v>CI</v>
      </c>
    </row>
    <row r="5" spans="1:31">
      <c r="A5" t="s">
        <v>4032</v>
      </c>
      <c r="B5" t="s">
        <v>2747</v>
      </c>
      <c r="C5" t="s">
        <v>5477</v>
      </c>
      <c r="D5" t="s">
        <v>7219</v>
      </c>
      <c r="E5" t="s">
        <v>7244</v>
      </c>
      <c r="F5">
        <v>1</v>
      </c>
      <c r="G5" t="s">
        <v>7557</v>
      </c>
      <c r="H5" t="s">
        <v>5028</v>
      </c>
      <c r="I5" t="s">
        <v>5029</v>
      </c>
      <c r="J5" t="s">
        <v>5051</v>
      </c>
      <c r="K5" t="s">
        <v>5052</v>
      </c>
      <c r="L5" s="4">
        <v>46119</v>
      </c>
      <c r="M5" t="s">
        <v>7581</v>
      </c>
      <c r="N5">
        <v>0.25</v>
      </c>
      <c r="O5">
        <v>3000000001823661</v>
      </c>
      <c r="P5" t="s">
        <v>6790</v>
      </c>
      <c r="Q5" t="s">
        <v>7580</v>
      </c>
      <c r="W5" t="str">
        <f>Tabla_Consulta_desde_Proyectos10[[#This Row],[PRYcodigo]]&amp;Tabla_Consulta_desde_Proyectos10[[#This Row],[PRYApath]]</f>
        <v>095-192-RGT/0014/0010</v>
      </c>
      <c r="X5" t="str">
        <f>Tabla_Consulta_desde_Proyectos10[[#This Row],[PRYAcodigo]]&amp;" - "&amp;Tabla_Consulta_desde_Proyectos10[[#This Row],[PRYAdescripcion]]</f>
        <v>5 - AUTOMATIZACIÓN</v>
      </c>
      <c r="Y5" t="str">
        <f>SUBSTITUTE(IFERROR(VLOOKUP(LEFT(Tabla_Consulta_desde_Proyectos10[[#This Row],[Nivel1]],LEN(Tabla_Consulta_desde_Proyectos10[[#This Row],[Nivel1]])-5),Tabla_Consulta_desde_Proyectos10[[#All],[Nivel1]:[Actividad]],2,FALSE),""),"_","-")</f>
        <v>500.1 - ACTIVIDADES DEL EQUIPO DE RELEASE MANAGMENT</v>
      </c>
      <c r="Z5" t="str">
        <f>IFERROR(VLOOKUP(Tabla_Consulta_desde_Proyectos10[[#This Row],[PRYRAfecha]],'Fechas Mes'!G:J,4,TRUE),"")</f>
        <v>Semana 48CIP2</v>
      </c>
      <c r="AA5" t="str" cm="1">
        <f t="array" ref="AA5">INDEX('Fechas Mes'!F:F,MATCH(Tabla_Consulta_desde_Proyectos10[[#This Row],[Semana]],'Fechas Mes'!J:J,0),)</f>
        <v>M12CIP2</v>
      </c>
      <c r="AB5">
        <f>YEAR(Tabla_Consulta_desde_Proyectos10[[#This Row],[PRYRAfecha]])</f>
        <v>2026</v>
      </c>
      <c r="AC5" t="str">
        <f>VLOOKUP(Tabla_Consulta_desde_Proyectos10[[#This Row],[PRYRAfecha]],'Fechas Mes'!G:J,4,TRUE)</f>
        <v>Semana 48CIP2</v>
      </c>
      <c r="AD5" t="str">
        <f>IFERROR(VLOOKUP(Tabla_Consulta_desde_Proyectos10[[#This Row],[PRYcodigo]],Catálogo!A:B,2,FALSE),"Otros")</f>
        <v>Otros</v>
      </c>
      <c r="AE5" t="str">
        <f>IF(LEN(Tabla_Consulta_desde_Proyectos10[[#This Row],[Semana]])&lt;13,"CI",RIGHT(Tabla_Consulta_desde_Proyectos10[[#This Row],[Semana]],4))</f>
        <v>CIP2</v>
      </c>
    </row>
    <row r="6" spans="1:31">
      <c r="A6" t="s">
        <v>4032</v>
      </c>
      <c r="B6" t="s">
        <v>2747</v>
      </c>
      <c r="C6" t="s">
        <v>5477</v>
      </c>
      <c r="D6" t="s">
        <v>7219</v>
      </c>
      <c r="E6" t="s">
        <v>7244</v>
      </c>
      <c r="F6">
        <v>1</v>
      </c>
      <c r="G6" t="s">
        <v>7557</v>
      </c>
      <c r="H6" t="s">
        <v>5028</v>
      </c>
      <c r="I6" t="s">
        <v>5029</v>
      </c>
      <c r="J6" t="s">
        <v>5051</v>
      </c>
      <c r="K6" t="s">
        <v>5052</v>
      </c>
      <c r="L6" s="4">
        <v>46121</v>
      </c>
      <c r="M6" t="s">
        <v>7582</v>
      </c>
      <c r="N6">
        <v>0.25</v>
      </c>
      <c r="O6">
        <v>3000000001824270</v>
      </c>
      <c r="P6" t="s">
        <v>6790</v>
      </c>
      <c r="Q6" t="s">
        <v>7240</v>
      </c>
      <c r="W6" t="str">
        <f>Tabla_Consulta_desde_Proyectos10[[#This Row],[PRYcodigo]]&amp;Tabla_Consulta_desde_Proyectos10[[#This Row],[PRYApath]]</f>
        <v>095-192-RGT/0014/0010</v>
      </c>
      <c r="X6" t="str">
        <f>Tabla_Consulta_desde_Proyectos10[[#This Row],[PRYAcodigo]]&amp;" - "&amp;Tabla_Consulta_desde_Proyectos10[[#This Row],[PRYAdescripcion]]</f>
        <v>5 - AUTOMATIZACIÓN</v>
      </c>
      <c r="Y6" t="str">
        <f>SUBSTITUTE(IFERROR(VLOOKUP(LEFT(Tabla_Consulta_desde_Proyectos10[[#This Row],[Nivel1]],LEN(Tabla_Consulta_desde_Proyectos10[[#This Row],[Nivel1]])-5),Tabla_Consulta_desde_Proyectos10[[#All],[Nivel1]:[Actividad]],2,FALSE),""),"_","-")</f>
        <v>500.1 - ACTIVIDADES DEL EQUIPO DE RELEASE MANAGMENT</v>
      </c>
      <c r="Z6" t="str">
        <f>IFERROR(VLOOKUP(Tabla_Consulta_desde_Proyectos10[[#This Row],[PRYRAfecha]],'Fechas Mes'!G:J,4,TRUE),"")</f>
        <v>Semana 48CIP2</v>
      </c>
      <c r="AA6" t="str" cm="1">
        <f t="array" ref="AA6">INDEX('Fechas Mes'!F:F,MATCH(Tabla_Consulta_desde_Proyectos10[[#This Row],[Semana]],'Fechas Mes'!J:J,0),)</f>
        <v>M12CIP2</v>
      </c>
      <c r="AB6">
        <f>YEAR(Tabla_Consulta_desde_Proyectos10[[#This Row],[PRYRAfecha]])</f>
        <v>2026</v>
      </c>
      <c r="AC6" t="str">
        <f>VLOOKUP(Tabla_Consulta_desde_Proyectos10[[#This Row],[PRYRAfecha]],'Fechas Mes'!G:J,4,TRUE)</f>
        <v>Semana 48CIP2</v>
      </c>
      <c r="AD6" t="str">
        <f>IFERROR(VLOOKUP(Tabla_Consulta_desde_Proyectos10[[#This Row],[PRYcodigo]],Catálogo!A:B,2,FALSE),"Otros")</f>
        <v>Otros</v>
      </c>
      <c r="AE6" t="str">
        <f>IF(LEN(Tabla_Consulta_desde_Proyectos10[[#This Row],[Semana]])&lt;13,"CI",RIGHT(Tabla_Consulta_desde_Proyectos10[[#This Row],[Semana]],4))</f>
        <v>CIP2</v>
      </c>
    </row>
    <row r="7" spans="1:31">
      <c r="A7" t="s">
        <v>4032</v>
      </c>
      <c r="B7" t="s">
        <v>2747</v>
      </c>
      <c r="C7" t="s">
        <v>5477</v>
      </c>
      <c r="D7" t="s">
        <v>7219</v>
      </c>
      <c r="E7" t="s">
        <v>7244</v>
      </c>
      <c r="F7">
        <v>1</v>
      </c>
      <c r="G7" t="s">
        <v>7557</v>
      </c>
      <c r="H7" t="s">
        <v>5028</v>
      </c>
      <c r="I7" t="s">
        <v>5029</v>
      </c>
      <c r="J7" t="s">
        <v>5051</v>
      </c>
      <c r="K7" t="s">
        <v>5052</v>
      </c>
      <c r="L7" s="4">
        <v>46127</v>
      </c>
      <c r="M7" t="s">
        <v>7583</v>
      </c>
      <c r="N7">
        <v>0.25</v>
      </c>
      <c r="O7">
        <v>3000000001827711</v>
      </c>
      <c r="P7" t="s">
        <v>6790</v>
      </c>
      <c r="Q7" t="s">
        <v>7240</v>
      </c>
      <c r="W7" t="str">
        <f>Tabla_Consulta_desde_Proyectos10[[#This Row],[PRYcodigo]]&amp;Tabla_Consulta_desde_Proyectos10[[#This Row],[PRYApath]]</f>
        <v>095-192-RGT/0014/0010</v>
      </c>
      <c r="X7" t="str">
        <f>Tabla_Consulta_desde_Proyectos10[[#This Row],[PRYAcodigo]]&amp;" - "&amp;Tabla_Consulta_desde_Proyectos10[[#This Row],[PRYAdescripcion]]</f>
        <v>5 - AUTOMATIZACIÓN</v>
      </c>
      <c r="Y7" t="str">
        <f>SUBSTITUTE(IFERROR(VLOOKUP(LEFT(Tabla_Consulta_desde_Proyectos10[[#This Row],[Nivel1]],LEN(Tabla_Consulta_desde_Proyectos10[[#This Row],[Nivel1]])-5),Tabla_Consulta_desde_Proyectos10[[#All],[Nivel1]:[Actividad]],2,FALSE),""),"_","-")</f>
        <v>500.1 - ACTIVIDADES DEL EQUIPO DE RELEASE MANAGMENT</v>
      </c>
      <c r="Z7" t="str">
        <f>IFERROR(VLOOKUP(Tabla_Consulta_desde_Proyectos10[[#This Row],[PRYRAfecha]],'Fechas Mes'!G:J,4,TRUE),"")</f>
        <v>Semana 48CIP2</v>
      </c>
      <c r="AA7" t="str" cm="1">
        <f t="array" ref="AA7">INDEX('Fechas Mes'!F:F,MATCH(Tabla_Consulta_desde_Proyectos10[[#This Row],[Semana]],'Fechas Mes'!J:J,0),)</f>
        <v>M12CIP2</v>
      </c>
      <c r="AB7">
        <f>YEAR(Tabla_Consulta_desde_Proyectos10[[#This Row],[PRYRAfecha]])</f>
        <v>2026</v>
      </c>
      <c r="AC7" t="str">
        <f>VLOOKUP(Tabla_Consulta_desde_Proyectos10[[#This Row],[PRYRAfecha]],'Fechas Mes'!G:J,4,TRUE)</f>
        <v>Semana 48CIP2</v>
      </c>
      <c r="AD7" t="str">
        <f>IFERROR(VLOOKUP(Tabla_Consulta_desde_Proyectos10[[#This Row],[PRYcodigo]],Catálogo!A:B,2,FALSE),"Otros")</f>
        <v>Otros</v>
      </c>
      <c r="AE7" t="str">
        <f>IF(LEN(Tabla_Consulta_desde_Proyectos10[[#This Row],[Semana]])&lt;13,"CI",RIGHT(Tabla_Consulta_desde_Proyectos10[[#This Row],[Semana]],4))</f>
        <v>CIP2</v>
      </c>
    </row>
    <row r="8" spans="1:31" hidden="1">
      <c r="A8" t="s">
        <v>4032</v>
      </c>
      <c r="B8" t="s">
        <v>6752</v>
      </c>
      <c r="C8" t="s">
        <v>6753</v>
      </c>
      <c r="D8" t="s">
        <v>7558</v>
      </c>
      <c r="E8" t="s">
        <v>5859</v>
      </c>
      <c r="F8">
        <v>0</v>
      </c>
      <c r="G8" t="s">
        <v>7559</v>
      </c>
      <c r="L8" s="4"/>
      <c r="O8">
        <v>3000000001829931</v>
      </c>
      <c r="P8" t="s">
        <v>7043</v>
      </c>
      <c r="Q8" t="s">
        <v>7584</v>
      </c>
      <c r="W8" t="str">
        <f>Tabla_Consulta_desde_Proyectos10[[#This Row],[PRYcodigo]]&amp;Tabla_Consulta_desde_Proyectos10[[#This Row],[PRYApath]]</f>
        <v>095-202-RDIG/0006</v>
      </c>
      <c r="X8" t="str">
        <f>Tabla_Consulta_desde_Proyectos10[[#This Row],[PRYAcodigo]]&amp;" - "&amp;Tabla_Consulta_desde_Proyectos10[[#This Row],[PRYAdescripcion]]</f>
        <v>350_RDIG - DESARROLLO DE PROYECTOS EQUIPO SWAT</v>
      </c>
      <c r="Y8" t="str">
        <f>SUBSTITUTE(IFERROR(VLOOKUP(LEFT(Tabla_Consulta_desde_Proyectos10[[#This Row],[Nivel1]],LEN(Tabla_Consulta_desde_Proyectos10[[#This Row],[Nivel1]])-5),Tabla_Consulta_desde_Proyectos10[[#All],[Nivel1]:[Actividad]],2,FALSE),""),"_","-")</f>
        <v/>
      </c>
      <c r="Z8" t="str">
        <f>IFERROR(VLOOKUP(Tabla_Consulta_desde_Proyectos10[[#This Row],[PRYRAfecha]],'Fechas Mes'!G:J,4,TRUE),"")</f>
        <v/>
      </c>
      <c r="AA8" t="e" cm="1">
        <f t="array" ref="AA8">INDEX('Fechas Mes'!F:F,MATCH(Tabla_Consulta_desde_Proyectos10[[#This Row],[Semana]],'Fechas Mes'!J:J,0),)</f>
        <v>#N/A</v>
      </c>
      <c r="AB8">
        <f>YEAR(Tabla_Consulta_desde_Proyectos10[[#This Row],[PRYRAfecha]])</f>
        <v>1900</v>
      </c>
      <c r="AC8" t="e">
        <f>VLOOKUP(Tabla_Consulta_desde_Proyectos10[[#This Row],[PRYRAfecha]],'Fechas Mes'!G:J,4,TRUE)</f>
        <v>#N/A</v>
      </c>
      <c r="AD8" t="str">
        <f>IFERROR(VLOOKUP(Tabla_Consulta_desde_Proyectos10[[#This Row],[PRYcodigo]],Catálogo!A:B,2,FALSE),"Otros")</f>
        <v>Otros</v>
      </c>
      <c r="AE8" t="str">
        <f>IF(LEN(Tabla_Consulta_desde_Proyectos10[[#This Row],[Semana]])&lt;13,"CI",RIGHT(Tabla_Consulta_desde_Proyectos10[[#This Row],[Semana]],4))</f>
        <v>CI</v>
      </c>
    </row>
    <row r="9" spans="1:31">
      <c r="A9" t="s">
        <v>4032</v>
      </c>
      <c r="B9" t="s">
        <v>6752</v>
      </c>
      <c r="C9" t="s">
        <v>6753</v>
      </c>
      <c r="D9" t="s">
        <v>7585</v>
      </c>
      <c r="E9" t="s">
        <v>7586</v>
      </c>
      <c r="F9">
        <v>1</v>
      </c>
      <c r="G9" t="s">
        <v>7587</v>
      </c>
      <c r="H9" t="s">
        <v>7103</v>
      </c>
      <c r="I9" t="s">
        <v>7104</v>
      </c>
      <c r="J9" t="s">
        <v>1905</v>
      </c>
      <c r="K9" t="s">
        <v>1906</v>
      </c>
      <c r="L9" s="4">
        <v>46129</v>
      </c>
      <c r="M9" t="s">
        <v>7588</v>
      </c>
      <c r="N9">
        <v>3</v>
      </c>
      <c r="O9">
        <v>3000000001829931</v>
      </c>
      <c r="P9" t="s">
        <v>7043</v>
      </c>
      <c r="Q9" t="s">
        <v>7584</v>
      </c>
      <c r="W9" t="str">
        <f>Tabla_Consulta_desde_Proyectos10[[#This Row],[PRYcodigo]]&amp;Tabla_Consulta_desde_Proyectos10[[#This Row],[PRYApath]]</f>
        <v>095-202-RDIG/0006/0028</v>
      </c>
      <c r="X9" t="str">
        <f>Tabla_Consulta_desde_Proyectos10[[#This Row],[PRYAcodigo]]&amp;" - "&amp;Tabla_Consulta_desde_Proyectos10[[#This Row],[PRYAdescripcion]]</f>
        <v>14 - LIBERACIÓN</v>
      </c>
      <c r="Y9" t="str">
        <f>SUBSTITUTE(IFERROR(VLOOKUP(LEFT(Tabla_Consulta_desde_Proyectos10[[#This Row],[Nivel1]],LEN(Tabla_Consulta_desde_Proyectos10[[#This Row],[Nivel1]])-5),Tabla_Consulta_desde_Proyectos10[[#All],[Nivel1]:[Actividad]],2,FALSE),""),"_","-")</f>
        <v>350-RDIG - DESARROLLO DE PROYECTOS EQUIPO SWAT</v>
      </c>
      <c r="Z9" t="str">
        <f>IFERROR(VLOOKUP(Tabla_Consulta_desde_Proyectos10[[#This Row],[PRYRAfecha]],'Fechas Mes'!G:J,4,TRUE),"")</f>
        <v>Semana 48CIP2</v>
      </c>
      <c r="AA9" t="str" cm="1">
        <f t="array" ref="AA9">INDEX('Fechas Mes'!F:F,MATCH(Tabla_Consulta_desde_Proyectos10[[#This Row],[Semana]],'Fechas Mes'!J:J,0),)</f>
        <v>M12CIP2</v>
      </c>
      <c r="AB9">
        <f>YEAR(Tabla_Consulta_desde_Proyectos10[[#This Row],[PRYRAfecha]])</f>
        <v>2026</v>
      </c>
      <c r="AC9" t="str">
        <f>VLOOKUP(Tabla_Consulta_desde_Proyectos10[[#This Row],[PRYRAfecha]],'Fechas Mes'!G:J,4,TRUE)</f>
        <v>Semana 48CIP2</v>
      </c>
      <c r="AD9" t="str">
        <f>IFERROR(VLOOKUP(Tabla_Consulta_desde_Proyectos10[[#This Row],[PRYcodigo]],Catálogo!A:B,2,FALSE),"Otros")</f>
        <v>Otros</v>
      </c>
      <c r="AE9" t="str">
        <f>IF(LEN(Tabla_Consulta_desde_Proyectos10[[#This Row],[Semana]])&lt;13,"CI",RIGHT(Tabla_Consulta_desde_Proyectos10[[#This Row],[Semana]],4))</f>
        <v>CIP2</v>
      </c>
    </row>
    <row r="10" spans="1:31" hidden="1">
      <c r="A10" t="s">
        <v>4032</v>
      </c>
      <c r="B10" t="s">
        <v>6752</v>
      </c>
      <c r="C10" t="s">
        <v>6753</v>
      </c>
      <c r="D10" t="s">
        <v>7194</v>
      </c>
      <c r="E10" t="s">
        <v>7195</v>
      </c>
      <c r="F10">
        <v>0</v>
      </c>
      <c r="G10" t="s">
        <v>7211</v>
      </c>
      <c r="L10" s="4"/>
      <c r="O10">
        <v>3000000001823338</v>
      </c>
      <c r="P10" t="s">
        <v>6788</v>
      </c>
      <c r="Q10" t="s">
        <v>7552</v>
      </c>
      <c r="W10" t="str">
        <f>Tabla_Consulta_desde_Proyectos10[[#This Row],[PRYcodigo]]&amp;Tabla_Consulta_desde_Proyectos10[[#This Row],[PRYApath]]</f>
        <v>095-202-RDIG/0018</v>
      </c>
      <c r="X10" t="str">
        <f>Tabla_Consulta_desde_Proyectos10[[#This Row],[PRYAcodigo]]&amp;" - "&amp;Tabla_Consulta_desde_Proyectos10[[#This Row],[PRYAdescripcion]]</f>
        <v>500.1 - ACTIVIDADES DEL EQUIPO DE RELEASE MANAGMENT</v>
      </c>
      <c r="Y10" t="str">
        <f>SUBSTITUTE(IFERROR(VLOOKUP(LEFT(Tabla_Consulta_desde_Proyectos10[[#This Row],[Nivel1]],LEN(Tabla_Consulta_desde_Proyectos10[[#This Row],[Nivel1]])-5),Tabla_Consulta_desde_Proyectos10[[#All],[Nivel1]:[Actividad]],2,FALSE),""),"_","-")</f>
        <v/>
      </c>
      <c r="Z10" t="str">
        <f>IFERROR(VLOOKUP(Tabla_Consulta_desde_Proyectos10[[#This Row],[PRYRAfecha]],'Fechas Mes'!G:J,4,TRUE),"")</f>
        <v/>
      </c>
      <c r="AA10" t="e" cm="1">
        <f t="array" ref="AA10">INDEX('Fechas Mes'!F:F,MATCH(Tabla_Consulta_desde_Proyectos10[[#This Row],[Semana]],'Fechas Mes'!J:J,0),)</f>
        <v>#N/A</v>
      </c>
      <c r="AB10">
        <f>YEAR(Tabla_Consulta_desde_Proyectos10[[#This Row],[PRYRAfecha]])</f>
        <v>1900</v>
      </c>
      <c r="AC10" t="e">
        <f>VLOOKUP(Tabla_Consulta_desde_Proyectos10[[#This Row],[PRYRAfecha]],'Fechas Mes'!G:J,4,TRUE)</f>
        <v>#N/A</v>
      </c>
      <c r="AD10" t="str">
        <f>IFERROR(VLOOKUP(Tabla_Consulta_desde_Proyectos10[[#This Row],[PRYcodigo]],Catálogo!A:B,2,FALSE),"Otros")</f>
        <v>Otros</v>
      </c>
      <c r="AE10" t="str">
        <f>IF(LEN(Tabla_Consulta_desde_Proyectos10[[#This Row],[Semana]])&lt;13,"CI",RIGHT(Tabla_Consulta_desde_Proyectos10[[#This Row],[Semana]],4))</f>
        <v>CI</v>
      </c>
    </row>
    <row r="11" spans="1:31" hidden="1">
      <c r="A11" t="s">
        <v>4032</v>
      </c>
      <c r="B11" t="s">
        <v>6752</v>
      </c>
      <c r="C11" t="s">
        <v>6753</v>
      </c>
      <c r="D11" t="s">
        <v>7194</v>
      </c>
      <c r="E11" t="s">
        <v>7195</v>
      </c>
      <c r="F11">
        <v>0</v>
      </c>
      <c r="G11" t="s">
        <v>7211</v>
      </c>
      <c r="L11" s="4"/>
      <c r="O11">
        <v>3000000001823479</v>
      </c>
      <c r="P11" t="s">
        <v>6782</v>
      </c>
      <c r="Q11" t="s">
        <v>7210</v>
      </c>
      <c r="W11" t="str">
        <f>Tabla_Consulta_desde_Proyectos10[[#This Row],[PRYcodigo]]&amp;Tabla_Consulta_desde_Proyectos10[[#This Row],[PRYApath]]</f>
        <v>095-202-RDIG/0018</v>
      </c>
      <c r="X11" t="str">
        <f>Tabla_Consulta_desde_Proyectos10[[#This Row],[PRYAcodigo]]&amp;" - "&amp;Tabla_Consulta_desde_Proyectos10[[#This Row],[PRYAdescripcion]]</f>
        <v>500.1 - ACTIVIDADES DEL EQUIPO DE RELEASE MANAGMENT</v>
      </c>
      <c r="Y11" t="str">
        <f>SUBSTITUTE(IFERROR(VLOOKUP(LEFT(Tabla_Consulta_desde_Proyectos10[[#This Row],[Nivel1]],LEN(Tabla_Consulta_desde_Proyectos10[[#This Row],[Nivel1]])-5),Tabla_Consulta_desde_Proyectos10[[#All],[Nivel1]:[Actividad]],2,FALSE),""),"_","-")</f>
        <v/>
      </c>
      <c r="Z11" t="str">
        <f>IFERROR(VLOOKUP(Tabla_Consulta_desde_Proyectos10[[#This Row],[PRYRAfecha]],'Fechas Mes'!G:J,4,TRUE),"")</f>
        <v/>
      </c>
      <c r="AA11" t="e" cm="1">
        <f t="array" ref="AA11">INDEX('Fechas Mes'!F:F,MATCH(Tabla_Consulta_desde_Proyectos10[[#This Row],[Semana]],'Fechas Mes'!J:J,0),)</f>
        <v>#N/A</v>
      </c>
      <c r="AB11">
        <f>YEAR(Tabla_Consulta_desde_Proyectos10[[#This Row],[PRYRAfecha]])</f>
        <v>1900</v>
      </c>
      <c r="AC11" t="e">
        <f>VLOOKUP(Tabla_Consulta_desde_Proyectos10[[#This Row],[PRYRAfecha]],'Fechas Mes'!G:J,4,TRUE)</f>
        <v>#N/A</v>
      </c>
      <c r="AD11" t="str">
        <f>IFERROR(VLOOKUP(Tabla_Consulta_desde_Proyectos10[[#This Row],[PRYcodigo]],Catálogo!A:B,2,FALSE),"Otros")</f>
        <v>Otros</v>
      </c>
      <c r="AE11" t="str">
        <f>IF(LEN(Tabla_Consulta_desde_Proyectos10[[#This Row],[Semana]])&lt;13,"CI",RIGHT(Tabla_Consulta_desde_Proyectos10[[#This Row],[Semana]],4))</f>
        <v>CI</v>
      </c>
    </row>
    <row r="12" spans="1:31" hidden="1">
      <c r="A12" t="s">
        <v>4032</v>
      </c>
      <c r="B12" t="s">
        <v>6752</v>
      </c>
      <c r="C12" t="s">
        <v>6753</v>
      </c>
      <c r="D12" t="s">
        <v>7194</v>
      </c>
      <c r="E12" t="s">
        <v>7195</v>
      </c>
      <c r="F12">
        <v>0</v>
      </c>
      <c r="G12" t="s">
        <v>7211</v>
      </c>
      <c r="L12" s="4"/>
      <c r="O12">
        <v>3000000001824315</v>
      </c>
      <c r="P12" t="s">
        <v>6796</v>
      </c>
      <c r="Q12" t="s">
        <v>7215</v>
      </c>
      <c r="W12" t="str">
        <f>Tabla_Consulta_desde_Proyectos10[[#This Row],[PRYcodigo]]&amp;Tabla_Consulta_desde_Proyectos10[[#This Row],[PRYApath]]</f>
        <v>095-202-RDIG/0018</v>
      </c>
      <c r="X12" t="str">
        <f>Tabla_Consulta_desde_Proyectos10[[#This Row],[PRYAcodigo]]&amp;" - "&amp;Tabla_Consulta_desde_Proyectos10[[#This Row],[PRYAdescripcion]]</f>
        <v>500.1 - ACTIVIDADES DEL EQUIPO DE RELEASE MANAGMENT</v>
      </c>
      <c r="Y12" t="str">
        <f>SUBSTITUTE(IFERROR(VLOOKUP(LEFT(Tabla_Consulta_desde_Proyectos10[[#This Row],[Nivel1]],LEN(Tabla_Consulta_desde_Proyectos10[[#This Row],[Nivel1]])-5),Tabla_Consulta_desde_Proyectos10[[#All],[Nivel1]:[Actividad]],2,FALSE),""),"_","-")</f>
        <v/>
      </c>
      <c r="Z12" t="str">
        <f>IFERROR(VLOOKUP(Tabla_Consulta_desde_Proyectos10[[#This Row],[PRYRAfecha]],'Fechas Mes'!G:J,4,TRUE),"")</f>
        <v/>
      </c>
      <c r="AA12" t="e" cm="1">
        <f t="array" ref="AA12">INDEX('Fechas Mes'!F:F,MATCH(Tabla_Consulta_desde_Proyectos10[[#This Row],[Semana]],'Fechas Mes'!J:J,0),)</f>
        <v>#N/A</v>
      </c>
      <c r="AB12">
        <f>YEAR(Tabla_Consulta_desde_Proyectos10[[#This Row],[PRYRAfecha]])</f>
        <v>1900</v>
      </c>
      <c r="AC12" t="e">
        <f>VLOOKUP(Tabla_Consulta_desde_Proyectos10[[#This Row],[PRYRAfecha]],'Fechas Mes'!G:J,4,TRUE)</f>
        <v>#N/A</v>
      </c>
      <c r="AD12" t="str">
        <f>IFERROR(VLOOKUP(Tabla_Consulta_desde_Proyectos10[[#This Row],[PRYcodigo]],Catálogo!A:B,2,FALSE),"Otros")</f>
        <v>Otros</v>
      </c>
      <c r="AE12" t="str">
        <f>IF(LEN(Tabla_Consulta_desde_Proyectos10[[#This Row],[Semana]])&lt;13,"CI",RIGHT(Tabla_Consulta_desde_Proyectos10[[#This Row],[Semana]],4))</f>
        <v>CI</v>
      </c>
    </row>
    <row r="13" spans="1:31" hidden="1">
      <c r="A13" t="s">
        <v>4032</v>
      </c>
      <c r="B13" t="s">
        <v>6752</v>
      </c>
      <c r="C13" t="s">
        <v>6753</v>
      </c>
      <c r="D13" t="s">
        <v>7194</v>
      </c>
      <c r="E13" t="s">
        <v>7195</v>
      </c>
      <c r="F13">
        <v>0</v>
      </c>
      <c r="G13" t="s">
        <v>7211</v>
      </c>
      <c r="L13" s="4"/>
      <c r="O13">
        <v>3000000001824407</v>
      </c>
      <c r="P13" t="s">
        <v>6784</v>
      </c>
      <c r="Q13" t="s">
        <v>7197</v>
      </c>
      <c r="W13" t="str">
        <f>Tabla_Consulta_desde_Proyectos10[[#This Row],[PRYcodigo]]&amp;Tabla_Consulta_desde_Proyectos10[[#This Row],[PRYApath]]</f>
        <v>095-202-RDIG/0018</v>
      </c>
      <c r="X13" t="str">
        <f>Tabla_Consulta_desde_Proyectos10[[#This Row],[PRYAcodigo]]&amp;" - "&amp;Tabla_Consulta_desde_Proyectos10[[#This Row],[PRYAdescripcion]]</f>
        <v>500.1 - ACTIVIDADES DEL EQUIPO DE RELEASE MANAGMENT</v>
      </c>
      <c r="Y13" t="str">
        <f>SUBSTITUTE(IFERROR(VLOOKUP(LEFT(Tabla_Consulta_desde_Proyectos10[[#This Row],[Nivel1]],LEN(Tabla_Consulta_desde_Proyectos10[[#This Row],[Nivel1]])-5),Tabla_Consulta_desde_Proyectos10[[#All],[Nivel1]:[Actividad]],2,FALSE),""),"_","-")</f>
        <v/>
      </c>
      <c r="Z13" t="str">
        <f>IFERROR(VLOOKUP(Tabla_Consulta_desde_Proyectos10[[#This Row],[PRYRAfecha]],'Fechas Mes'!G:J,4,TRUE),"")</f>
        <v/>
      </c>
      <c r="AA13" t="e" cm="1">
        <f t="array" ref="AA13">INDEX('Fechas Mes'!F:F,MATCH(Tabla_Consulta_desde_Proyectos10[[#This Row],[Semana]],'Fechas Mes'!J:J,0),)</f>
        <v>#N/A</v>
      </c>
      <c r="AB13">
        <f>YEAR(Tabla_Consulta_desde_Proyectos10[[#This Row],[PRYRAfecha]])</f>
        <v>1900</v>
      </c>
      <c r="AC13" t="e">
        <f>VLOOKUP(Tabla_Consulta_desde_Proyectos10[[#This Row],[PRYRAfecha]],'Fechas Mes'!G:J,4,TRUE)</f>
        <v>#N/A</v>
      </c>
      <c r="AD13" t="str">
        <f>IFERROR(VLOOKUP(Tabla_Consulta_desde_Proyectos10[[#This Row],[PRYcodigo]],Catálogo!A:B,2,FALSE),"Otros")</f>
        <v>Otros</v>
      </c>
      <c r="AE13" t="str">
        <f>IF(LEN(Tabla_Consulta_desde_Proyectos10[[#This Row],[Semana]])&lt;13,"CI",RIGHT(Tabla_Consulta_desde_Proyectos10[[#This Row],[Semana]],4))</f>
        <v>CI</v>
      </c>
    </row>
    <row r="14" spans="1:31" hidden="1">
      <c r="A14" t="s">
        <v>4032</v>
      </c>
      <c r="B14" t="s">
        <v>6752</v>
      </c>
      <c r="C14" t="s">
        <v>6753</v>
      </c>
      <c r="D14" t="s">
        <v>7194</v>
      </c>
      <c r="E14" t="s">
        <v>7195</v>
      </c>
      <c r="F14">
        <v>0</v>
      </c>
      <c r="G14" t="s">
        <v>7211</v>
      </c>
      <c r="L14" s="4"/>
      <c r="O14">
        <v>3000000001824879</v>
      </c>
      <c r="P14" t="s">
        <v>6782</v>
      </c>
      <c r="Q14" t="s">
        <v>7212</v>
      </c>
      <c r="W14" t="str">
        <f>Tabla_Consulta_desde_Proyectos10[[#This Row],[PRYcodigo]]&amp;Tabla_Consulta_desde_Proyectos10[[#This Row],[PRYApath]]</f>
        <v>095-202-RDIG/0018</v>
      </c>
      <c r="X14" t="str">
        <f>Tabla_Consulta_desde_Proyectos10[[#This Row],[PRYAcodigo]]&amp;" - "&amp;Tabla_Consulta_desde_Proyectos10[[#This Row],[PRYAdescripcion]]</f>
        <v>500.1 - ACTIVIDADES DEL EQUIPO DE RELEASE MANAGMENT</v>
      </c>
      <c r="Y14" t="str">
        <f>SUBSTITUTE(IFERROR(VLOOKUP(LEFT(Tabla_Consulta_desde_Proyectos10[[#This Row],[Nivel1]],LEN(Tabla_Consulta_desde_Proyectos10[[#This Row],[Nivel1]])-5),Tabla_Consulta_desde_Proyectos10[[#All],[Nivel1]:[Actividad]],2,FALSE),""),"_","-")</f>
        <v/>
      </c>
      <c r="Z14" t="str">
        <f>IFERROR(VLOOKUP(Tabla_Consulta_desde_Proyectos10[[#This Row],[PRYRAfecha]],'Fechas Mes'!G:J,4,TRUE),"")</f>
        <v/>
      </c>
      <c r="AA14" t="e" cm="1">
        <f t="array" ref="AA14">INDEX('Fechas Mes'!F:F,MATCH(Tabla_Consulta_desde_Proyectos10[[#This Row],[Semana]],'Fechas Mes'!J:J,0),)</f>
        <v>#N/A</v>
      </c>
      <c r="AB14">
        <f>YEAR(Tabla_Consulta_desde_Proyectos10[[#This Row],[PRYRAfecha]])</f>
        <v>1900</v>
      </c>
      <c r="AC14" t="e">
        <f>VLOOKUP(Tabla_Consulta_desde_Proyectos10[[#This Row],[PRYRAfecha]],'Fechas Mes'!G:J,4,TRUE)</f>
        <v>#N/A</v>
      </c>
      <c r="AD14" t="str">
        <f>IFERROR(VLOOKUP(Tabla_Consulta_desde_Proyectos10[[#This Row],[PRYcodigo]],Catálogo!A:B,2,FALSE),"Otros")</f>
        <v>Otros</v>
      </c>
      <c r="AE14" t="str">
        <f>IF(LEN(Tabla_Consulta_desde_Proyectos10[[#This Row],[Semana]])&lt;13,"CI",RIGHT(Tabla_Consulta_desde_Proyectos10[[#This Row],[Semana]],4))</f>
        <v>CI</v>
      </c>
    </row>
    <row r="15" spans="1:31" hidden="1">
      <c r="A15" t="s">
        <v>4032</v>
      </c>
      <c r="B15" t="s">
        <v>6752</v>
      </c>
      <c r="C15" t="s">
        <v>6753</v>
      </c>
      <c r="D15" t="s">
        <v>7194</v>
      </c>
      <c r="E15" t="s">
        <v>7195</v>
      </c>
      <c r="F15">
        <v>0</v>
      </c>
      <c r="G15" t="s">
        <v>7211</v>
      </c>
      <c r="L15" s="4"/>
      <c r="O15">
        <v>3000000001825701</v>
      </c>
      <c r="P15" t="s">
        <v>6782</v>
      </c>
      <c r="Q15" t="s">
        <v>7210</v>
      </c>
      <c r="W15" t="str">
        <f>Tabla_Consulta_desde_Proyectos10[[#This Row],[PRYcodigo]]&amp;Tabla_Consulta_desde_Proyectos10[[#This Row],[PRYApath]]</f>
        <v>095-202-RDIG/0018</v>
      </c>
      <c r="X15" t="str">
        <f>Tabla_Consulta_desde_Proyectos10[[#This Row],[PRYAcodigo]]&amp;" - "&amp;Tabla_Consulta_desde_Proyectos10[[#This Row],[PRYAdescripcion]]</f>
        <v>500.1 - ACTIVIDADES DEL EQUIPO DE RELEASE MANAGMENT</v>
      </c>
      <c r="Y15" t="str">
        <f>SUBSTITUTE(IFERROR(VLOOKUP(LEFT(Tabla_Consulta_desde_Proyectos10[[#This Row],[Nivel1]],LEN(Tabla_Consulta_desde_Proyectos10[[#This Row],[Nivel1]])-5),Tabla_Consulta_desde_Proyectos10[[#All],[Nivel1]:[Actividad]],2,FALSE),""),"_","-")</f>
        <v/>
      </c>
      <c r="Z15" t="str">
        <f>IFERROR(VLOOKUP(Tabla_Consulta_desde_Proyectos10[[#This Row],[PRYRAfecha]],'Fechas Mes'!G:J,4,TRUE),"")</f>
        <v/>
      </c>
      <c r="AA15" t="e" cm="1">
        <f t="array" ref="AA15">INDEX('Fechas Mes'!F:F,MATCH(Tabla_Consulta_desde_Proyectos10[[#This Row],[Semana]],'Fechas Mes'!J:J,0),)</f>
        <v>#N/A</v>
      </c>
      <c r="AB15">
        <f>YEAR(Tabla_Consulta_desde_Proyectos10[[#This Row],[PRYRAfecha]])</f>
        <v>1900</v>
      </c>
      <c r="AC15" t="e">
        <f>VLOOKUP(Tabla_Consulta_desde_Proyectos10[[#This Row],[PRYRAfecha]],'Fechas Mes'!G:J,4,TRUE)</f>
        <v>#N/A</v>
      </c>
      <c r="AD15" t="str">
        <f>IFERROR(VLOOKUP(Tabla_Consulta_desde_Proyectos10[[#This Row],[PRYcodigo]],Catálogo!A:B,2,FALSE),"Otros")</f>
        <v>Otros</v>
      </c>
      <c r="AE15" t="str">
        <f>IF(LEN(Tabla_Consulta_desde_Proyectos10[[#This Row],[Semana]])&lt;13,"CI",RIGHT(Tabla_Consulta_desde_Proyectos10[[#This Row],[Semana]],4))</f>
        <v>CI</v>
      </c>
    </row>
    <row r="16" spans="1:31" hidden="1">
      <c r="A16" t="s">
        <v>4032</v>
      </c>
      <c r="B16" t="s">
        <v>6752</v>
      </c>
      <c r="C16" t="s">
        <v>6753</v>
      </c>
      <c r="D16" t="s">
        <v>7194</v>
      </c>
      <c r="E16" t="s">
        <v>7195</v>
      </c>
      <c r="F16">
        <v>0</v>
      </c>
      <c r="G16" t="s">
        <v>7211</v>
      </c>
      <c r="L16" s="4"/>
      <c r="O16">
        <v>3000000001825706</v>
      </c>
      <c r="P16" t="s">
        <v>6782</v>
      </c>
      <c r="Q16" t="s">
        <v>7212</v>
      </c>
      <c r="W16" t="str">
        <f>Tabla_Consulta_desde_Proyectos10[[#This Row],[PRYcodigo]]&amp;Tabla_Consulta_desde_Proyectos10[[#This Row],[PRYApath]]</f>
        <v>095-202-RDIG/0018</v>
      </c>
      <c r="X16" t="str">
        <f>Tabla_Consulta_desde_Proyectos10[[#This Row],[PRYAcodigo]]&amp;" - "&amp;Tabla_Consulta_desde_Proyectos10[[#This Row],[PRYAdescripcion]]</f>
        <v>500.1 - ACTIVIDADES DEL EQUIPO DE RELEASE MANAGMENT</v>
      </c>
      <c r="Y16" t="str">
        <f>SUBSTITUTE(IFERROR(VLOOKUP(LEFT(Tabla_Consulta_desde_Proyectos10[[#This Row],[Nivel1]],LEN(Tabla_Consulta_desde_Proyectos10[[#This Row],[Nivel1]])-5),Tabla_Consulta_desde_Proyectos10[[#All],[Nivel1]:[Actividad]],2,FALSE),""),"_","-")</f>
        <v/>
      </c>
      <c r="Z16" t="str">
        <f>IFERROR(VLOOKUP(Tabla_Consulta_desde_Proyectos10[[#This Row],[PRYRAfecha]],'Fechas Mes'!G:J,4,TRUE),"")</f>
        <v/>
      </c>
      <c r="AA16" t="e" cm="1">
        <f t="array" ref="AA16">INDEX('Fechas Mes'!F:F,MATCH(Tabla_Consulta_desde_Proyectos10[[#This Row],[Semana]],'Fechas Mes'!J:J,0),)</f>
        <v>#N/A</v>
      </c>
      <c r="AB16">
        <f>YEAR(Tabla_Consulta_desde_Proyectos10[[#This Row],[PRYRAfecha]])</f>
        <v>1900</v>
      </c>
      <c r="AC16" t="e">
        <f>VLOOKUP(Tabla_Consulta_desde_Proyectos10[[#This Row],[PRYRAfecha]],'Fechas Mes'!G:J,4,TRUE)</f>
        <v>#N/A</v>
      </c>
      <c r="AD16" t="str">
        <f>IFERROR(VLOOKUP(Tabla_Consulta_desde_Proyectos10[[#This Row],[PRYcodigo]],Catálogo!A:B,2,FALSE),"Otros")</f>
        <v>Otros</v>
      </c>
      <c r="AE16" t="str">
        <f>IF(LEN(Tabla_Consulta_desde_Proyectos10[[#This Row],[Semana]])&lt;13,"CI",RIGHT(Tabla_Consulta_desde_Proyectos10[[#This Row],[Semana]],4))</f>
        <v>CI</v>
      </c>
    </row>
    <row r="17" spans="1:31" hidden="1">
      <c r="A17" t="s">
        <v>4032</v>
      </c>
      <c r="B17" t="s">
        <v>6752</v>
      </c>
      <c r="C17" t="s">
        <v>6753</v>
      </c>
      <c r="D17" t="s">
        <v>7194</v>
      </c>
      <c r="E17" t="s">
        <v>7195</v>
      </c>
      <c r="F17">
        <v>0</v>
      </c>
      <c r="G17" t="s">
        <v>7211</v>
      </c>
      <c r="L17" s="4"/>
      <c r="O17">
        <v>3000000001826530</v>
      </c>
      <c r="P17" t="s">
        <v>6784</v>
      </c>
      <c r="Q17" t="s">
        <v>7213</v>
      </c>
      <c r="W17" t="str">
        <f>Tabla_Consulta_desde_Proyectos10[[#This Row],[PRYcodigo]]&amp;Tabla_Consulta_desde_Proyectos10[[#This Row],[PRYApath]]</f>
        <v>095-202-RDIG/0018</v>
      </c>
      <c r="X17" t="str">
        <f>Tabla_Consulta_desde_Proyectos10[[#This Row],[PRYAcodigo]]&amp;" - "&amp;Tabla_Consulta_desde_Proyectos10[[#This Row],[PRYAdescripcion]]</f>
        <v>500.1 - ACTIVIDADES DEL EQUIPO DE RELEASE MANAGMENT</v>
      </c>
      <c r="Y17" t="str">
        <f>SUBSTITUTE(IFERROR(VLOOKUP(LEFT(Tabla_Consulta_desde_Proyectos10[[#This Row],[Nivel1]],LEN(Tabla_Consulta_desde_Proyectos10[[#This Row],[Nivel1]])-5),Tabla_Consulta_desde_Proyectos10[[#All],[Nivel1]:[Actividad]],2,FALSE),""),"_","-")</f>
        <v/>
      </c>
      <c r="Z17" t="str">
        <f>IFERROR(VLOOKUP(Tabla_Consulta_desde_Proyectos10[[#This Row],[PRYRAfecha]],'Fechas Mes'!G:J,4,TRUE),"")</f>
        <v/>
      </c>
      <c r="AA17" t="e" cm="1">
        <f t="array" ref="AA17">INDEX('Fechas Mes'!F:F,MATCH(Tabla_Consulta_desde_Proyectos10[[#This Row],[Semana]],'Fechas Mes'!J:J,0),)</f>
        <v>#N/A</v>
      </c>
      <c r="AB17">
        <f>YEAR(Tabla_Consulta_desde_Proyectos10[[#This Row],[PRYRAfecha]])</f>
        <v>1900</v>
      </c>
      <c r="AC17" t="e">
        <f>VLOOKUP(Tabla_Consulta_desde_Proyectos10[[#This Row],[PRYRAfecha]],'Fechas Mes'!G:J,4,TRUE)</f>
        <v>#N/A</v>
      </c>
      <c r="AD17" t="str">
        <f>IFERROR(VLOOKUP(Tabla_Consulta_desde_Proyectos10[[#This Row],[PRYcodigo]],Catálogo!A:B,2,FALSE),"Otros")</f>
        <v>Otros</v>
      </c>
      <c r="AE17" t="str">
        <f>IF(LEN(Tabla_Consulta_desde_Proyectos10[[#This Row],[Semana]])&lt;13,"CI",RIGHT(Tabla_Consulta_desde_Proyectos10[[#This Row],[Semana]],4))</f>
        <v>CI</v>
      </c>
    </row>
    <row r="18" spans="1:31" hidden="1">
      <c r="A18" t="s">
        <v>4032</v>
      </c>
      <c r="B18" t="s">
        <v>6752</v>
      </c>
      <c r="C18" t="s">
        <v>6753</v>
      </c>
      <c r="D18" t="s">
        <v>7194</v>
      </c>
      <c r="E18" t="s">
        <v>7195</v>
      </c>
      <c r="F18">
        <v>0</v>
      </c>
      <c r="G18" t="s">
        <v>7211</v>
      </c>
      <c r="L18" s="4"/>
      <c r="O18">
        <v>3000000001826559</v>
      </c>
      <c r="P18" t="s">
        <v>6784</v>
      </c>
      <c r="Q18" t="s">
        <v>7213</v>
      </c>
      <c r="W18" t="str">
        <f>Tabla_Consulta_desde_Proyectos10[[#This Row],[PRYcodigo]]&amp;Tabla_Consulta_desde_Proyectos10[[#This Row],[PRYApath]]</f>
        <v>095-202-RDIG/0018</v>
      </c>
      <c r="X18" t="str">
        <f>Tabla_Consulta_desde_Proyectos10[[#This Row],[PRYAcodigo]]&amp;" - "&amp;Tabla_Consulta_desde_Proyectos10[[#This Row],[PRYAdescripcion]]</f>
        <v>500.1 - ACTIVIDADES DEL EQUIPO DE RELEASE MANAGMENT</v>
      </c>
      <c r="Y18" t="str">
        <f>SUBSTITUTE(IFERROR(VLOOKUP(LEFT(Tabla_Consulta_desde_Proyectos10[[#This Row],[Nivel1]],LEN(Tabla_Consulta_desde_Proyectos10[[#This Row],[Nivel1]])-5),Tabla_Consulta_desde_Proyectos10[[#All],[Nivel1]:[Actividad]],2,FALSE),""),"_","-")</f>
        <v/>
      </c>
      <c r="Z18" t="str">
        <f>IFERROR(VLOOKUP(Tabla_Consulta_desde_Proyectos10[[#This Row],[PRYRAfecha]],'Fechas Mes'!G:J,4,TRUE),"")</f>
        <v/>
      </c>
      <c r="AA18" t="e" cm="1">
        <f t="array" ref="AA18">INDEX('Fechas Mes'!F:F,MATCH(Tabla_Consulta_desde_Proyectos10[[#This Row],[Semana]],'Fechas Mes'!J:J,0),)</f>
        <v>#N/A</v>
      </c>
      <c r="AB18">
        <f>YEAR(Tabla_Consulta_desde_Proyectos10[[#This Row],[PRYRAfecha]])</f>
        <v>1900</v>
      </c>
      <c r="AC18" t="e">
        <f>VLOOKUP(Tabla_Consulta_desde_Proyectos10[[#This Row],[PRYRAfecha]],'Fechas Mes'!G:J,4,TRUE)</f>
        <v>#N/A</v>
      </c>
      <c r="AD18" t="str">
        <f>IFERROR(VLOOKUP(Tabla_Consulta_desde_Proyectos10[[#This Row],[PRYcodigo]],Catálogo!A:B,2,FALSE),"Otros")</f>
        <v>Otros</v>
      </c>
      <c r="AE18" t="str">
        <f>IF(LEN(Tabla_Consulta_desde_Proyectos10[[#This Row],[Semana]])&lt;13,"CI",RIGHT(Tabla_Consulta_desde_Proyectos10[[#This Row],[Semana]],4))</f>
        <v>CI</v>
      </c>
    </row>
    <row r="19" spans="1:31" hidden="1">
      <c r="A19" t="s">
        <v>4032</v>
      </c>
      <c r="B19" t="s">
        <v>6752</v>
      </c>
      <c r="C19" t="s">
        <v>6753</v>
      </c>
      <c r="D19" t="s">
        <v>7194</v>
      </c>
      <c r="E19" t="s">
        <v>7195</v>
      </c>
      <c r="F19">
        <v>0</v>
      </c>
      <c r="G19" t="s">
        <v>7211</v>
      </c>
      <c r="L19" s="4"/>
      <c r="O19">
        <v>3000000001826610</v>
      </c>
      <c r="P19" t="s">
        <v>6784</v>
      </c>
      <c r="Q19" t="s">
        <v>7213</v>
      </c>
      <c r="W19" t="str">
        <f>Tabla_Consulta_desde_Proyectos10[[#This Row],[PRYcodigo]]&amp;Tabla_Consulta_desde_Proyectos10[[#This Row],[PRYApath]]</f>
        <v>095-202-RDIG/0018</v>
      </c>
      <c r="X19" t="str">
        <f>Tabla_Consulta_desde_Proyectos10[[#This Row],[PRYAcodigo]]&amp;" - "&amp;Tabla_Consulta_desde_Proyectos10[[#This Row],[PRYAdescripcion]]</f>
        <v>500.1 - ACTIVIDADES DEL EQUIPO DE RELEASE MANAGMENT</v>
      </c>
      <c r="Y19" t="str">
        <f>SUBSTITUTE(IFERROR(VLOOKUP(LEFT(Tabla_Consulta_desde_Proyectos10[[#This Row],[Nivel1]],LEN(Tabla_Consulta_desde_Proyectos10[[#This Row],[Nivel1]])-5),Tabla_Consulta_desde_Proyectos10[[#All],[Nivel1]:[Actividad]],2,FALSE),""),"_","-")</f>
        <v/>
      </c>
      <c r="Z19" t="str">
        <f>IFERROR(VLOOKUP(Tabla_Consulta_desde_Proyectos10[[#This Row],[PRYRAfecha]],'Fechas Mes'!G:J,4,TRUE),"")</f>
        <v/>
      </c>
      <c r="AA19" t="e" cm="1">
        <f t="array" ref="AA19">INDEX('Fechas Mes'!F:F,MATCH(Tabla_Consulta_desde_Proyectos10[[#This Row],[Semana]],'Fechas Mes'!J:J,0),)</f>
        <v>#N/A</v>
      </c>
      <c r="AB19">
        <f>YEAR(Tabla_Consulta_desde_Proyectos10[[#This Row],[PRYRAfecha]])</f>
        <v>1900</v>
      </c>
      <c r="AC19" t="e">
        <f>VLOOKUP(Tabla_Consulta_desde_Proyectos10[[#This Row],[PRYRAfecha]],'Fechas Mes'!G:J,4,TRUE)</f>
        <v>#N/A</v>
      </c>
      <c r="AD19" t="str">
        <f>IFERROR(VLOOKUP(Tabla_Consulta_desde_Proyectos10[[#This Row],[PRYcodigo]],Catálogo!A:B,2,FALSE),"Otros")</f>
        <v>Otros</v>
      </c>
      <c r="AE19" t="str">
        <f>IF(LEN(Tabla_Consulta_desde_Proyectos10[[#This Row],[Semana]])&lt;13,"CI",RIGHT(Tabla_Consulta_desde_Proyectos10[[#This Row],[Semana]],4))</f>
        <v>CI</v>
      </c>
    </row>
    <row r="20" spans="1:31" hidden="1">
      <c r="A20" t="s">
        <v>4032</v>
      </c>
      <c r="B20" t="s">
        <v>6752</v>
      </c>
      <c r="C20" t="s">
        <v>6753</v>
      </c>
      <c r="D20" t="s">
        <v>7194</v>
      </c>
      <c r="E20" t="s">
        <v>7195</v>
      </c>
      <c r="F20">
        <v>0</v>
      </c>
      <c r="G20" t="s">
        <v>7211</v>
      </c>
      <c r="L20" s="4"/>
      <c r="O20">
        <v>3000000001826961</v>
      </c>
      <c r="P20" t="s">
        <v>6790</v>
      </c>
      <c r="Q20" t="s">
        <v>7545</v>
      </c>
      <c r="W20" t="str">
        <f>Tabla_Consulta_desde_Proyectos10[[#This Row],[PRYcodigo]]&amp;Tabla_Consulta_desde_Proyectos10[[#This Row],[PRYApath]]</f>
        <v>095-202-RDIG/0018</v>
      </c>
      <c r="X20" t="str">
        <f>Tabla_Consulta_desde_Proyectos10[[#This Row],[PRYAcodigo]]&amp;" - "&amp;Tabla_Consulta_desde_Proyectos10[[#This Row],[PRYAdescripcion]]</f>
        <v>500.1 - ACTIVIDADES DEL EQUIPO DE RELEASE MANAGMENT</v>
      </c>
      <c r="Y20" t="str">
        <f>SUBSTITUTE(IFERROR(VLOOKUP(LEFT(Tabla_Consulta_desde_Proyectos10[[#This Row],[Nivel1]],LEN(Tabla_Consulta_desde_Proyectos10[[#This Row],[Nivel1]])-5),Tabla_Consulta_desde_Proyectos10[[#All],[Nivel1]:[Actividad]],2,FALSE),""),"_","-")</f>
        <v/>
      </c>
      <c r="Z20" t="str">
        <f>IFERROR(VLOOKUP(Tabla_Consulta_desde_Proyectos10[[#This Row],[PRYRAfecha]],'Fechas Mes'!G:J,4,TRUE),"")</f>
        <v/>
      </c>
      <c r="AA20" t="e" cm="1">
        <f t="array" ref="AA20">INDEX('Fechas Mes'!F:F,MATCH(Tabla_Consulta_desde_Proyectos10[[#This Row],[Semana]],'Fechas Mes'!J:J,0),)</f>
        <v>#N/A</v>
      </c>
      <c r="AB20">
        <f>YEAR(Tabla_Consulta_desde_Proyectos10[[#This Row],[PRYRAfecha]])</f>
        <v>1900</v>
      </c>
      <c r="AC20" t="e">
        <f>VLOOKUP(Tabla_Consulta_desde_Proyectos10[[#This Row],[PRYRAfecha]],'Fechas Mes'!G:J,4,TRUE)</f>
        <v>#N/A</v>
      </c>
      <c r="AD20" t="str">
        <f>IFERROR(VLOOKUP(Tabla_Consulta_desde_Proyectos10[[#This Row],[PRYcodigo]],Catálogo!A:B,2,FALSE),"Otros")</f>
        <v>Otros</v>
      </c>
      <c r="AE20" t="str">
        <f>IF(LEN(Tabla_Consulta_desde_Proyectos10[[#This Row],[Semana]])&lt;13,"CI",RIGHT(Tabla_Consulta_desde_Proyectos10[[#This Row],[Semana]],4))</f>
        <v>CI</v>
      </c>
    </row>
    <row r="21" spans="1:31" hidden="1">
      <c r="A21" t="s">
        <v>4032</v>
      </c>
      <c r="B21" t="s">
        <v>6752</v>
      </c>
      <c r="C21" t="s">
        <v>6753</v>
      </c>
      <c r="D21" t="s">
        <v>7194</v>
      </c>
      <c r="E21" t="s">
        <v>7195</v>
      </c>
      <c r="F21">
        <v>0</v>
      </c>
      <c r="G21" t="s">
        <v>7211</v>
      </c>
      <c r="L21" s="4"/>
      <c r="O21">
        <v>3000000001827239</v>
      </c>
      <c r="P21" t="s">
        <v>6782</v>
      </c>
      <c r="Q21" t="s">
        <v>7212</v>
      </c>
      <c r="W21" t="str">
        <f>Tabla_Consulta_desde_Proyectos10[[#This Row],[PRYcodigo]]&amp;Tabla_Consulta_desde_Proyectos10[[#This Row],[PRYApath]]</f>
        <v>095-202-RDIG/0018</v>
      </c>
      <c r="X21" t="str">
        <f>Tabla_Consulta_desde_Proyectos10[[#This Row],[PRYAcodigo]]&amp;" - "&amp;Tabla_Consulta_desde_Proyectos10[[#This Row],[PRYAdescripcion]]</f>
        <v>500.1 - ACTIVIDADES DEL EQUIPO DE RELEASE MANAGMENT</v>
      </c>
      <c r="Y21" t="str">
        <f>SUBSTITUTE(IFERROR(VLOOKUP(LEFT(Tabla_Consulta_desde_Proyectos10[[#This Row],[Nivel1]],LEN(Tabla_Consulta_desde_Proyectos10[[#This Row],[Nivel1]])-5),Tabla_Consulta_desde_Proyectos10[[#All],[Nivel1]:[Actividad]],2,FALSE),""),"_","-")</f>
        <v/>
      </c>
      <c r="Z21" t="str">
        <f>IFERROR(VLOOKUP(Tabla_Consulta_desde_Proyectos10[[#This Row],[PRYRAfecha]],'Fechas Mes'!G:J,4,TRUE),"")</f>
        <v/>
      </c>
      <c r="AA21" t="e" cm="1">
        <f t="array" ref="AA21">INDEX('Fechas Mes'!F:F,MATCH(Tabla_Consulta_desde_Proyectos10[[#This Row],[Semana]],'Fechas Mes'!J:J,0),)</f>
        <v>#N/A</v>
      </c>
      <c r="AB21">
        <f>YEAR(Tabla_Consulta_desde_Proyectos10[[#This Row],[PRYRAfecha]])</f>
        <v>1900</v>
      </c>
      <c r="AC21" t="e">
        <f>VLOOKUP(Tabla_Consulta_desde_Proyectos10[[#This Row],[PRYRAfecha]],'Fechas Mes'!G:J,4,TRUE)</f>
        <v>#N/A</v>
      </c>
      <c r="AD21" t="str">
        <f>IFERROR(VLOOKUP(Tabla_Consulta_desde_Proyectos10[[#This Row],[PRYcodigo]],Catálogo!A:B,2,FALSE),"Otros")</f>
        <v>Otros</v>
      </c>
      <c r="AE21" t="str">
        <f>IF(LEN(Tabla_Consulta_desde_Proyectos10[[#This Row],[Semana]])&lt;13,"CI",RIGHT(Tabla_Consulta_desde_Proyectos10[[#This Row],[Semana]],4))</f>
        <v>CI</v>
      </c>
    </row>
    <row r="22" spans="1:31" hidden="1">
      <c r="A22" t="s">
        <v>4032</v>
      </c>
      <c r="B22" t="s">
        <v>6752</v>
      </c>
      <c r="C22" t="s">
        <v>6753</v>
      </c>
      <c r="D22" t="s">
        <v>7194</v>
      </c>
      <c r="E22" t="s">
        <v>7195</v>
      </c>
      <c r="F22">
        <v>0</v>
      </c>
      <c r="G22" t="s">
        <v>7211</v>
      </c>
      <c r="L22" s="4"/>
      <c r="O22">
        <v>3000000001827318</v>
      </c>
      <c r="P22" t="s">
        <v>6786</v>
      </c>
      <c r="Q22" t="s">
        <v>7589</v>
      </c>
      <c r="W22" t="str">
        <f>Tabla_Consulta_desde_Proyectos10[[#This Row],[PRYcodigo]]&amp;Tabla_Consulta_desde_Proyectos10[[#This Row],[PRYApath]]</f>
        <v>095-202-RDIG/0018</v>
      </c>
      <c r="X22" t="str">
        <f>Tabla_Consulta_desde_Proyectos10[[#This Row],[PRYAcodigo]]&amp;" - "&amp;Tabla_Consulta_desde_Proyectos10[[#This Row],[PRYAdescripcion]]</f>
        <v>500.1 - ACTIVIDADES DEL EQUIPO DE RELEASE MANAGMENT</v>
      </c>
      <c r="Y22" t="str">
        <f>SUBSTITUTE(IFERROR(VLOOKUP(LEFT(Tabla_Consulta_desde_Proyectos10[[#This Row],[Nivel1]],LEN(Tabla_Consulta_desde_Proyectos10[[#This Row],[Nivel1]])-5),Tabla_Consulta_desde_Proyectos10[[#All],[Nivel1]:[Actividad]],2,FALSE),""),"_","-")</f>
        <v/>
      </c>
      <c r="Z22" t="str">
        <f>IFERROR(VLOOKUP(Tabla_Consulta_desde_Proyectos10[[#This Row],[PRYRAfecha]],'Fechas Mes'!G:J,4,TRUE),"")</f>
        <v/>
      </c>
      <c r="AA22" t="e" cm="1">
        <f t="array" ref="AA22">INDEX('Fechas Mes'!F:F,MATCH(Tabla_Consulta_desde_Proyectos10[[#This Row],[Semana]],'Fechas Mes'!J:J,0),)</f>
        <v>#N/A</v>
      </c>
      <c r="AB22">
        <f>YEAR(Tabla_Consulta_desde_Proyectos10[[#This Row],[PRYRAfecha]])</f>
        <v>1900</v>
      </c>
      <c r="AC22" t="e">
        <f>VLOOKUP(Tabla_Consulta_desde_Proyectos10[[#This Row],[PRYRAfecha]],'Fechas Mes'!G:J,4,TRUE)</f>
        <v>#N/A</v>
      </c>
      <c r="AD22" t="str">
        <f>IFERROR(VLOOKUP(Tabla_Consulta_desde_Proyectos10[[#This Row],[PRYcodigo]],Catálogo!A:B,2,FALSE),"Otros")</f>
        <v>Otros</v>
      </c>
      <c r="AE22" t="str">
        <f>IF(LEN(Tabla_Consulta_desde_Proyectos10[[#This Row],[Semana]])&lt;13,"CI",RIGHT(Tabla_Consulta_desde_Proyectos10[[#This Row],[Semana]],4))</f>
        <v>CI</v>
      </c>
    </row>
    <row r="23" spans="1:31" hidden="1">
      <c r="A23" t="s">
        <v>4032</v>
      </c>
      <c r="B23" t="s">
        <v>6752</v>
      </c>
      <c r="C23" t="s">
        <v>6753</v>
      </c>
      <c r="D23" t="s">
        <v>7194</v>
      </c>
      <c r="E23" t="s">
        <v>7195</v>
      </c>
      <c r="F23">
        <v>0</v>
      </c>
      <c r="G23" t="s">
        <v>7211</v>
      </c>
      <c r="L23" s="4"/>
      <c r="O23">
        <v>3000000001827416</v>
      </c>
      <c r="P23" t="s">
        <v>6782</v>
      </c>
      <c r="Q23" t="s">
        <v>7212</v>
      </c>
      <c r="W23" t="str">
        <f>Tabla_Consulta_desde_Proyectos10[[#This Row],[PRYcodigo]]&amp;Tabla_Consulta_desde_Proyectos10[[#This Row],[PRYApath]]</f>
        <v>095-202-RDIG/0018</v>
      </c>
      <c r="X23" t="str">
        <f>Tabla_Consulta_desde_Proyectos10[[#This Row],[PRYAcodigo]]&amp;" - "&amp;Tabla_Consulta_desde_Proyectos10[[#This Row],[PRYAdescripcion]]</f>
        <v>500.1 - ACTIVIDADES DEL EQUIPO DE RELEASE MANAGMENT</v>
      </c>
      <c r="Y23" t="str">
        <f>SUBSTITUTE(IFERROR(VLOOKUP(LEFT(Tabla_Consulta_desde_Proyectos10[[#This Row],[Nivel1]],LEN(Tabla_Consulta_desde_Proyectos10[[#This Row],[Nivel1]])-5),Tabla_Consulta_desde_Proyectos10[[#All],[Nivel1]:[Actividad]],2,FALSE),""),"_","-")</f>
        <v/>
      </c>
      <c r="Z23" t="str">
        <f>IFERROR(VLOOKUP(Tabla_Consulta_desde_Proyectos10[[#This Row],[PRYRAfecha]],'Fechas Mes'!G:J,4,TRUE),"")</f>
        <v/>
      </c>
      <c r="AA23" t="e" cm="1">
        <f t="array" ref="AA23">INDEX('Fechas Mes'!F:F,MATCH(Tabla_Consulta_desde_Proyectos10[[#This Row],[Semana]],'Fechas Mes'!J:J,0),)</f>
        <v>#N/A</v>
      </c>
      <c r="AB23">
        <f>YEAR(Tabla_Consulta_desde_Proyectos10[[#This Row],[PRYRAfecha]])</f>
        <v>1900</v>
      </c>
      <c r="AC23" t="e">
        <f>VLOOKUP(Tabla_Consulta_desde_Proyectos10[[#This Row],[PRYRAfecha]],'Fechas Mes'!G:J,4,TRUE)</f>
        <v>#N/A</v>
      </c>
      <c r="AD23" t="str">
        <f>IFERROR(VLOOKUP(Tabla_Consulta_desde_Proyectos10[[#This Row],[PRYcodigo]],Catálogo!A:B,2,FALSE),"Otros")</f>
        <v>Otros</v>
      </c>
      <c r="AE23" t="str">
        <f>IF(LEN(Tabla_Consulta_desde_Proyectos10[[#This Row],[Semana]])&lt;13,"CI",RIGHT(Tabla_Consulta_desde_Proyectos10[[#This Row],[Semana]],4))</f>
        <v>CI</v>
      </c>
    </row>
    <row r="24" spans="1:31" hidden="1">
      <c r="A24" t="s">
        <v>4032</v>
      </c>
      <c r="B24" t="s">
        <v>6752</v>
      </c>
      <c r="C24" t="s">
        <v>6753</v>
      </c>
      <c r="D24" t="s">
        <v>7194</v>
      </c>
      <c r="E24" t="s">
        <v>7195</v>
      </c>
      <c r="F24">
        <v>0</v>
      </c>
      <c r="G24" t="s">
        <v>7211</v>
      </c>
      <c r="L24" s="4"/>
      <c r="O24">
        <v>3000000001827773</v>
      </c>
      <c r="P24" t="s">
        <v>6796</v>
      </c>
      <c r="Q24" t="s">
        <v>7215</v>
      </c>
      <c r="W24" t="str">
        <f>Tabla_Consulta_desde_Proyectos10[[#This Row],[PRYcodigo]]&amp;Tabla_Consulta_desde_Proyectos10[[#This Row],[PRYApath]]</f>
        <v>095-202-RDIG/0018</v>
      </c>
      <c r="X24" t="str">
        <f>Tabla_Consulta_desde_Proyectos10[[#This Row],[PRYAcodigo]]&amp;" - "&amp;Tabla_Consulta_desde_Proyectos10[[#This Row],[PRYAdescripcion]]</f>
        <v>500.1 - ACTIVIDADES DEL EQUIPO DE RELEASE MANAGMENT</v>
      </c>
      <c r="Y24" t="str">
        <f>SUBSTITUTE(IFERROR(VLOOKUP(LEFT(Tabla_Consulta_desde_Proyectos10[[#This Row],[Nivel1]],LEN(Tabla_Consulta_desde_Proyectos10[[#This Row],[Nivel1]])-5),Tabla_Consulta_desde_Proyectos10[[#All],[Nivel1]:[Actividad]],2,FALSE),""),"_","-")</f>
        <v/>
      </c>
      <c r="Z24" t="str">
        <f>IFERROR(VLOOKUP(Tabla_Consulta_desde_Proyectos10[[#This Row],[PRYRAfecha]],'Fechas Mes'!G:J,4,TRUE),"")</f>
        <v/>
      </c>
      <c r="AA24" t="e" cm="1">
        <f t="array" ref="AA24">INDEX('Fechas Mes'!F:F,MATCH(Tabla_Consulta_desde_Proyectos10[[#This Row],[Semana]],'Fechas Mes'!J:J,0),)</f>
        <v>#N/A</v>
      </c>
      <c r="AB24">
        <f>YEAR(Tabla_Consulta_desde_Proyectos10[[#This Row],[PRYRAfecha]])</f>
        <v>1900</v>
      </c>
      <c r="AC24" t="e">
        <f>VLOOKUP(Tabla_Consulta_desde_Proyectos10[[#This Row],[PRYRAfecha]],'Fechas Mes'!G:J,4,TRUE)</f>
        <v>#N/A</v>
      </c>
      <c r="AD24" t="str">
        <f>IFERROR(VLOOKUP(Tabla_Consulta_desde_Proyectos10[[#This Row],[PRYcodigo]],Catálogo!A:B,2,FALSE),"Otros")</f>
        <v>Otros</v>
      </c>
      <c r="AE24" t="str">
        <f>IF(LEN(Tabla_Consulta_desde_Proyectos10[[#This Row],[Semana]])&lt;13,"CI",RIGHT(Tabla_Consulta_desde_Proyectos10[[#This Row],[Semana]],4))</f>
        <v>CI</v>
      </c>
    </row>
    <row r="25" spans="1:31" hidden="1">
      <c r="A25" t="s">
        <v>4032</v>
      </c>
      <c r="B25" t="s">
        <v>6752</v>
      </c>
      <c r="C25" t="s">
        <v>6753</v>
      </c>
      <c r="D25" t="s">
        <v>7194</v>
      </c>
      <c r="E25" t="s">
        <v>7195</v>
      </c>
      <c r="F25">
        <v>0</v>
      </c>
      <c r="G25" t="s">
        <v>7211</v>
      </c>
      <c r="L25" s="4"/>
      <c r="O25">
        <v>3000000001828032</v>
      </c>
      <c r="P25" t="s">
        <v>6782</v>
      </c>
      <c r="Q25" t="s">
        <v>7212</v>
      </c>
      <c r="W25" t="str">
        <f>Tabla_Consulta_desde_Proyectos10[[#This Row],[PRYcodigo]]&amp;Tabla_Consulta_desde_Proyectos10[[#This Row],[PRYApath]]</f>
        <v>095-202-RDIG/0018</v>
      </c>
      <c r="X25" t="str">
        <f>Tabla_Consulta_desde_Proyectos10[[#This Row],[PRYAcodigo]]&amp;" - "&amp;Tabla_Consulta_desde_Proyectos10[[#This Row],[PRYAdescripcion]]</f>
        <v>500.1 - ACTIVIDADES DEL EQUIPO DE RELEASE MANAGMENT</v>
      </c>
      <c r="Y25" t="str">
        <f>SUBSTITUTE(IFERROR(VLOOKUP(LEFT(Tabla_Consulta_desde_Proyectos10[[#This Row],[Nivel1]],LEN(Tabla_Consulta_desde_Proyectos10[[#This Row],[Nivel1]])-5),Tabla_Consulta_desde_Proyectos10[[#All],[Nivel1]:[Actividad]],2,FALSE),""),"_","-")</f>
        <v/>
      </c>
      <c r="Z25" t="str">
        <f>IFERROR(VLOOKUP(Tabla_Consulta_desde_Proyectos10[[#This Row],[PRYRAfecha]],'Fechas Mes'!G:J,4,TRUE),"")</f>
        <v/>
      </c>
      <c r="AA25" t="e" cm="1">
        <f t="array" ref="AA25">INDEX('Fechas Mes'!F:F,MATCH(Tabla_Consulta_desde_Proyectos10[[#This Row],[Semana]],'Fechas Mes'!J:J,0),)</f>
        <v>#N/A</v>
      </c>
      <c r="AB25">
        <f>YEAR(Tabla_Consulta_desde_Proyectos10[[#This Row],[PRYRAfecha]])</f>
        <v>1900</v>
      </c>
      <c r="AC25" t="e">
        <f>VLOOKUP(Tabla_Consulta_desde_Proyectos10[[#This Row],[PRYRAfecha]],'Fechas Mes'!G:J,4,TRUE)</f>
        <v>#N/A</v>
      </c>
      <c r="AD25" t="str">
        <f>IFERROR(VLOOKUP(Tabla_Consulta_desde_Proyectos10[[#This Row],[PRYcodigo]],Catálogo!A:B,2,FALSE),"Otros")</f>
        <v>Otros</v>
      </c>
      <c r="AE25" t="str">
        <f>IF(LEN(Tabla_Consulta_desde_Proyectos10[[#This Row],[Semana]])&lt;13,"CI",RIGHT(Tabla_Consulta_desde_Proyectos10[[#This Row],[Semana]],4))</f>
        <v>CI</v>
      </c>
    </row>
    <row r="26" spans="1:31" hidden="1">
      <c r="A26" t="s">
        <v>4032</v>
      </c>
      <c r="B26" t="s">
        <v>6752</v>
      </c>
      <c r="C26" t="s">
        <v>6753</v>
      </c>
      <c r="D26" t="s">
        <v>7194</v>
      </c>
      <c r="E26" t="s">
        <v>7195</v>
      </c>
      <c r="F26">
        <v>0</v>
      </c>
      <c r="G26" t="s">
        <v>7211</v>
      </c>
      <c r="L26" s="4"/>
      <c r="O26">
        <v>3000000001828502</v>
      </c>
      <c r="P26" t="s">
        <v>6782</v>
      </c>
      <c r="Q26" t="s">
        <v>7212</v>
      </c>
      <c r="W26" t="str">
        <f>Tabla_Consulta_desde_Proyectos10[[#This Row],[PRYcodigo]]&amp;Tabla_Consulta_desde_Proyectos10[[#This Row],[PRYApath]]</f>
        <v>095-202-RDIG/0018</v>
      </c>
      <c r="X26" t="str">
        <f>Tabla_Consulta_desde_Proyectos10[[#This Row],[PRYAcodigo]]&amp;" - "&amp;Tabla_Consulta_desde_Proyectos10[[#This Row],[PRYAdescripcion]]</f>
        <v>500.1 - ACTIVIDADES DEL EQUIPO DE RELEASE MANAGMENT</v>
      </c>
      <c r="Y26" t="str">
        <f>SUBSTITUTE(IFERROR(VLOOKUP(LEFT(Tabla_Consulta_desde_Proyectos10[[#This Row],[Nivel1]],LEN(Tabla_Consulta_desde_Proyectos10[[#This Row],[Nivel1]])-5),Tabla_Consulta_desde_Proyectos10[[#All],[Nivel1]:[Actividad]],2,FALSE),""),"_","-")</f>
        <v/>
      </c>
      <c r="Z26" t="str">
        <f>IFERROR(VLOOKUP(Tabla_Consulta_desde_Proyectos10[[#This Row],[PRYRAfecha]],'Fechas Mes'!G:J,4,TRUE),"")</f>
        <v/>
      </c>
      <c r="AA26" t="e" cm="1">
        <f t="array" ref="AA26">INDEX('Fechas Mes'!F:F,MATCH(Tabla_Consulta_desde_Proyectos10[[#This Row],[Semana]],'Fechas Mes'!J:J,0),)</f>
        <v>#N/A</v>
      </c>
      <c r="AB26">
        <f>YEAR(Tabla_Consulta_desde_Proyectos10[[#This Row],[PRYRAfecha]])</f>
        <v>1900</v>
      </c>
      <c r="AC26" t="e">
        <f>VLOOKUP(Tabla_Consulta_desde_Proyectos10[[#This Row],[PRYRAfecha]],'Fechas Mes'!G:J,4,TRUE)</f>
        <v>#N/A</v>
      </c>
      <c r="AD26" t="str">
        <f>IFERROR(VLOOKUP(Tabla_Consulta_desde_Proyectos10[[#This Row],[PRYcodigo]],Catálogo!A:B,2,FALSE),"Otros")</f>
        <v>Otros</v>
      </c>
      <c r="AE26" t="str">
        <f>IF(LEN(Tabla_Consulta_desde_Proyectos10[[#This Row],[Semana]])&lt;13,"CI",RIGHT(Tabla_Consulta_desde_Proyectos10[[#This Row],[Semana]],4))</f>
        <v>CI</v>
      </c>
    </row>
    <row r="27" spans="1:31" hidden="1">
      <c r="A27" t="s">
        <v>4032</v>
      </c>
      <c r="B27" t="s">
        <v>6752</v>
      </c>
      <c r="C27" t="s">
        <v>6753</v>
      </c>
      <c r="D27" t="s">
        <v>7194</v>
      </c>
      <c r="E27" t="s">
        <v>7195</v>
      </c>
      <c r="F27">
        <v>0</v>
      </c>
      <c r="G27" t="s">
        <v>7211</v>
      </c>
      <c r="L27" s="4"/>
      <c r="O27">
        <v>3000000001828679</v>
      </c>
      <c r="P27" t="s">
        <v>6784</v>
      </c>
      <c r="Q27" t="s">
        <v>7222</v>
      </c>
      <c r="W27" t="str">
        <f>Tabla_Consulta_desde_Proyectos10[[#This Row],[PRYcodigo]]&amp;Tabla_Consulta_desde_Proyectos10[[#This Row],[PRYApath]]</f>
        <v>095-202-RDIG/0018</v>
      </c>
      <c r="X27" t="str">
        <f>Tabla_Consulta_desde_Proyectos10[[#This Row],[PRYAcodigo]]&amp;" - "&amp;Tabla_Consulta_desde_Proyectos10[[#This Row],[PRYAdescripcion]]</f>
        <v>500.1 - ACTIVIDADES DEL EQUIPO DE RELEASE MANAGMENT</v>
      </c>
      <c r="Y27" t="str">
        <f>SUBSTITUTE(IFERROR(VLOOKUP(LEFT(Tabla_Consulta_desde_Proyectos10[[#This Row],[Nivel1]],LEN(Tabla_Consulta_desde_Proyectos10[[#This Row],[Nivel1]])-5),Tabla_Consulta_desde_Proyectos10[[#All],[Nivel1]:[Actividad]],2,FALSE),""),"_","-")</f>
        <v/>
      </c>
      <c r="Z27" t="str">
        <f>IFERROR(VLOOKUP(Tabla_Consulta_desde_Proyectos10[[#This Row],[PRYRAfecha]],'Fechas Mes'!G:J,4,TRUE),"")</f>
        <v/>
      </c>
      <c r="AA27" t="e" cm="1">
        <f t="array" ref="AA27">INDEX('Fechas Mes'!F:F,MATCH(Tabla_Consulta_desde_Proyectos10[[#This Row],[Semana]],'Fechas Mes'!J:J,0),)</f>
        <v>#N/A</v>
      </c>
      <c r="AB27">
        <f>YEAR(Tabla_Consulta_desde_Proyectos10[[#This Row],[PRYRAfecha]])</f>
        <v>1900</v>
      </c>
      <c r="AC27" t="e">
        <f>VLOOKUP(Tabla_Consulta_desde_Proyectos10[[#This Row],[PRYRAfecha]],'Fechas Mes'!G:J,4,TRUE)</f>
        <v>#N/A</v>
      </c>
      <c r="AD27" t="str">
        <f>IFERROR(VLOOKUP(Tabla_Consulta_desde_Proyectos10[[#This Row],[PRYcodigo]],Catálogo!A:B,2,FALSE),"Otros")</f>
        <v>Otros</v>
      </c>
      <c r="AE27" t="str">
        <f>IF(LEN(Tabla_Consulta_desde_Proyectos10[[#This Row],[Semana]])&lt;13,"CI",RIGHT(Tabla_Consulta_desde_Proyectos10[[#This Row],[Semana]],4))</f>
        <v>CI</v>
      </c>
    </row>
    <row r="28" spans="1:31" hidden="1">
      <c r="A28" t="s">
        <v>4032</v>
      </c>
      <c r="B28" t="s">
        <v>6752</v>
      </c>
      <c r="C28" t="s">
        <v>6753</v>
      </c>
      <c r="D28" t="s">
        <v>7194</v>
      </c>
      <c r="E28" t="s">
        <v>7195</v>
      </c>
      <c r="F28">
        <v>0</v>
      </c>
      <c r="G28" t="s">
        <v>7211</v>
      </c>
      <c r="L28" s="4"/>
      <c r="O28">
        <v>3000000001828710</v>
      </c>
      <c r="P28" t="s">
        <v>6784</v>
      </c>
      <c r="Q28" t="s">
        <v>7222</v>
      </c>
      <c r="W28" t="str">
        <f>Tabla_Consulta_desde_Proyectos10[[#This Row],[PRYcodigo]]&amp;Tabla_Consulta_desde_Proyectos10[[#This Row],[PRYApath]]</f>
        <v>095-202-RDIG/0018</v>
      </c>
      <c r="X28" t="str">
        <f>Tabla_Consulta_desde_Proyectos10[[#This Row],[PRYAcodigo]]&amp;" - "&amp;Tabla_Consulta_desde_Proyectos10[[#This Row],[PRYAdescripcion]]</f>
        <v>500.1 - ACTIVIDADES DEL EQUIPO DE RELEASE MANAGMENT</v>
      </c>
      <c r="Y28" t="str">
        <f>SUBSTITUTE(IFERROR(VLOOKUP(LEFT(Tabla_Consulta_desde_Proyectos10[[#This Row],[Nivel1]],LEN(Tabla_Consulta_desde_Proyectos10[[#This Row],[Nivel1]])-5),Tabla_Consulta_desde_Proyectos10[[#All],[Nivel1]:[Actividad]],2,FALSE),""),"_","-")</f>
        <v/>
      </c>
      <c r="Z28" t="str">
        <f>IFERROR(VLOOKUP(Tabla_Consulta_desde_Proyectos10[[#This Row],[PRYRAfecha]],'Fechas Mes'!G:J,4,TRUE),"")</f>
        <v/>
      </c>
      <c r="AA28" t="e" cm="1">
        <f t="array" ref="AA28">INDEX('Fechas Mes'!F:F,MATCH(Tabla_Consulta_desde_Proyectos10[[#This Row],[Semana]],'Fechas Mes'!J:J,0),)</f>
        <v>#N/A</v>
      </c>
      <c r="AB28">
        <f>YEAR(Tabla_Consulta_desde_Proyectos10[[#This Row],[PRYRAfecha]])</f>
        <v>1900</v>
      </c>
      <c r="AC28" t="e">
        <f>VLOOKUP(Tabla_Consulta_desde_Proyectos10[[#This Row],[PRYRAfecha]],'Fechas Mes'!G:J,4,TRUE)</f>
        <v>#N/A</v>
      </c>
      <c r="AD28" t="str">
        <f>IFERROR(VLOOKUP(Tabla_Consulta_desde_Proyectos10[[#This Row],[PRYcodigo]],Catálogo!A:B,2,FALSE),"Otros")</f>
        <v>Otros</v>
      </c>
      <c r="AE28" t="str">
        <f>IF(LEN(Tabla_Consulta_desde_Proyectos10[[#This Row],[Semana]])&lt;13,"CI",RIGHT(Tabla_Consulta_desde_Proyectos10[[#This Row],[Semana]],4))</f>
        <v>CI</v>
      </c>
    </row>
    <row r="29" spans="1:31" hidden="1">
      <c r="A29" t="s">
        <v>4032</v>
      </c>
      <c r="B29" t="s">
        <v>6752</v>
      </c>
      <c r="C29" t="s">
        <v>6753</v>
      </c>
      <c r="D29" t="s">
        <v>7194</v>
      </c>
      <c r="E29" t="s">
        <v>7195</v>
      </c>
      <c r="F29">
        <v>0</v>
      </c>
      <c r="G29" t="s">
        <v>7211</v>
      </c>
      <c r="L29" s="4"/>
      <c r="O29">
        <v>3000000001828718</v>
      </c>
      <c r="P29" t="s">
        <v>6784</v>
      </c>
      <c r="Q29" t="s">
        <v>7222</v>
      </c>
      <c r="W29" t="str">
        <f>Tabla_Consulta_desde_Proyectos10[[#This Row],[PRYcodigo]]&amp;Tabla_Consulta_desde_Proyectos10[[#This Row],[PRYApath]]</f>
        <v>095-202-RDIG/0018</v>
      </c>
      <c r="X29" t="str">
        <f>Tabla_Consulta_desde_Proyectos10[[#This Row],[PRYAcodigo]]&amp;" - "&amp;Tabla_Consulta_desde_Proyectos10[[#This Row],[PRYAdescripcion]]</f>
        <v>500.1 - ACTIVIDADES DEL EQUIPO DE RELEASE MANAGMENT</v>
      </c>
      <c r="Y29" t="str">
        <f>SUBSTITUTE(IFERROR(VLOOKUP(LEFT(Tabla_Consulta_desde_Proyectos10[[#This Row],[Nivel1]],LEN(Tabla_Consulta_desde_Proyectos10[[#This Row],[Nivel1]])-5),Tabla_Consulta_desde_Proyectos10[[#All],[Nivel1]:[Actividad]],2,FALSE),""),"_","-")</f>
        <v/>
      </c>
      <c r="Z29" t="str">
        <f>IFERROR(VLOOKUP(Tabla_Consulta_desde_Proyectos10[[#This Row],[PRYRAfecha]],'Fechas Mes'!G:J,4,TRUE),"")</f>
        <v/>
      </c>
      <c r="AA29" t="e" cm="1">
        <f t="array" ref="AA29">INDEX('Fechas Mes'!F:F,MATCH(Tabla_Consulta_desde_Proyectos10[[#This Row],[Semana]],'Fechas Mes'!J:J,0),)</f>
        <v>#N/A</v>
      </c>
      <c r="AB29">
        <f>YEAR(Tabla_Consulta_desde_Proyectos10[[#This Row],[PRYRAfecha]])</f>
        <v>1900</v>
      </c>
      <c r="AC29" t="e">
        <f>VLOOKUP(Tabla_Consulta_desde_Proyectos10[[#This Row],[PRYRAfecha]],'Fechas Mes'!G:J,4,TRUE)</f>
        <v>#N/A</v>
      </c>
      <c r="AD29" t="str">
        <f>IFERROR(VLOOKUP(Tabla_Consulta_desde_Proyectos10[[#This Row],[PRYcodigo]],Catálogo!A:B,2,FALSE),"Otros")</f>
        <v>Otros</v>
      </c>
      <c r="AE29" t="str">
        <f>IF(LEN(Tabla_Consulta_desde_Proyectos10[[#This Row],[Semana]])&lt;13,"CI",RIGHT(Tabla_Consulta_desde_Proyectos10[[#This Row],[Semana]],4))</f>
        <v>CI</v>
      </c>
    </row>
    <row r="30" spans="1:31" hidden="1">
      <c r="A30" t="s">
        <v>4032</v>
      </c>
      <c r="B30" t="s">
        <v>6752</v>
      </c>
      <c r="C30" t="s">
        <v>6753</v>
      </c>
      <c r="D30" t="s">
        <v>7194</v>
      </c>
      <c r="E30" t="s">
        <v>7195</v>
      </c>
      <c r="F30">
        <v>0</v>
      </c>
      <c r="G30" t="s">
        <v>7211</v>
      </c>
      <c r="L30" s="4"/>
      <c r="O30">
        <v>3000000001829475</v>
      </c>
      <c r="P30" t="s">
        <v>6782</v>
      </c>
      <c r="Q30" t="s">
        <v>7210</v>
      </c>
      <c r="W30" t="str">
        <f>Tabla_Consulta_desde_Proyectos10[[#This Row],[PRYcodigo]]&amp;Tabla_Consulta_desde_Proyectos10[[#This Row],[PRYApath]]</f>
        <v>095-202-RDIG/0018</v>
      </c>
      <c r="X30" t="str">
        <f>Tabla_Consulta_desde_Proyectos10[[#This Row],[PRYAcodigo]]&amp;" - "&amp;Tabla_Consulta_desde_Proyectos10[[#This Row],[PRYAdescripcion]]</f>
        <v>500.1 - ACTIVIDADES DEL EQUIPO DE RELEASE MANAGMENT</v>
      </c>
      <c r="Y30" t="str">
        <f>SUBSTITUTE(IFERROR(VLOOKUP(LEFT(Tabla_Consulta_desde_Proyectos10[[#This Row],[Nivel1]],LEN(Tabla_Consulta_desde_Proyectos10[[#This Row],[Nivel1]])-5),Tabla_Consulta_desde_Proyectos10[[#All],[Nivel1]:[Actividad]],2,FALSE),""),"_","-")</f>
        <v/>
      </c>
      <c r="Z30" t="str">
        <f>IFERROR(VLOOKUP(Tabla_Consulta_desde_Proyectos10[[#This Row],[PRYRAfecha]],'Fechas Mes'!G:J,4,TRUE),"")</f>
        <v/>
      </c>
      <c r="AA30" t="e" cm="1">
        <f t="array" ref="AA30">INDEX('Fechas Mes'!F:F,MATCH(Tabla_Consulta_desde_Proyectos10[[#This Row],[Semana]],'Fechas Mes'!J:J,0),)</f>
        <v>#N/A</v>
      </c>
      <c r="AB30">
        <f>YEAR(Tabla_Consulta_desde_Proyectos10[[#This Row],[PRYRAfecha]])</f>
        <v>1900</v>
      </c>
      <c r="AC30" t="e">
        <f>VLOOKUP(Tabla_Consulta_desde_Proyectos10[[#This Row],[PRYRAfecha]],'Fechas Mes'!G:J,4,TRUE)</f>
        <v>#N/A</v>
      </c>
      <c r="AD30" t="str">
        <f>IFERROR(VLOOKUP(Tabla_Consulta_desde_Proyectos10[[#This Row],[PRYcodigo]],Catálogo!A:B,2,FALSE),"Otros")</f>
        <v>Otros</v>
      </c>
      <c r="AE30" t="str">
        <f>IF(LEN(Tabla_Consulta_desde_Proyectos10[[#This Row],[Semana]])&lt;13,"CI",RIGHT(Tabla_Consulta_desde_Proyectos10[[#This Row],[Semana]],4))</f>
        <v>CI</v>
      </c>
    </row>
    <row r="31" spans="1:31" hidden="1">
      <c r="A31" t="s">
        <v>4032</v>
      </c>
      <c r="B31" t="s">
        <v>6752</v>
      </c>
      <c r="C31" t="s">
        <v>6753</v>
      </c>
      <c r="D31" t="s">
        <v>7194</v>
      </c>
      <c r="E31" t="s">
        <v>7195</v>
      </c>
      <c r="F31">
        <v>0</v>
      </c>
      <c r="G31" t="s">
        <v>7211</v>
      </c>
      <c r="L31" s="4"/>
      <c r="O31">
        <v>3000000001829476</v>
      </c>
      <c r="P31" t="s">
        <v>6782</v>
      </c>
      <c r="Q31" t="s">
        <v>7210</v>
      </c>
      <c r="W31" t="str">
        <f>Tabla_Consulta_desde_Proyectos10[[#This Row],[PRYcodigo]]&amp;Tabla_Consulta_desde_Proyectos10[[#This Row],[PRYApath]]</f>
        <v>095-202-RDIG/0018</v>
      </c>
      <c r="X31" t="str">
        <f>Tabla_Consulta_desde_Proyectos10[[#This Row],[PRYAcodigo]]&amp;" - "&amp;Tabla_Consulta_desde_Proyectos10[[#This Row],[PRYAdescripcion]]</f>
        <v>500.1 - ACTIVIDADES DEL EQUIPO DE RELEASE MANAGMENT</v>
      </c>
      <c r="Y31" t="str">
        <f>SUBSTITUTE(IFERROR(VLOOKUP(LEFT(Tabla_Consulta_desde_Proyectos10[[#This Row],[Nivel1]],LEN(Tabla_Consulta_desde_Proyectos10[[#This Row],[Nivel1]])-5),Tabla_Consulta_desde_Proyectos10[[#All],[Nivel1]:[Actividad]],2,FALSE),""),"_","-")</f>
        <v/>
      </c>
      <c r="Z31" t="str">
        <f>IFERROR(VLOOKUP(Tabla_Consulta_desde_Proyectos10[[#This Row],[PRYRAfecha]],'Fechas Mes'!G:J,4,TRUE),"")</f>
        <v/>
      </c>
      <c r="AA31" t="e" cm="1">
        <f t="array" ref="AA31">INDEX('Fechas Mes'!F:F,MATCH(Tabla_Consulta_desde_Proyectos10[[#This Row],[Semana]],'Fechas Mes'!J:J,0),)</f>
        <v>#N/A</v>
      </c>
      <c r="AB31">
        <f>YEAR(Tabla_Consulta_desde_Proyectos10[[#This Row],[PRYRAfecha]])</f>
        <v>1900</v>
      </c>
      <c r="AC31" t="e">
        <f>VLOOKUP(Tabla_Consulta_desde_Proyectos10[[#This Row],[PRYRAfecha]],'Fechas Mes'!G:J,4,TRUE)</f>
        <v>#N/A</v>
      </c>
      <c r="AD31" t="str">
        <f>IFERROR(VLOOKUP(Tabla_Consulta_desde_Proyectos10[[#This Row],[PRYcodigo]],Catálogo!A:B,2,FALSE),"Otros")</f>
        <v>Otros</v>
      </c>
      <c r="AE31" t="str">
        <f>IF(LEN(Tabla_Consulta_desde_Proyectos10[[#This Row],[Semana]])&lt;13,"CI",RIGHT(Tabla_Consulta_desde_Proyectos10[[#This Row],[Semana]],4))</f>
        <v>CI</v>
      </c>
    </row>
    <row r="32" spans="1:31" hidden="1">
      <c r="A32" t="s">
        <v>4032</v>
      </c>
      <c r="B32" t="s">
        <v>6752</v>
      </c>
      <c r="C32" t="s">
        <v>6753</v>
      </c>
      <c r="D32" t="s">
        <v>7194</v>
      </c>
      <c r="E32" t="s">
        <v>7195</v>
      </c>
      <c r="F32">
        <v>0</v>
      </c>
      <c r="G32" t="s">
        <v>7211</v>
      </c>
      <c r="L32" s="4"/>
      <c r="O32">
        <v>3000000001829487</v>
      </c>
      <c r="P32" t="s">
        <v>6792</v>
      </c>
      <c r="Q32" t="s">
        <v>7565</v>
      </c>
      <c r="W32" t="str">
        <f>Tabla_Consulta_desde_Proyectos10[[#This Row],[PRYcodigo]]&amp;Tabla_Consulta_desde_Proyectos10[[#This Row],[PRYApath]]</f>
        <v>095-202-RDIG/0018</v>
      </c>
      <c r="X32" t="str">
        <f>Tabla_Consulta_desde_Proyectos10[[#This Row],[PRYAcodigo]]&amp;" - "&amp;Tabla_Consulta_desde_Proyectos10[[#This Row],[PRYAdescripcion]]</f>
        <v>500.1 - ACTIVIDADES DEL EQUIPO DE RELEASE MANAGMENT</v>
      </c>
      <c r="Y32" t="str">
        <f>SUBSTITUTE(IFERROR(VLOOKUP(LEFT(Tabla_Consulta_desde_Proyectos10[[#This Row],[Nivel1]],LEN(Tabla_Consulta_desde_Proyectos10[[#This Row],[Nivel1]])-5),Tabla_Consulta_desde_Proyectos10[[#All],[Nivel1]:[Actividad]],2,FALSE),""),"_","-")</f>
        <v/>
      </c>
      <c r="Z32" t="str">
        <f>IFERROR(VLOOKUP(Tabla_Consulta_desde_Proyectos10[[#This Row],[PRYRAfecha]],'Fechas Mes'!G:J,4,TRUE),"")</f>
        <v/>
      </c>
      <c r="AA32" t="e" cm="1">
        <f t="array" ref="AA32">INDEX('Fechas Mes'!F:F,MATCH(Tabla_Consulta_desde_Proyectos10[[#This Row],[Semana]],'Fechas Mes'!J:J,0),)</f>
        <v>#N/A</v>
      </c>
      <c r="AB32">
        <f>YEAR(Tabla_Consulta_desde_Proyectos10[[#This Row],[PRYRAfecha]])</f>
        <v>1900</v>
      </c>
      <c r="AC32" t="e">
        <f>VLOOKUP(Tabla_Consulta_desde_Proyectos10[[#This Row],[PRYRAfecha]],'Fechas Mes'!G:J,4,TRUE)</f>
        <v>#N/A</v>
      </c>
      <c r="AD32" t="str">
        <f>IFERROR(VLOOKUP(Tabla_Consulta_desde_Proyectos10[[#This Row],[PRYcodigo]],Catálogo!A:B,2,FALSE),"Otros")</f>
        <v>Otros</v>
      </c>
      <c r="AE32" t="str">
        <f>IF(LEN(Tabla_Consulta_desde_Proyectos10[[#This Row],[Semana]])&lt;13,"CI",RIGHT(Tabla_Consulta_desde_Proyectos10[[#This Row],[Semana]],4))</f>
        <v>CI</v>
      </c>
    </row>
    <row r="33" spans="1:31" hidden="1">
      <c r="A33" t="s">
        <v>4032</v>
      </c>
      <c r="B33" t="s">
        <v>6752</v>
      </c>
      <c r="C33" t="s">
        <v>6753</v>
      </c>
      <c r="D33" t="s">
        <v>7194</v>
      </c>
      <c r="E33" t="s">
        <v>7195</v>
      </c>
      <c r="F33">
        <v>0</v>
      </c>
      <c r="G33" t="s">
        <v>7211</v>
      </c>
      <c r="L33" s="4"/>
      <c r="O33">
        <v>3000000001830113</v>
      </c>
      <c r="P33" t="s">
        <v>6784</v>
      </c>
      <c r="Q33" t="s">
        <v>7213</v>
      </c>
      <c r="W33" t="str">
        <f>Tabla_Consulta_desde_Proyectos10[[#This Row],[PRYcodigo]]&amp;Tabla_Consulta_desde_Proyectos10[[#This Row],[PRYApath]]</f>
        <v>095-202-RDIG/0018</v>
      </c>
      <c r="X33" t="str">
        <f>Tabla_Consulta_desde_Proyectos10[[#This Row],[PRYAcodigo]]&amp;" - "&amp;Tabla_Consulta_desde_Proyectos10[[#This Row],[PRYAdescripcion]]</f>
        <v>500.1 - ACTIVIDADES DEL EQUIPO DE RELEASE MANAGMENT</v>
      </c>
      <c r="Y33" t="str">
        <f>SUBSTITUTE(IFERROR(VLOOKUP(LEFT(Tabla_Consulta_desde_Proyectos10[[#This Row],[Nivel1]],LEN(Tabla_Consulta_desde_Proyectos10[[#This Row],[Nivel1]])-5),Tabla_Consulta_desde_Proyectos10[[#All],[Nivel1]:[Actividad]],2,FALSE),""),"_","-")</f>
        <v/>
      </c>
      <c r="Z33" t="str">
        <f>IFERROR(VLOOKUP(Tabla_Consulta_desde_Proyectos10[[#This Row],[PRYRAfecha]],'Fechas Mes'!G:J,4,TRUE),"")</f>
        <v/>
      </c>
      <c r="AA33" t="e" cm="1">
        <f t="array" ref="AA33">INDEX('Fechas Mes'!F:F,MATCH(Tabla_Consulta_desde_Proyectos10[[#This Row],[Semana]],'Fechas Mes'!J:J,0),)</f>
        <v>#N/A</v>
      </c>
      <c r="AB33">
        <f>YEAR(Tabla_Consulta_desde_Proyectos10[[#This Row],[PRYRAfecha]])</f>
        <v>1900</v>
      </c>
      <c r="AC33" t="e">
        <f>VLOOKUP(Tabla_Consulta_desde_Proyectos10[[#This Row],[PRYRAfecha]],'Fechas Mes'!G:J,4,TRUE)</f>
        <v>#N/A</v>
      </c>
      <c r="AD33" t="str">
        <f>IFERROR(VLOOKUP(Tabla_Consulta_desde_Proyectos10[[#This Row],[PRYcodigo]],Catálogo!A:B,2,FALSE),"Otros")</f>
        <v>Otros</v>
      </c>
      <c r="AE33" t="str">
        <f>IF(LEN(Tabla_Consulta_desde_Proyectos10[[#This Row],[Semana]])&lt;13,"CI",RIGHT(Tabla_Consulta_desde_Proyectos10[[#This Row],[Semana]],4))</f>
        <v>CI</v>
      </c>
    </row>
    <row r="34" spans="1:31" hidden="1">
      <c r="A34" t="s">
        <v>4032</v>
      </c>
      <c r="B34" t="s">
        <v>6752</v>
      </c>
      <c r="C34" t="s">
        <v>6753</v>
      </c>
      <c r="D34" t="s">
        <v>7194</v>
      </c>
      <c r="E34" t="s">
        <v>7195</v>
      </c>
      <c r="F34">
        <v>0</v>
      </c>
      <c r="G34" t="s">
        <v>7211</v>
      </c>
      <c r="L34" s="4"/>
      <c r="O34">
        <v>3000000001831015</v>
      </c>
      <c r="P34" t="s">
        <v>6782</v>
      </c>
      <c r="Q34" t="s">
        <v>7212</v>
      </c>
      <c r="W34" t="str">
        <f>Tabla_Consulta_desde_Proyectos10[[#This Row],[PRYcodigo]]&amp;Tabla_Consulta_desde_Proyectos10[[#This Row],[PRYApath]]</f>
        <v>095-202-RDIG/0018</v>
      </c>
      <c r="X34" t="str">
        <f>Tabla_Consulta_desde_Proyectos10[[#This Row],[PRYAcodigo]]&amp;" - "&amp;Tabla_Consulta_desde_Proyectos10[[#This Row],[PRYAdescripcion]]</f>
        <v>500.1 - ACTIVIDADES DEL EQUIPO DE RELEASE MANAGMENT</v>
      </c>
      <c r="Y34" t="str">
        <f>SUBSTITUTE(IFERROR(VLOOKUP(LEFT(Tabla_Consulta_desde_Proyectos10[[#This Row],[Nivel1]],LEN(Tabla_Consulta_desde_Proyectos10[[#This Row],[Nivel1]])-5),Tabla_Consulta_desde_Proyectos10[[#All],[Nivel1]:[Actividad]],2,FALSE),""),"_","-")</f>
        <v/>
      </c>
      <c r="Z34" t="str">
        <f>IFERROR(VLOOKUP(Tabla_Consulta_desde_Proyectos10[[#This Row],[PRYRAfecha]],'Fechas Mes'!G:J,4,TRUE),"")</f>
        <v/>
      </c>
      <c r="AA34" t="e" cm="1">
        <f t="array" ref="AA34">INDEX('Fechas Mes'!F:F,MATCH(Tabla_Consulta_desde_Proyectos10[[#This Row],[Semana]],'Fechas Mes'!J:J,0),)</f>
        <v>#N/A</v>
      </c>
      <c r="AB34">
        <f>YEAR(Tabla_Consulta_desde_Proyectos10[[#This Row],[PRYRAfecha]])</f>
        <v>1900</v>
      </c>
      <c r="AC34" t="e">
        <f>VLOOKUP(Tabla_Consulta_desde_Proyectos10[[#This Row],[PRYRAfecha]],'Fechas Mes'!G:J,4,TRUE)</f>
        <v>#N/A</v>
      </c>
      <c r="AD34" t="str">
        <f>IFERROR(VLOOKUP(Tabla_Consulta_desde_Proyectos10[[#This Row],[PRYcodigo]],Catálogo!A:B,2,FALSE),"Otros")</f>
        <v>Otros</v>
      </c>
      <c r="AE34" t="str">
        <f>IF(LEN(Tabla_Consulta_desde_Proyectos10[[#This Row],[Semana]])&lt;13,"CI",RIGHT(Tabla_Consulta_desde_Proyectos10[[#This Row],[Semana]],4))</f>
        <v>CI</v>
      </c>
    </row>
    <row r="35" spans="1:31" hidden="1">
      <c r="A35" t="s">
        <v>4032</v>
      </c>
      <c r="B35" t="s">
        <v>6752</v>
      </c>
      <c r="C35" t="s">
        <v>6753</v>
      </c>
      <c r="D35" t="s">
        <v>7194</v>
      </c>
      <c r="E35" t="s">
        <v>7195</v>
      </c>
      <c r="F35">
        <v>0</v>
      </c>
      <c r="G35" t="s">
        <v>7211</v>
      </c>
      <c r="L35" s="4"/>
      <c r="O35">
        <v>3000000001831308</v>
      </c>
      <c r="P35" t="s">
        <v>6790</v>
      </c>
      <c r="Q35" t="s">
        <v>7240</v>
      </c>
      <c r="W35" t="str">
        <f>Tabla_Consulta_desde_Proyectos10[[#This Row],[PRYcodigo]]&amp;Tabla_Consulta_desde_Proyectos10[[#This Row],[PRYApath]]</f>
        <v>095-202-RDIG/0018</v>
      </c>
      <c r="X35" t="str">
        <f>Tabla_Consulta_desde_Proyectos10[[#This Row],[PRYAcodigo]]&amp;" - "&amp;Tabla_Consulta_desde_Proyectos10[[#This Row],[PRYAdescripcion]]</f>
        <v>500.1 - ACTIVIDADES DEL EQUIPO DE RELEASE MANAGMENT</v>
      </c>
      <c r="Y35" t="str">
        <f>SUBSTITUTE(IFERROR(VLOOKUP(LEFT(Tabla_Consulta_desde_Proyectos10[[#This Row],[Nivel1]],LEN(Tabla_Consulta_desde_Proyectos10[[#This Row],[Nivel1]])-5),Tabla_Consulta_desde_Proyectos10[[#All],[Nivel1]:[Actividad]],2,FALSE),""),"_","-")</f>
        <v/>
      </c>
      <c r="Z35" t="str">
        <f>IFERROR(VLOOKUP(Tabla_Consulta_desde_Proyectos10[[#This Row],[PRYRAfecha]],'Fechas Mes'!G:J,4,TRUE),"")</f>
        <v/>
      </c>
      <c r="AA35" t="e" cm="1">
        <f t="array" ref="AA35">INDEX('Fechas Mes'!F:F,MATCH(Tabla_Consulta_desde_Proyectos10[[#This Row],[Semana]],'Fechas Mes'!J:J,0),)</f>
        <v>#N/A</v>
      </c>
      <c r="AB35">
        <f>YEAR(Tabla_Consulta_desde_Proyectos10[[#This Row],[PRYRAfecha]])</f>
        <v>1900</v>
      </c>
      <c r="AC35" t="e">
        <f>VLOOKUP(Tabla_Consulta_desde_Proyectos10[[#This Row],[PRYRAfecha]],'Fechas Mes'!G:J,4,TRUE)</f>
        <v>#N/A</v>
      </c>
      <c r="AD35" t="str">
        <f>IFERROR(VLOOKUP(Tabla_Consulta_desde_Proyectos10[[#This Row],[PRYcodigo]],Catálogo!A:B,2,FALSE),"Otros")</f>
        <v>Otros</v>
      </c>
      <c r="AE35" t="str">
        <f>IF(LEN(Tabla_Consulta_desde_Proyectos10[[#This Row],[Semana]])&lt;13,"CI",RIGHT(Tabla_Consulta_desde_Proyectos10[[#This Row],[Semana]],4))</f>
        <v>CI</v>
      </c>
    </row>
    <row r="36" spans="1:31" hidden="1">
      <c r="A36" t="s">
        <v>4032</v>
      </c>
      <c r="B36" t="s">
        <v>6752</v>
      </c>
      <c r="C36" t="s">
        <v>6753</v>
      </c>
      <c r="D36" t="s">
        <v>7194</v>
      </c>
      <c r="E36" t="s">
        <v>7195</v>
      </c>
      <c r="F36">
        <v>0</v>
      </c>
      <c r="G36" t="s">
        <v>7211</v>
      </c>
      <c r="L36" s="4"/>
      <c r="O36">
        <v>3000000001832349</v>
      </c>
      <c r="P36" t="s">
        <v>6784</v>
      </c>
      <c r="Q36" t="s">
        <v>7222</v>
      </c>
      <c r="W36" t="str">
        <f>Tabla_Consulta_desde_Proyectos10[[#This Row],[PRYcodigo]]&amp;Tabla_Consulta_desde_Proyectos10[[#This Row],[PRYApath]]</f>
        <v>095-202-RDIG/0018</v>
      </c>
      <c r="X36" t="str">
        <f>Tabla_Consulta_desde_Proyectos10[[#This Row],[PRYAcodigo]]&amp;" - "&amp;Tabla_Consulta_desde_Proyectos10[[#This Row],[PRYAdescripcion]]</f>
        <v>500.1 - ACTIVIDADES DEL EQUIPO DE RELEASE MANAGMENT</v>
      </c>
      <c r="Y36" t="str">
        <f>SUBSTITUTE(IFERROR(VLOOKUP(LEFT(Tabla_Consulta_desde_Proyectos10[[#This Row],[Nivel1]],LEN(Tabla_Consulta_desde_Proyectos10[[#This Row],[Nivel1]])-5),Tabla_Consulta_desde_Proyectos10[[#All],[Nivel1]:[Actividad]],2,FALSE),""),"_","-")</f>
        <v/>
      </c>
      <c r="Z36" t="str">
        <f>IFERROR(VLOOKUP(Tabla_Consulta_desde_Proyectos10[[#This Row],[PRYRAfecha]],'Fechas Mes'!G:J,4,TRUE),"")</f>
        <v/>
      </c>
      <c r="AA36" t="e" cm="1">
        <f t="array" ref="AA36">INDEX('Fechas Mes'!F:F,MATCH(Tabla_Consulta_desde_Proyectos10[[#This Row],[Semana]],'Fechas Mes'!J:J,0),)</f>
        <v>#N/A</v>
      </c>
      <c r="AB36">
        <f>YEAR(Tabla_Consulta_desde_Proyectos10[[#This Row],[PRYRAfecha]])</f>
        <v>1900</v>
      </c>
      <c r="AC36" t="e">
        <f>VLOOKUP(Tabla_Consulta_desde_Proyectos10[[#This Row],[PRYRAfecha]],'Fechas Mes'!G:J,4,TRUE)</f>
        <v>#N/A</v>
      </c>
      <c r="AD36" t="str">
        <f>IFERROR(VLOOKUP(Tabla_Consulta_desde_Proyectos10[[#This Row],[PRYcodigo]],Catálogo!A:B,2,FALSE),"Otros")</f>
        <v>Otros</v>
      </c>
      <c r="AE36" t="str">
        <f>IF(LEN(Tabla_Consulta_desde_Proyectos10[[#This Row],[Semana]])&lt;13,"CI",RIGHT(Tabla_Consulta_desde_Proyectos10[[#This Row],[Semana]],4))</f>
        <v>CI</v>
      </c>
    </row>
    <row r="37" spans="1:31" hidden="1">
      <c r="A37" t="s">
        <v>4032</v>
      </c>
      <c r="B37" t="s">
        <v>6752</v>
      </c>
      <c r="C37" t="s">
        <v>6753</v>
      </c>
      <c r="D37" t="s">
        <v>7194</v>
      </c>
      <c r="E37" t="s">
        <v>7195</v>
      </c>
      <c r="F37">
        <v>0</v>
      </c>
      <c r="G37" t="s">
        <v>7211</v>
      </c>
      <c r="L37" s="4"/>
      <c r="O37">
        <v>3000000001834066</v>
      </c>
      <c r="P37" t="s">
        <v>6784</v>
      </c>
      <c r="Q37" t="s">
        <v>7213</v>
      </c>
      <c r="W37" t="str">
        <f>Tabla_Consulta_desde_Proyectos10[[#This Row],[PRYcodigo]]&amp;Tabla_Consulta_desde_Proyectos10[[#This Row],[PRYApath]]</f>
        <v>095-202-RDIG/0018</v>
      </c>
      <c r="X37" t="str">
        <f>Tabla_Consulta_desde_Proyectos10[[#This Row],[PRYAcodigo]]&amp;" - "&amp;Tabla_Consulta_desde_Proyectos10[[#This Row],[PRYAdescripcion]]</f>
        <v>500.1 - ACTIVIDADES DEL EQUIPO DE RELEASE MANAGMENT</v>
      </c>
      <c r="Y37" t="str">
        <f>SUBSTITUTE(IFERROR(VLOOKUP(LEFT(Tabla_Consulta_desde_Proyectos10[[#This Row],[Nivel1]],LEN(Tabla_Consulta_desde_Proyectos10[[#This Row],[Nivel1]])-5),Tabla_Consulta_desde_Proyectos10[[#All],[Nivel1]:[Actividad]],2,FALSE),""),"_","-")</f>
        <v/>
      </c>
      <c r="Z37" t="str">
        <f>IFERROR(VLOOKUP(Tabla_Consulta_desde_Proyectos10[[#This Row],[PRYRAfecha]],'Fechas Mes'!G:J,4,TRUE),"")</f>
        <v/>
      </c>
      <c r="AA37" t="e" cm="1">
        <f t="array" ref="AA37">INDEX('Fechas Mes'!F:F,MATCH(Tabla_Consulta_desde_Proyectos10[[#This Row],[Semana]],'Fechas Mes'!J:J,0),)</f>
        <v>#N/A</v>
      </c>
      <c r="AB37">
        <f>YEAR(Tabla_Consulta_desde_Proyectos10[[#This Row],[PRYRAfecha]])</f>
        <v>1900</v>
      </c>
      <c r="AC37" t="e">
        <f>VLOOKUP(Tabla_Consulta_desde_Proyectos10[[#This Row],[PRYRAfecha]],'Fechas Mes'!G:J,4,TRUE)</f>
        <v>#N/A</v>
      </c>
      <c r="AD37" t="str">
        <f>IFERROR(VLOOKUP(Tabla_Consulta_desde_Proyectos10[[#This Row],[PRYcodigo]],Catálogo!A:B,2,FALSE),"Otros")</f>
        <v>Otros</v>
      </c>
      <c r="AE37" t="str">
        <f>IF(LEN(Tabla_Consulta_desde_Proyectos10[[#This Row],[Semana]])&lt;13,"CI",RIGHT(Tabla_Consulta_desde_Proyectos10[[#This Row],[Semana]],4))</f>
        <v>CI</v>
      </c>
    </row>
    <row r="38" spans="1:31" hidden="1">
      <c r="A38" t="s">
        <v>4032</v>
      </c>
      <c r="B38" t="s">
        <v>6752</v>
      </c>
      <c r="C38" t="s">
        <v>6753</v>
      </c>
      <c r="D38" t="s">
        <v>7194</v>
      </c>
      <c r="E38" t="s">
        <v>7195</v>
      </c>
      <c r="F38">
        <v>0</v>
      </c>
      <c r="G38" t="s">
        <v>7211</v>
      </c>
      <c r="L38" s="4"/>
      <c r="O38">
        <v>3000000001834695</v>
      </c>
      <c r="P38" t="s">
        <v>6782</v>
      </c>
      <c r="Q38" t="s">
        <v>7210</v>
      </c>
      <c r="W38" t="str">
        <f>Tabla_Consulta_desde_Proyectos10[[#This Row],[PRYcodigo]]&amp;Tabla_Consulta_desde_Proyectos10[[#This Row],[PRYApath]]</f>
        <v>095-202-RDIG/0018</v>
      </c>
      <c r="X38" t="str">
        <f>Tabla_Consulta_desde_Proyectos10[[#This Row],[PRYAcodigo]]&amp;" - "&amp;Tabla_Consulta_desde_Proyectos10[[#This Row],[PRYAdescripcion]]</f>
        <v>500.1 - ACTIVIDADES DEL EQUIPO DE RELEASE MANAGMENT</v>
      </c>
      <c r="Y38" t="str">
        <f>SUBSTITUTE(IFERROR(VLOOKUP(LEFT(Tabla_Consulta_desde_Proyectos10[[#This Row],[Nivel1]],LEN(Tabla_Consulta_desde_Proyectos10[[#This Row],[Nivel1]])-5),Tabla_Consulta_desde_Proyectos10[[#All],[Nivel1]:[Actividad]],2,FALSE),""),"_","-")</f>
        <v/>
      </c>
      <c r="Z38" t="str">
        <f>IFERROR(VLOOKUP(Tabla_Consulta_desde_Proyectos10[[#This Row],[PRYRAfecha]],'Fechas Mes'!G:J,4,TRUE),"")</f>
        <v/>
      </c>
      <c r="AA38" t="e" cm="1">
        <f t="array" ref="AA38">INDEX('Fechas Mes'!F:F,MATCH(Tabla_Consulta_desde_Proyectos10[[#This Row],[Semana]],'Fechas Mes'!J:J,0),)</f>
        <v>#N/A</v>
      </c>
      <c r="AB38">
        <f>YEAR(Tabla_Consulta_desde_Proyectos10[[#This Row],[PRYRAfecha]])</f>
        <v>1900</v>
      </c>
      <c r="AC38" t="e">
        <f>VLOOKUP(Tabla_Consulta_desde_Proyectos10[[#This Row],[PRYRAfecha]],'Fechas Mes'!G:J,4,TRUE)</f>
        <v>#N/A</v>
      </c>
      <c r="AD38" t="str">
        <f>IFERROR(VLOOKUP(Tabla_Consulta_desde_Proyectos10[[#This Row],[PRYcodigo]],Catálogo!A:B,2,FALSE),"Otros")</f>
        <v>Otros</v>
      </c>
      <c r="AE38" t="str">
        <f>IF(LEN(Tabla_Consulta_desde_Proyectos10[[#This Row],[Semana]])&lt;13,"CI",RIGHT(Tabla_Consulta_desde_Proyectos10[[#This Row],[Semana]],4))</f>
        <v>CI</v>
      </c>
    </row>
    <row r="39" spans="1:31" hidden="1">
      <c r="A39" t="s">
        <v>4032</v>
      </c>
      <c r="B39" t="s">
        <v>6752</v>
      </c>
      <c r="C39" t="s">
        <v>6753</v>
      </c>
      <c r="D39" t="s">
        <v>7194</v>
      </c>
      <c r="E39" t="s">
        <v>7195</v>
      </c>
      <c r="F39">
        <v>0</v>
      </c>
      <c r="G39" t="s">
        <v>7211</v>
      </c>
      <c r="L39" s="4"/>
      <c r="O39">
        <v>3000000001834894</v>
      </c>
      <c r="P39" t="s">
        <v>6782</v>
      </c>
      <c r="Q39" t="s">
        <v>7212</v>
      </c>
      <c r="W39" t="str">
        <f>Tabla_Consulta_desde_Proyectos10[[#This Row],[PRYcodigo]]&amp;Tabla_Consulta_desde_Proyectos10[[#This Row],[PRYApath]]</f>
        <v>095-202-RDIG/0018</v>
      </c>
      <c r="X39" t="str">
        <f>Tabla_Consulta_desde_Proyectos10[[#This Row],[PRYAcodigo]]&amp;" - "&amp;Tabla_Consulta_desde_Proyectos10[[#This Row],[PRYAdescripcion]]</f>
        <v>500.1 - ACTIVIDADES DEL EQUIPO DE RELEASE MANAGMENT</v>
      </c>
      <c r="Y39" t="str">
        <f>SUBSTITUTE(IFERROR(VLOOKUP(LEFT(Tabla_Consulta_desde_Proyectos10[[#This Row],[Nivel1]],LEN(Tabla_Consulta_desde_Proyectos10[[#This Row],[Nivel1]])-5),Tabla_Consulta_desde_Proyectos10[[#All],[Nivel1]:[Actividad]],2,FALSE),""),"_","-")</f>
        <v/>
      </c>
      <c r="Z39" t="str">
        <f>IFERROR(VLOOKUP(Tabla_Consulta_desde_Proyectos10[[#This Row],[PRYRAfecha]],'Fechas Mes'!G:J,4,TRUE),"")</f>
        <v/>
      </c>
      <c r="AA39" t="e" cm="1">
        <f t="array" ref="AA39">INDEX('Fechas Mes'!F:F,MATCH(Tabla_Consulta_desde_Proyectos10[[#This Row],[Semana]],'Fechas Mes'!J:J,0),)</f>
        <v>#N/A</v>
      </c>
      <c r="AB39">
        <f>YEAR(Tabla_Consulta_desde_Proyectos10[[#This Row],[PRYRAfecha]])</f>
        <v>1900</v>
      </c>
      <c r="AC39" t="e">
        <f>VLOOKUP(Tabla_Consulta_desde_Proyectos10[[#This Row],[PRYRAfecha]],'Fechas Mes'!G:J,4,TRUE)</f>
        <v>#N/A</v>
      </c>
      <c r="AD39" t="str">
        <f>IFERROR(VLOOKUP(Tabla_Consulta_desde_Proyectos10[[#This Row],[PRYcodigo]],Catálogo!A:B,2,FALSE),"Otros")</f>
        <v>Otros</v>
      </c>
      <c r="AE39" t="str">
        <f>IF(LEN(Tabla_Consulta_desde_Proyectos10[[#This Row],[Semana]])&lt;13,"CI",RIGHT(Tabla_Consulta_desde_Proyectos10[[#This Row],[Semana]],4))</f>
        <v>CI</v>
      </c>
    </row>
    <row r="40" spans="1:31" hidden="1">
      <c r="A40" t="s">
        <v>4032</v>
      </c>
      <c r="B40" t="s">
        <v>6752</v>
      </c>
      <c r="C40" t="s">
        <v>6753</v>
      </c>
      <c r="D40" t="s">
        <v>7194</v>
      </c>
      <c r="E40" t="s">
        <v>7195</v>
      </c>
      <c r="F40">
        <v>0</v>
      </c>
      <c r="G40" t="s">
        <v>7211</v>
      </c>
      <c r="L40" s="4"/>
      <c r="O40">
        <v>3000000001835008</v>
      </c>
      <c r="P40" t="s">
        <v>6784</v>
      </c>
      <c r="Q40" t="s">
        <v>7197</v>
      </c>
      <c r="W40" t="str">
        <f>Tabla_Consulta_desde_Proyectos10[[#This Row],[PRYcodigo]]&amp;Tabla_Consulta_desde_Proyectos10[[#This Row],[PRYApath]]</f>
        <v>095-202-RDIG/0018</v>
      </c>
      <c r="X40" t="str">
        <f>Tabla_Consulta_desde_Proyectos10[[#This Row],[PRYAcodigo]]&amp;" - "&amp;Tabla_Consulta_desde_Proyectos10[[#This Row],[PRYAdescripcion]]</f>
        <v>500.1 - ACTIVIDADES DEL EQUIPO DE RELEASE MANAGMENT</v>
      </c>
      <c r="Y40" t="str">
        <f>SUBSTITUTE(IFERROR(VLOOKUP(LEFT(Tabla_Consulta_desde_Proyectos10[[#This Row],[Nivel1]],LEN(Tabla_Consulta_desde_Proyectos10[[#This Row],[Nivel1]])-5),Tabla_Consulta_desde_Proyectos10[[#All],[Nivel1]:[Actividad]],2,FALSE),""),"_","-")</f>
        <v/>
      </c>
      <c r="Z40" t="str">
        <f>IFERROR(VLOOKUP(Tabla_Consulta_desde_Proyectos10[[#This Row],[PRYRAfecha]],'Fechas Mes'!G:J,4,TRUE),"")</f>
        <v/>
      </c>
      <c r="AA40" t="e" cm="1">
        <f t="array" ref="AA40">INDEX('Fechas Mes'!F:F,MATCH(Tabla_Consulta_desde_Proyectos10[[#This Row],[Semana]],'Fechas Mes'!J:J,0),)</f>
        <v>#N/A</v>
      </c>
      <c r="AB40">
        <f>YEAR(Tabla_Consulta_desde_Proyectos10[[#This Row],[PRYRAfecha]])</f>
        <v>1900</v>
      </c>
      <c r="AC40" t="e">
        <f>VLOOKUP(Tabla_Consulta_desde_Proyectos10[[#This Row],[PRYRAfecha]],'Fechas Mes'!G:J,4,TRUE)</f>
        <v>#N/A</v>
      </c>
      <c r="AD40" t="str">
        <f>IFERROR(VLOOKUP(Tabla_Consulta_desde_Proyectos10[[#This Row],[PRYcodigo]],Catálogo!A:B,2,FALSE),"Otros")</f>
        <v>Otros</v>
      </c>
      <c r="AE40" t="str">
        <f>IF(LEN(Tabla_Consulta_desde_Proyectos10[[#This Row],[Semana]])&lt;13,"CI",RIGHT(Tabla_Consulta_desde_Proyectos10[[#This Row],[Semana]],4))</f>
        <v>CI</v>
      </c>
    </row>
    <row r="41" spans="1:31" hidden="1">
      <c r="A41" t="s">
        <v>4032</v>
      </c>
      <c r="B41" t="s">
        <v>6752</v>
      </c>
      <c r="C41" t="s">
        <v>6753</v>
      </c>
      <c r="D41" t="s">
        <v>7194</v>
      </c>
      <c r="E41" t="s">
        <v>7195</v>
      </c>
      <c r="F41">
        <v>0</v>
      </c>
      <c r="G41" t="s">
        <v>7211</v>
      </c>
      <c r="L41" s="4"/>
      <c r="O41">
        <v>3000000001838210</v>
      </c>
      <c r="P41" t="s">
        <v>6782</v>
      </c>
      <c r="Q41" t="s">
        <v>7212</v>
      </c>
      <c r="W41" t="str">
        <f>Tabla_Consulta_desde_Proyectos10[[#This Row],[PRYcodigo]]&amp;Tabla_Consulta_desde_Proyectos10[[#This Row],[PRYApath]]</f>
        <v>095-202-RDIG/0018</v>
      </c>
      <c r="X41" t="str">
        <f>Tabla_Consulta_desde_Proyectos10[[#This Row],[PRYAcodigo]]&amp;" - "&amp;Tabla_Consulta_desde_Proyectos10[[#This Row],[PRYAdescripcion]]</f>
        <v>500.1 - ACTIVIDADES DEL EQUIPO DE RELEASE MANAGMENT</v>
      </c>
      <c r="Y41" t="str">
        <f>SUBSTITUTE(IFERROR(VLOOKUP(LEFT(Tabla_Consulta_desde_Proyectos10[[#This Row],[Nivel1]],LEN(Tabla_Consulta_desde_Proyectos10[[#This Row],[Nivel1]])-5),Tabla_Consulta_desde_Proyectos10[[#All],[Nivel1]:[Actividad]],2,FALSE),""),"_","-")</f>
        <v/>
      </c>
      <c r="Z41" t="str">
        <f>IFERROR(VLOOKUP(Tabla_Consulta_desde_Proyectos10[[#This Row],[PRYRAfecha]],'Fechas Mes'!G:J,4,TRUE),"")</f>
        <v/>
      </c>
      <c r="AA41" t="e" cm="1">
        <f t="array" ref="AA41">INDEX('Fechas Mes'!F:F,MATCH(Tabla_Consulta_desde_Proyectos10[[#This Row],[Semana]],'Fechas Mes'!J:J,0),)</f>
        <v>#N/A</v>
      </c>
      <c r="AB41">
        <f>YEAR(Tabla_Consulta_desde_Proyectos10[[#This Row],[PRYRAfecha]])</f>
        <v>1900</v>
      </c>
      <c r="AC41" t="e">
        <f>VLOOKUP(Tabla_Consulta_desde_Proyectos10[[#This Row],[PRYRAfecha]],'Fechas Mes'!G:J,4,TRUE)</f>
        <v>#N/A</v>
      </c>
      <c r="AD41" t="str">
        <f>IFERROR(VLOOKUP(Tabla_Consulta_desde_Proyectos10[[#This Row],[PRYcodigo]],Catálogo!A:B,2,FALSE),"Otros")</f>
        <v>Otros</v>
      </c>
      <c r="AE41" t="str">
        <f>IF(LEN(Tabla_Consulta_desde_Proyectos10[[#This Row],[Semana]])&lt;13,"CI",RIGHT(Tabla_Consulta_desde_Proyectos10[[#This Row],[Semana]],4))</f>
        <v>CI</v>
      </c>
    </row>
    <row r="42" spans="1:31">
      <c r="A42" t="s">
        <v>4032</v>
      </c>
      <c r="B42" t="s">
        <v>6752</v>
      </c>
      <c r="C42" t="s">
        <v>6753</v>
      </c>
      <c r="D42" t="s">
        <v>7199</v>
      </c>
      <c r="E42" t="s">
        <v>7200</v>
      </c>
      <c r="F42">
        <v>1</v>
      </c>
      <c r="G42" t="s">
        <v>7216</v>
      </c>
      <c r="H42" t="s">
        <v>646</v>
      </c>
      <c r="I42" t="s">
        <v>647</v>
      </c>
      <c r="J42" t="s">
        <v>1981</v>
      </c>
      <c r="K42" t="s">
        <v>1982</v>
      </c>
      <c r="L42" s="4">
        <v>46118</v>
      </c>
      <c r="M42" t="s">
        <v>7590</v>
      </c>
      <c r="N42">
        <v>0.5</v>
      </c>
      <c r="O42">
        <v>3000000001825701</v>
      </c>
      <c r="P42" t="s">
        <v>6782</v>
      </c>
      <c r="Q42" t="s">
        <v>7210</v>
      </c>
      <c r="W42" t="str">
        <f>Tabla_Consulta_desde_Proyectos10[[#This Row],[PRYcodigo]]&amp;Tabla_Consulta_desde_Proyectos10[[#This Row],[PRYApath]]</f>
        <v>095-202-RDIG/0018/0002</v>
      </c>
      <c r="X42" t="str">
        <f>Tabla_Consulta_desde_Proyectos10[[#This Row],[PRYAcodigo]]&amp;" - "&amp;Tabla_Consulta_desde_Proyectos10[[#This Row],[PRYAdescripcion]]</f>
        <v>1 - LIBERACIÓN DE SOFTWARE Y DEPLOYMENTS</v>
      </c>
      <c r="Y42" t="str">
        <f>SUBSTITUTE(IFERROR(VLOOKUP(LEFT(Tabla_Consulta_desde_Proyectos10[[#This Row],[Nivel1]],LEN(Tabla_Consulta_desde_Proyectos10[[#This Row],[Nivel1]])-5),Tabla_Consulta_desde_Proyectos10[[#All],[Nivel1]:[Actividad]],2,FALSE),""),"_","-")</f>
        <v>500.1 - ACTIVIDADES DEL EQUIPO DE RELEASE MANAGMENT</v>
      </c>
      <c r="Z42" t="str">
        <f>IFERROR(VLOOKUP(Tabla_Consulta_desde_Proyectos10[[#This Row],[PRYRAfecha]],'Fechas Mes'!G:J,4,TRUE),"")</f>
        <v>Semana 48CIP2</v>
      </c>
      <c r="AA42" t="str" cm="1">
        <f t="array" ref="AA42">INDEX('Fechas Mes'!F:F,MATCH(Tabla_Consulta_desde_Proyectos10[[#This Row],[Semana]],'Fechas Mes'!J:J,0),)</f>
        <v>M12CIP2</v>
      </c>
      <c r="AB42">
        <f>YEAR(Tabla_Consulta_desde_Proyectos10[[#This Row],[PRYRAfecha]])</f>
        <v>2026</v>
      </c>
      <c r="AC42" t="str">
        <f>VLOOKUP(Tabla_Consulta_desde_Proyectos10[[#This Row],[PRYRAfecha]],'Fechas Mes'!G:J,4,TRUE)</f>
        <v>Semana 48CIP2</v>
      </c>
      <c r="AD42" t="str">
        <f>IFERROR(VLOOKUP(Tabla_Consulta_desde_Proyectos10[[#This Row],[PRYcodigo]],Catálogo!A:B,2,FALSE),"Otros")</f>
        <v>Otros</v>
      </c>
      <c r="AE42" t="str">
        <f>IF(LEN(Tabla_Consulta_desde_Proyectos10[[#This Row],[Semana]])&lt;13,"CI",RIGHT(Tabla_Consulta_desde_Proyectos10[[#This Row],[Semana]],4))</f>
        <v>CIP2</v>
      </c>
    </row>
    <row r="43" spans="1:31">
      <c r="A43" t="s">
        <v>4032</v>
      </c>
      <c r="B43" t="s">
        <v>6752</v>
      </c>
      <c r="C43" t="s">
        <v>6753</v>
      </c>
      <c r="D43" t="s">
        <v>7199</v>
      </c>
      <c r="E43" t="s">
        <v>7200</v>
      </c>
      <c r="F43">
        <v>1</v>
      </c>
      <c r="G43" t="s">
        <v>7216</v>
      </c>
      <c r="H43" t="s">
        <v>646</v>
      </c>
      <c r="I43" t="s">
        <v>647</v>
      </c>
      <c r="J43" t="s">
        <v>1981</v>
      </c>
      <c r="K43" t="s">
        <v>1982</v>
      </c>
      <c r="L43" s="4">
        <v>46118</v>
      </c>
      <c r="M43" t="s">
        <v>7591</v>
      </c>
      <c r="N43">
        <v>0.5</v>
      </c>
      <c r="O43">
        <v>3000000001825706</v>
      </c>
      <c r="P43" t="s">
        <v>6782</v>
      </c>
      <c r="Q43" t="s">
        <v>7212</v>
      </c>
      <c r="W43" t="str">
        <f>Tabla_Consulta_desde_Proyectos10[[#This Row],[PRYcodigo]]&amp;Tabla_Consulta_desde_Proyectos10[[#This Row],[PRYApath]]</f>
        <v>095-202-RDIG/0018/0002</v>
      </c>
      <c r="X43" t="str">
        <f>Tabla_Consulta_desde_Proyectos10[[#This Row],[PRYAcodigo]]&amp;" - "&amp;Tabla_Consulta_desde_Proyectos10[[#This Row],[PRYAdescripcion]]</f>
        <v>1 - LIBERACIÓN DE SOFTWARE Y DEPLOYMENTS</v>
      </c>
      <c r="Y43" t="str">
        <f>SUBSTITUTE(IFERROR(VLOOKUP(LEFT(Tabla_Consulta_desde_Proyectos10[[#This Row],[Nivel1]],LEN(Tabla_Consulta_desde_Proyectos10[[#This Row],[Nivel1]])-5),Tabla_Consulta_desde_Proyectos10[[#All],[Nivel1]:[Actividad]],2,FALSE),""),"_","-")</f>
        <v>500.1 - ACTIVIDADES DEL EQUIPO DE RELEASE MANAGMENT</v>
      </c>
      <c r="Z43" t="str">
        <f>IFERROR(VLOOKUP(Tabla_Consulta_desde_Proyectos10[[#This Row],[PRYRAfecha]],'Fechas Mes'!G:J,4,TRUE),"")</f>
        <v>Semana 48CIP2</v>
      </c>
      <c r="AA43" t="str" cm="1">
        <f t="array" ref="AA43">INDEX('Fechas Mes'!F:F,MATCH(Tabla_Consulta_desde_Proyectos10[[#This Row],[Semana]],'Fechas Mes'!J:J,0),)</f>
        <v>M12CIP2</v>
      </c>
      <c r="AB43">
        <f>YEAR(Tabla_Consulta_desde_Proyectos10[[#This Row],[PRYRAfecha]])</f>
        <v>2026</v>
      </c>
      <c r="AC43" t="str">
        <f>VLOOKUP(Tabla_Consulta_desde_Proyectos10[[#This Row],[PRYRAfecha]],'Fechas Mes'!G:J,4,TRUE)</f>
        <v>Semana 48CIP2</v>
      </c>
      <c r="AD43" t="str">
        <f>IFERROR(VLOOKUP(Tabla_Consulta_desde_Proyectos10[[#This Row],[PRYcodigo]],Catálogo!A:B,2,FALSE),"Otros")</f>
        <v>Otros</v>
      </c>
      <c r="AE43" t="str">
        <f>IF(LEN(Tabla_Consulta_desde_Proyectos10[[#This Row],[Semana]])&lt;13,"CI",RIGHT(Tabla_Consulta_desde_Proyectos10[[#This Row],[Semana]],4))</f>
        <v>CIP2</v>
      </c>
    </row>
    <row r="44" spans="1:31">
      <c r="A44" t="s">
        <v>4032</v>
      </c>
      <c r="B44" t="s">
        <v>6752</v>
      </c>
      <c r="C44" t="s">
        <v>6753</v>
      </c>
      <c r="D44" t="s">
        <v>7199</v>
      </c>
      <c r="E44" t="s">
        <v>7200</v>
      </c>
      <c r="F44">
        <v>1</v>
      </c>
      <c r="G44" t="s">
        <v>7216</v>
      </c>
      <c r="H44" t="s">
        <v>646</v>
      </c>
      <c r="I44" t="s">
        <v>647</v>
      </c>
      <c r="J44" t="s">
        <v>1981</v>
      </c>
      <c r="K44" t="s">
        <v>1982</v>
      </c>
      <c r="L44" s="4">
        <v>46126</v>
      </c>
      <c r="M44" t="s">
        <v>7592</v>
      </c>
      <c r="N44">
        <v>0.5</v>
      </c>
      <c r="O44">
        <v>3000000001827416</v>
      </c>
      <c r="P44" t="s">
        <v>6782</v>
      </c>
      <c r="Q44" t="s">
        <v>7212</v>
      </c>
      <c r="W44" t="str">
        <f>Tabla_Consulta_desde_Proyectos10[[#This Row],[PRYcodigo]]&amp;Tabla_Consulta_desde_Proyectos10[[#This Row],[PRYApath]]</f>
        <v>095-202-RDIG/0018/0002</v>
      </c>
      <c r="X44" t="str">
        <f>Tabla_Consulta_desde_Proyectos10[[#This Row],[PRYAcodigo]]&amp;" - "&amp;Tabla_Consulta_desde_Proyectos10[[#This Row],[PRYAdescripcion]]</f>
        <v>1 - LIBERACIÓN DE SOFTWARE Y DEPLOYMENTS</v>
      </c>
      <c r="Y44" t="str">
        <f>SUBSTITUTE(IFERROR(VLOOKUP(LEFT(Tabla_Consulta_desde_Proyectos10[[#This Row],[Nivel1]],LEN(Tabla_Consulta_desde_Proyectos10[[#This Row],[Nivel1]])-5),Tabla_Consulta_desde_Proyectos10[[#All],[Nivel1]:[Actividad]],2,FALSE),""),"_","-")</f>
        <v>500.1 - ACTIVIDADES DEL EQUIPO DE RELEASE MANAGMENT</v>
      </c>
      <c r="Z44" t="str">
        <f>IFERROR(VLOOKUP(Tabla_Consulta_desde_Proyectos10[[#This Row],[PRYRAfecha]],'Fechas Mes'!G:J,4,TRUE),"")</f>
        <v>Semana 48CIP2</v>
      </c>
      <c r="AA44" t="str" cm="1">
        <f t="array" ref="AA44">INDEX('Fechas Mes'!F:F,MATCH(Tabla_Consulta_desde_Proyectos10[[#This Row],[Semana]],'Fechas Mes'!J:J,0),)</f>
        <v>M12CIP2</v>
      </c>
      <c r="AB44">
        <f>YEAR(Tabla_Consulta_desde_Proyectos10[[#This Row],[PRYRAfecha]])</f>
        <v>2026</v>
      </c>
      <c r="AC44" t="str">
        <f>VLOOKUP(Tabla_Consulta_desde_Proyectos10[[#This Row],[PRYRAfecha]],'Fechas Mes'!G:J,4,TRUE)</f>
        <v>Semana 48CIP2</v>
      </c>
      <c r="AD44" t="str">
        <f>IFERROR(VLOOKUP(Tabla_Consulta_desde_Proyectos10[[#This Row],[PRYcodigo]],Catálogo!A:B,2,FALSE),"Otros")</f>
        <v>Otros</v>
      </c>
      <c r="AE44" t="str">
        <f>IF(LEN(Tabla_Consulta_desde_Proyectos10[[#This Row],[Semana]])&lt;13,"CI",RIGHT(Tabla_Consulta_desde_Proyectos10[[#This Row],[Semana]],4))</f>
        <v>CIP2</v>
      </c>
    </row>
    <row r="45" spans="1:31">
      <c r="A45" t="s">
        <v>4032</v>
      </c>
      <c r="B45" t="s">
        <v>6752</v>
      </c>
      <c r="C45" t="s">
        <v>6753</v>
      </c>
      <c r="D45" t="s">
        <v>7199</v>
      </c>
      <c r="E45" t="s">
        <v>7200</v>
      </c>
      <c r="F45">
        <v>1</v>
      </c>
      <c r="G45" t="s">
        <v>7216</v>
      </c>
      <c r="H45" t="s">
        <v>646</v>
      </c>
      <c r="I45" t="s">
        <v>647</v>
      </c>
      <c r="J45" t="s">
        <v>1981</v>
      </c>
      <c r="K45" t="s">
        <v>1982</v>
      </c>
      <c r="L45" s="4">
        <v>46128</v>
      </c>
      <c r="M45" t="s">
        <v>7593</v>
      </c>
      <c r="N45">
        <v>1</v>
      </c>
      <c r="O45">
        <v>3000000001828032</v>
      </c>
      <c r="P45" t="s">
        <v>6782</v>
      </c>
      <c r="Q45" t="s">
        <v>7212</v>
      </c>
      <c r="W45" t="str">
        <f>Tabla_Consulta_desde_Proyectos10[[#This Row],[PRYcodigo]]&amp;Tabla_Consulta_desde_Proyectos10[[#This Row],[PRYApath]]</f>
        <v>095-202-RDIG/0018/0002</v>
      </c>
      <c r="X45" t="str">
        <f>Tabla_Consulta_desde_Proyectos10[[#This Row],[PRYAcodigo]]&amp;" - "&amp;Tabla_Consulta_desde_Proyectos10[[#This Row],[PRYAdescripcion]]</f>
        <v>1 - LIBERACIÓN DE SOFTWARE Y DEPLOYMENTS</v>
      </c>
      <c r="Y45" t="str">
        <f>SUBSTITUTE(IFERROR(VLOOKUP(LEFT(Tabla_Consulta_desde_Proyectos10[[#This Row],[Nivel1]],LEN(Tabla_Consulta_desde_Proyectos10[[#This Row],[Nivel1]])-5),Tabla_Consulta_desde_Proyectos10[[#All],[Nivel1]:[Actividad]],2,FALSE),""),"_","-")</f>
        <v>500.1 - ACTIVIDADES DEL EQUIPO DE RELEASE MANAGMENT</v>
      </c>
      <c r="Z45" t="str">
        <f>IFERROR(VLOOKUP(Tabla_Consulta_desde_Proyectos10[[#This Row],[PRYRAfecha]],'Fechas Mes'!G:J,4,TRUE),"")</f>
        <v>Semana 48CIP2</v>
      </c>
      <c r="AA45" t="str" cm="1">
        <f t="array" ref="AA45">INDEX('Fechas Mes'!F:F,MATCH(Tabla_Consulta_desde_Proyectos10[[#This Row],[Semana]],'Fechas Mes'!J:J,0),)</f>
        <v>M12CIP2</v>
      </c>
      <c r="AB45">
        <f>YEAR(Tabla_Consulta_desde_Proyectos10[[#This Row],[PRYRAfecha]])</f>
        <v>2026</v>
      </c>
      <c r="AC45" t="str">
        <f>VLOOKUP(Tabla_Consulta_desde_Proyectos10[[#This Row],[PRYRAfecha]],'Fechas Mes'!G:J,4,TRUE)</f>
        <v>Semana 48CIP2</v>
      </c>
      <c r="AD45" t="str">
        <f>IFERROR(VLOOKUP(Tabla_Consulta_desde_Proyectos10[[#This Row],[PRYcodigo]],Catálogo!A:B,2,FALSE),"Otros")</f>
        <v>Otros</v>
      </c>
      <c r="AE45" t="str">
        <f>IF(LEN(Tabla_Consulta_desde_Proyectos10[[#This Row],[Semana]])&lt;13,"CI",RIGHT(Tabla_Consulta_desde_Proyectos10[[#This Row],[Semana]],4))</f>
        <v>CIP2</v>
      </c>
    </row>
    <row r="46" spans="1:31">
      <c r="A46" t="s">
        <v>4032</v>
      </c>
      <c r="B46" t="s">
        <v>6752</v>
      </c>
      <c r="C46" t="s">
        <v>6753</v>
      </c>
      <c r="D46" t="s">
        <v>7199</v>
      </c>
      <c r="E46" t="s">
        <v>7200</v>
      </c>
      <c r="F46">
        <v>1</v>
      </c>
      <c r="G46" t="s">
        <v>7216</v>
      </c>
      <c r="H46" t="s">
        <v>646</v>
      </c>
      <c r="I46" t="s">
        <v>647</v>
      </c>
      <c r="J46" t="s">
        <v>1981</v>
      </c>
      <c r="K46" t="s">
        <v>1982</v>
      </c>
      <c r="L46" s="4">
        <v>46139</v>
      </c>
      <c r="M46" t="s">
        <v>7594</v>
      </c>
      <c r="N46">
        <v>0.5</v>
      </c>
      <c r="O46">
        <v>3000000001834894</v>
      </c>
      <c r="P46" t="s">
        <v>6782</v>
      </c>
      <c r="Q46" t="s">
        <v>7212</v>
      </c>
      <c r="W46" t="str">
        <f>Tabla_Consulta_desde_Proyectos10[[#This Row],[PRYcodigo]]&amp;Tabla_Consulta_desde_Proyectos10[[#This Row],[PRYApath]]</f>
        <v>095-202-RDIG/0018/0002</v>
      </c>
      <c r="X46" t="str">
        <f>Tabla_Consulta_desde_Proyectos10[[#This Row],[PRYAcodigo]]&amp;" - "&amp;Tabla_Consulta_desde_Proyectos10[[#This Row],[PRYAdescripcion]]</f>
        <v>1 - LIBERACIÓN DE SOFTWARE Y DEPLOYMENTS</v>
      </c>
      <c r="Y46" t="str">
        <f>SUBSTITUTE(IFERROR(VLOOKUP(LEFT(Tabla_Consulta_desde_Proyectos10[[#This Row],[Nivel1]],LEN(Tabla_Consulta_desde_Proyectos10[[#This Row],[Nivel1]])-5),Tabla_Consulta_desde_Proyectos10[[#All],[Nivel1]:[Actividad]],2,FALSE),""),"_","-")</f>
        <v>500.1 - ACTIVIDADES DEL EQUIPO DE RELEASE MANAGMENT</v>
      </c>
      <c r="Z46" t="str">
        <f>IFERROR(VLOOKUP(Tabla_Consulta_desde_Proyectos10[[#This Row],[PRYRAfecha]],'Fechas Mes'!G:J,4,TRUE),"")</f>
        <v>Semana 48CIP2</v>
      </c>
      <c r="AA46" t="str" cm="1">
        <f t="array" ref="AA46">INDEX('Fechas Mes'!F:F,MATCH(Tabla_Consulta_desde_Proyectos10[[#This Row],[Semana]],'Fechas Mes'!J:J,0),)</f>
        <v>M12CIP2</v>
      </c>
      <c r="AB46">
        <f>YEAR(Tabla_Consulta_desde_Proyectos10[[#This Row],[PRYRAfecha]])</f>
        <v>2026</v>
      </c>
      <c r="AC46" t="str">
        <f>VLOOKUP(Tabla_Consulta_desde_Proyectos10[[#This Row],[PRYRAfecha]],'Fechas Mes'!G:J,4,TRUE)</f>
        <v>Semana 48CIP2</v>
      </c>
      <c r="AD46" t="str">
        <f>IFERROR(VLOOKUP(Tabla_Consulta_desde_Proyectos10[[#This Row],[PRYcodigo]],Catálogo!A:B,2,FALSE),"Otros")</f>
        <v>Otros</v>
      </c>
      <c r="AE46" t="str">
        <f>IF(LEN(Tabla_Consulta_desde_Proyectos10[[#This Row],[Semana]])&lt;13,"CI",RIGHT(Tabla_Consulta_desde_Proyectos10[[#This Row],[Semana]],4))</f>
        <v>CIP2</v>
      </c>
    </row>
    <row r="47" spans="1:31">
      <c r="A47" t="s">
        <v>4032</v>
      </c>
      <c r="B47" t="s">
        <v>6752</v>
      </c>
      <c r="C47" t="s">
        <v>6753</v>
      </c>
      <c r="D47" t="s">
        <v>7199</v>
      </c>
      <c r="E47" t="s">
        <v>7200</v>
      </c>
      <c r="F47">
        <v>1</v>
      </c>
      <c r="G47" t="s">
        <v>7216</v>
      </c>
      <c r="H47" t="s">
        <v>646</v>
      </c>
      <c r="I47" t="s">
        <v>647</v>
      </c>
      <c r="J47" t="s">
        <v>1763</v>
      </c>
      <c r="K47" t="s">
        <v>1764</v>
      </c>
      <c r="L47" s="4">
        <v>46121</v>
      </c>
      <c r="M47" t="s">
        <v>7595</v>
      </c>
      <c r="N47">
        <v>0.5</v>
      </c>
      <c r="O47">
        <v>3000000001824879</v>
      </c>
      <c r="P47" t="s">
        <v>6782</v>
      </c>
      <c r="Q47" t="s">
        <v>7212</v>
      </c>
      <c r="W47" t="str">
        <f>Tabla_Consulta_desde_Proyectos10[[#This Row],[PRYcodigo]]&amp;Tabla_Consulta_desde_Proyectos10[[#This Row],[PRYApath]]</f>
        <v>095-202-RDIG/0018/0002</v>
      </c>
      <c r="X47" t="str">
        <f>Tabla_Consulta_desde_Proyectos10[[#This Row],[PRYAcodigo]]&amp;" - "&amp;Tabla_Consulta_desde_Proyectos10[[#This Row],[PRYAdescripcion]]</f>
        <v>1 - LIBERACIÓN DE SOFTWARE Y DEPLOYMENTS</v>
      </c>
      <c r="Y47" t="str">
        <f>SUBSTITUTE(IFERROR(VLOOKUP(LEFT(Tabla_Consulta_desde_Proyectos10[[#This Row],[Nivel1]],LEN(Tabla_Consulta_desde_Proyectos10[[#This Row],[Nivel1]])-5),Tabla_Consulta_desde_Proyectos10[[#All],[Nivel1]:[Actividad]],2,FALSE),""),"_","-")</f>
        <v>500.1 - ACTIVIDADES DEL EQUIPO DE RELEASE MANAGMENT</v>
      </c>
      <c r="Z47" t="str">
        <f>IFERROR(VLOOKUP(Tabla_Consulta_desde_Proyectos10[[#This Row],[PRYRAfecha]],'Fechas Mes'!G:J,4,TRUE),"")</f>
        <v>Semana 48CIP2</v>
      </c>
      <c r="AA47" t="str" cm="1">
        <f t="array" ref="AA47">INDEX('Fechas Mes'!F:F,MATCH(Tabla_Consulta_desde_Proyectos10[[#This Row],[Semana]],'Fechas Mes'!J:J,0),)</f>
        <v>M12CIP2</v>
      </c>
      <c r="AB47">
        <f>YEAR(Tabla_Consulta_desde_Proyectos10[[#This Row],[PRYRAfecha]])</f>
        <v>2026</v>
      </c>
      <c r="AC47" t="str">
        <f>VLOOKUP(Tabla_Consulta_desde_Proyectos10[[#This Row],[PRYRAfecha]],'Fechas Mes'!G:J,4,TRUE)</f>
        <v>Semana 48CIP2</v>
      </c>
      <c r="AD47" t="str">
        <f>IFERROR(VLOOKUP(Tabla_Consulta_desde_Proyectos10[[#This Row],[PRYcodigo]],Catálogo!A:B,2,FALSE),"Otros")</f>
        <v>Otros</v>
      </c>
      <c r="AE47" t="str">
        <f>IF(LEN(Tabla_Consulta_desde_Proyectos10[[#This Row],[Semana]])&lt;13,"CI",RIGHT(Tabla_Consulta_desde_Proyectos10[[#This Row],[Semana]],4))</f>
        <v>CIP2</v>
      </c>
    </row>
    <row r="48" spans="1:31">
      <c r="A48" t="s">
        <v>4032</v>
      </c>
      <c r="B48" t="s">
        <v>6752</v>
      </c>
      <c r="C48" t="s">
        <v>6753</v>
      </c>
      <c r="D48" t="s">
        <v>7199</v>
      </c>
      <c r="E48" t="s">
        <v>7200</v>
      </c>
      <c r="F48">
        <v>1</v>
      </c>
      <c r="G48" t="s">
        <v>7216</v>
      </c>
      <c r="H48" t="s">
        <v>646</v>
      </c>
      <c r="I48" t="s">
        <v>647</v>
      </c>
      <c r="J48" t="s">
        <v>1763</v>
      </c>
      <c r="K48" t="s">
        <v>1764</v>
      </c>
      <c r="L48" s="4">
        <v>46128</v>
      </c>
      <c r="M48" t="s">
        <v>7596</v>
      </c>
      <c r="N48">
        <v>0.5</v>
      </c>
      <c r="O48">
        <v>3000000001828502</v>
      </c>
      <c r="P48" t="s">
        <v>6782</v>
      </c>
      <c r="Q48" t="s">
        <v>7212</v>
      </c>
      <c r="W48" t="str">
        <f>Tabla_Consulta_desde_Proyectos10[[#This Row],[PRYcodigo]]&amp;Tabla_Consulta_desde_Proyectos10[[#This Row],[PRYApath]]</f>
        <v>095-202-RDIG/0018/0002</v>
      </c>
      <c r="X48" t="str">
        <f>Tabla_Consulta_desde_Proyectos10[[#This Row],[PRYAcodigo]]&amp;" - "&amp;Tabla_Consulta_desde_Proyectos10[[#This Row],[PRYAdescripcion]]</f>
        <v>1 - LIBERACIÓN DE SOFTWARE Y DEPLOYMENTS</v>
      </c>
      <c r="Y48" t="str">
        <f>SUBSTITUTE(IFERROR(VLOOKUP(LEFT(Tabla_Consulta_desde_Proyectos10[[#This Row],[Nivel1]],LEN(Tabla_Consulta_desde_Proyectos10[[#This Row],[Nivel1]])-5),Tabla_Consulta_desde_Proyectos10[[#All],[Nivel1]:[Actividad]],2,FALSE),""),"_","-")</f>
        <v>500.1 - ACTIVIDADES DEL EQUIPO DE RELEASE MANAGMENT</v>
      </c>
      <c r="Z48" t="str">
        <f>IFERROR(VLOOKUP(Tabla_Consulta_desde_Proyectos10[[#This Row],[PRYRAfecha]],'Fechas Mes'!G:J,4,TRUE),"")</f>
        <v>Semana 48CIP2</v>
      </c>
      <c r="AA48" t="str" cm="1">
        <f t="array" ref="AA48">INDEX('Fechas Mes'!F:F,MATCH(Tabla_Consulta_desde_Proyectos10[[#This Row],[Semana]],'Fechas Mes'!J:J,0),)</f>
        <v>M12CIP2</v>
      </c>
      <c r="AB48">
        <f>YEAR(Tabla_Consulta_desde_Proyectos10[[#This Row],[PRYRAfecha]])</f>
        <v>2026</v>
      </c>
      <c r="AC48" t="str">
        <f>VLOOKUP(Tabla_Consulta_desde_Proyectos10[[#This Row],[PRYRAfecha]],'Fechas Mes'!G:J,4,TRUE)</f>
        <v>Semana 48CIP2</v>
      </c>
      <c r="AD48" t="str">
        <f>IFERROR(VLOOKUP(Tabla_Consulta_desde_Proyectos10[[#This Row],[PRYcodigo]],Catálogo!A:B,2,FALSE),"Otros")</f>
        <v>Otros</v>
      </c>
      <c r="AE48" t="str">
        <f>IF(LEN(Tabla_Consulta_desde_Proyectos10[[#This Row],[Semana]])&lt;13,"CI",RIGHT(Tabla_Consulta_desde_Proyectos10[[#This Row],[Semana]],4))</f>
        <v>CIP2</v>
      </c>
    </row>
    <row r="49" spans="1:31">
      <c r="A49" t="s">
        <v>4032</v>
      </c>
      <c r="B49" t="s">
        <v>6752</v>
      </c>
      <c r="C49" t="s">
        <v>6753</v>
      </c>
      <c r="D49" t="s">
        <v>7199</v>
      </c>
      <c r="E49" t="s">
        <v>7200</v>
      </c>
      <c r="F49">
        <v>1</v>
      </c>
      <c r="G49" t="s">
        <v>7216</v>
      </c>
      <c r="H49" t="s">
        <v>646</v>
      </c>
      <c r="I49" t="s">
        <v>647</v>
      </c>
      <c r="J49" t="s">
        <v>1763</v>
      </c>
      <c r="K49" t="s">
        <v>1764</v>
      </c>
      <c r="L49" s="4">
        <v>46133</v>
      </c>
      <c r="M49" t="s">
        <v>7597</v>
      </c>
      <c r="N49">
        <v>0.5</v>
      </c>
      <c r="O49">
        <v>3000000001831015</v>
      </c>
      <c r="P49" t="s">
        <v>6782</v>
      </c>
      <c r="Q49" t="s">
        <v>7212</v>
      </c>
      <c r="W49" t="str">
        <f>Tabla_Consulta_desde_Proyectos10[[#This Row],[PRYcodigo]]&amp;Tabla_Consulta_desde_Proyectos10[[#This Row],[PRYApath]]</f>
        <v>095-202-RDIG/0018/0002</v>
      </c>
      <c r="X49" t="str">
        <f>Tabla_Consulta_desde_Proyectos10[[#This Row],[PRYAcodigo]]&amp;" - "&amp;Tabla_Consulta_desde_Proyectos10[[#This Row],[PRYAdescripcion]]</f>
        <v>1 - LIBERACIÓN DE SOFTWARE Y DEPLOYMENTS</v>
      </c>
      <c r="Y49" t="str">
        <f>SUBSTITUTE(IFERROR(VLOOKUP(LEFT(Tabla_Consulta_desde_Proyectos10[[#This Row],[Nivel1]],LEN(Tabla_Consulta_desde_Proyectos10[[#This Row],[Nivel1]])-5),Tabla_Consulta_desde_Proyectos10[[#All],[Nivel1]:[Actividad]],2,FALSE),""),"_","-")</f>
        <v>500.1 - ACTIVIDADES DEL EQUIPO DE RELEASE MANAGMENT</v>
      </c>
      <c r="Z49" t="str">
        <f>IFERROR(VLOOKUP(Tabla_Consulta_desde_Proyectos10[[#This Row],[PRYRAfecha]],'Fechas Mes'!G:J,4,TRUE),"")</f>
        <v>Semana 48CIP2</v>
      </c>
      <c r="AA49" t="str" cm="1">
        <f t="array" ref="AA49">INDEX('Fechas Mes'!F:F,MATCH(Tabla_Consulta_desde_Proyectos10[[#This Row],[Semana]],'Fechas Mes'!J:J,0),)</f>
        <v>M12CIP2</v>
      </c>
      <c r="AB49">
        <f>YEAR(Tabla_Consulta_desde_Proyectos10[[#This Row],[PRYRAfecha]])</f>
        <v>2026</v>
      </c>
      <c r="AC49" t="str">
        <f>VLOOKUP(Tabla_Consulta_desde_Proyectos10[[#This Row],[PRYRAfecha]],'Fechas Mes'!G:J,4,TRUE)</f>
        <v>Semana 48CIP2</v>
      </c>
      <c r="AD49" t="str">
        <f>IFERROR(VLOOKUP(Tabla_Consulta_desde_Proyectos10[[#This Row],[PRYcodigo]],Catálogo!A:B,2,FALSE),"Otros")</f>
        <v>Otros</v>
      </c>
      <c r="AE49" t="str">
        <f>IF(LEN(Tabla_Consulta_desde_Proyectos10[[#This Row],[Semana]])&lt;13,"CI",RIGHT(Tabla_Consulta_desde_Proyectos10[[#This Row],[Semana]],4))</f>
        <v>CIP2</v>
      </c>
    </row>
    <row r="50" spans="1:31">
      <c r="A50" t="s">
        <v>4032</v>
      </c>
      <c r="B50" t="s">
        <v>6752</v>
      </c>
      <c r="C50" t="s">
        <v>6753</v>
      </c>
      <c r="D50" t="s">
        <v>7199</v>
      </c>
      <c r="E50" t="s">
        <v>7200</v>
      </c>
      <c r="F50">
        <v>1</v>
      </c>
      <c r="G50" t="s">
        <v>7216</v>
      </c>
      <c r="H50" t="s">
        <v>879</v>
      </c>
      <c r="I50" t="s">
        <v>6097</v>
      </c>
      <c r="J50" t="s">
        <v>5447</v>
      </c>
      <c r="K50" t="s">
        <v>5448</v>
      </c>
      <c r="L50" s="4">
        <v>46125</v>
      </c>
      <c r="M50" t="s">
        <v>7598</v>
      </c>
      <c r="N50">
        <v>1</v>
      </c>
      <c r="O50">
        <v>3000000001827239</v>
      </c>
      <c r="P50" t="s">
        <v>6782</v>
      </c>
      <c r="Q50" t="s">
        <v>7212</v>
      </c>
      <c r="W50" t="str">
        <f>Tabla_Consulta_desde_Proyectos10[[#This Row],[PRYcodigo]]&amp;Tabla_Consulta_desde_Proyectos10[[#This Row],[PRYApath]]</f>
        <v>095-202-RDIG/0018/0002</v>
      </c>
      <c r="X50" t="str">
        <f>Tabla_Consulta_desde_Proyectos10[[#This Row],[PRYAcodigo]]&amp;" - "&amp;Tabla_Consulta_desde_Proyectos10[[#This Row],[PRYAdescripcion]]</f>
        <v>1 - LIBERACIÓN DE SOFTWARE Y DEPLOYMENTS</v>
      </c>
      <c r="Y50" t="str">
        <f>SUBSTITUTE(IFERROR(VLOOKUP(LEFT(Tabla_Consulta_desde_Proyectos10[[#This Row],[Nivel1]],LEN(Tabla_Consulta_desde_Proyectos10[[#This Row],[Nivel1]])-5),Tabla_Consulta_desde_Proyectos10[[#All],[Nivel1]:[Actividad]],2,FALSE),""),"_","-")</f>
        <v>500.1 - ACTIVIDADES DEL EQUIPO DE RELEASE MANAGMENT</v>
      </c>
      <c r="Z50" t="str">
        <f>IFERROR(VLOOKUP(Tabla_Consulta_desde_Proyectos10[[#This Row],[PRYRAfecha]],'Fechas Mes'!G:J,4,TRUE),"")</f>
        <v>Semana 48CIP2</v>
      </c>
      <c r="AA50" t="str" cm="1">
        <f t="array" ref="AA50">INDEX('Fechas Mes'!F:F,MATCH(Tabla_Consulta_desde_Proyectos10[[#This Row],[Semana]],'Fechas Mes'!J:J,0),)</f>
        <v>M12CIP2</v>
      </c>
      <c r="AB50">
        <f>YEAR(Tabla_Consulta_desde_Proyectos10[[#This Row],[PRYRAfecha]])</f>
        <v>2026</v>
      </c>
      <c r="AC50" t="str">
        <f>VLOOKUP(Tabla_Consulta_desde_Proyectos10[[#This Row],[PRYRAfecha]],'Fechas Mes'!G:J,4,TRUE)</f>
        <v>Semana 48CIP2</v>
      </c>
      <c r="AD50" t="str">
        <f>IFERROR(VLOOKUP(Tabla_Consulta_desde_Proyectos10[[#This Row],[PRYcodigo]],Catálogo!A:B,2,FALSE),"Otros")</f>
        <v>Otros</v>
      </c>
      <c r="AE50" t="str">
        <f>IF(LEN(Tabla_Consulta_desde_Proyectos10[[#This Row],[Semana]])&lt;13,"CI",RIGHT(Tabla_Consulta_desde_Proyectos10[[#This Row],[Semana]],4))</f>
        <v>CIP2</v>
      </c>
    </row>
    <row r="51" spans="1:31">
      <c r="A51" t="s">
        <v>4032</v>
      </c>
      <c r="B51" t="s">
        <v>6752</v>
      </c>
      <c r="C51" t="s">
        <v>6753</v>
      </c>
      <c r="D51" t="s">
        <v>7199</v>
      </c>
      <c r="E51" t="s">
        <v>7200</v>
      </c>
      <c r="F51">
        <v>1</v>
      </c>
      <c r="G51" t="s">
        <v>7216</v>
      </c>
      <c r="H51" t="s">
        <v>6627</v>
      </c>
      <c r="I51" t="s">
        <v>6628</v>
      </c>
      <c r="J51" t="s">
        <v>6683</v>
      </c>
      <c r="K51" t="s">
        <v>6684</v>
      </c>
      <c r="L51" s="4">
        <v>46118</v>
      </c>
      <c r="M51" t="s">
        <v>7599</v>
      </c>
      <c r="N51">
        <v>2</v>
      </c>
      <c r="O51">
        <v>3000000001823479</v>
      </c>
      <c r="P51" t="s">
        <v>6782</v>
      </c>
      <c r="Q51" t="s">
        <v>7210</v>
      </c>
      <c r="W51" t="str">
        <f>Tabla_Consulta_desde_Proyectos10[[#This Row],[PRYcodigo]]&amp;Tabla_Consulta_desde_Proyectos10[[#This Row],[PRYApath]]</f>
        <v>095-202-RDIG/0018/0002</v>
      </c>
      <c r="X51" t="str">
        <f>Tabla_Consulta_desde_Proyectos10[[#This Row],[PRYAcodigo]]&amp;" - "&amp;Tabla_Consulta_desde_Proyectos10[[#This Row],[PRYAdescripcion]]</f>
        <v>1 - LIBERACIÓN DE SOFTWARE Y DEPLOYMENTS</v>
      </c>
      <c r="Y51" t="str">
        <f>SUBSTITUTE(IFERROR(VLOOKUP(LEFT(Tabla_Consulta_desde_Proyectos10[[#This Row],[Nivel1]],LEN(Tabla_Consulta_desde_Proyectos10[[#This Row],[Nivel1]])-5),Tabla_Consulta_desde_Proyectos10[[#All],[Nivel1]:[Actividad]],2,FALSE),""),"_","-")</f>
        <v>500.1 - ACTIVIDADES DEL EQUIPO DE RELEASE MANAGMENT</v>
      </c>
      <c r="Z51" t="str">
        <f>IFERROR(VLOOKUP(Tabla_Consulta_desde_Proyectos10[[#This Row],[PRYRAfecha]],'Fechas Mes'!G:J,4,TRUE),"")</f>
        <v>Semana 48CIP2</v>
      </c>
      <c r="AA51" t="str" cm="1">
        <f t="array" ref="AA51">INDEX('Fechas Mes'!F:F,MATCH(Tabla_Consulta_desde_Proyectos10[[#This Row],[Semana]],'Fechas Mes'!J:J,0),)</f>
        <v>M12CIP2</v>
      </c>
      <c r="AB51">
        <f>YEAR(Tabla_Consulta_desde_Proyectos10[[#This Row],[PRYRAfecha]])</f>
        <v>2026</v>
      </c>
      <c r="AC51" t="str">
        <f>VLOOKUP(Tabla_Consulta_desde_Proyectos10[[#This Row],[PRYRAfecha]],'Fechas Mes'!G:J,4,TRUE)</f>
        <v>Semana 48CIP2</v>
      </c>
      <c r="AD51" t="str">
        <f>IFERROR(VLOOKUP(Tabla_Consulta_desde_Proyectos10[[#This Row],[PRYcodigo]],Catálogo!A:B,2,FALSE),"Otros")</f>
        <v>Otros</v>
      </c>
      <c r="AE51" t="str">
        <f>IF(LEN(Tabla_Consulta_desde_Proyectos10[[#This Row],[Semana]])&lt;13,"CI",RIGHT(Tabla_Consulta_desde_Proyectos10[[#This Row],[Semana]],4))</f>
        <v>CIP2</v>
      </c>
    </row>
    <row r="52" spans="1:31">
      <c r="A52" t="s">
        <v>4032</v>
      </c>
      <c r="B52" t="s">
        <v>6752</v>
      </c>
      <c r="C52" t="s">
        <v>6753</v>
      </c>
      <c r="D52" t="s">
        <v>7199</v>
      </c>
      <c r="E52" t="s">
        <v>7200</v>
      </c>
      <c r="F52">
        <v>1</v>
      </c>
      <c r="G52" t="s">
        <v>7216</v>
      </c>
      <c r="H52" t="s">
        <v>6627</v>
      </c>
      <c r="I52" t="s">
        <v>6628</v>
      </c>
      <c r="J52" t="s">
        <v>6683</v>
      </c>
      <c r="K52" t="s">
        <v>6684</v>
      </c>
      <c r="L52" s="4">
        <v>46126</v>
      </c>
      <c r="M52" t="s">
        <v>7600</v>
      </c>
      <c r="N52">
        <v>1</v>
      </c>
      <c r="O52">
        <v>3000000001829475</v>
      </c>
      <c r="P52" t="s">
        <v>6782</v>
      </c>
      <c r="Q52" t="s">
        <v>7210</v>
      </c>
      <c r="W52" t="str">
        <f>Tabla_Consulta_desde_Proyectos10[[#This Row],[PRYcodigo]]&amp;Tabla_Consulta_desde_Proyectos10[[#This Row],[PRYApath]]</f>
        <v>095-202-RDIG/0018/0002</v>
      </c>
      <c r="X52" t="str">
        <f>Tabla_Consulta_desde_Proyectos10[[#This Row],[PRYAcodigo]]&amp;" - "&amp;Tabla_Consulta_desde_Proyectos10[[#This Row],[PRYAdescripcion]]</f>
        <v>1 - LIBERACIÓN DE SOFTWARE Y DEPLOYMENTS</v>
      </c>
      <c r="Y52" t="str">
        <f>SUBSTITUTE(IFERROR(VLOOKUP(LEFT(Tabla_Consulta_desde_Proyectos10[[#This Row],[Nivel1]],LEN(Tabla_Consulta_desde_Proyectos10[[#This Row],[Nivel1]])-5),Tabla_Consulta_desde_Proyectos10[[#All],[Nivel1]:[Actividad]],2,FALSE),""),"_","-")</f>
        <v>500.1 - ACTIVIDADES DEL EQUIPO DE RELEASE MANAGMENT</v>
      </c>
      <c r="Z52" t="str">
        <f>IFERROR(VLOOKUP(Tabla_Consulta_desde_Proyectos10[[#This Row],[PRYRAfecha]],'Fechas Mes'!G:J,4,TRUE),"")</f>
        <v>Semana 48CIP2</v>
      </c>
      <c r="AA52" t="str" cm="1">
        <f t="array" ref="AA52">INDEX('Fechas Mes'!F:F,MATCH(Tabla_Consulta_desde_Proyectos10[[#This Row],[Semana]],'Fechas Mes'!J:J,0),)</f>
        <v>M12CIP2</v>
      </c>
      <c r="AB52">
        <f>YEAR(Tabla_Consulta_desde_Proyectos10[[#This Row],[PRYRAfecha]])</f>
        <v>2026</v>
      </c>
      <c r="AC52" t="str">
        <f>VLOOKUP(Tabla_Consulta_desde_Proyectos10[[#This Row],[PRYRAfecha]],'Fechas Mes'!G:J,4,TRUE)</f>
        <v>Semana 48CIP2</v>
      </c>
      <c r="AD52" t="str">
        <f>IFERROR(VLOOKUP(Tabla_Consulta_desde_Proyectos10[[#This Row],[PRYcodigo]],Catálogo!A:B,2,FALSE),"Otros")</f>
        <v>Otros</v>
      </c>
      <c r="AE52" t="str">
        <f>IF(LEN(Tabla_Consulta_desde_Proyectos10[[#This Row],[Semana]])&lt;13,"CI",RIGHT(Tabla_Consulta_desde_Proyectos10[[#This Row],[Semana]],4))</f>
        <v>CIP2</v>
      </c>
    </row>
    <row r="53" spans="1:31">
      <c r="A53" t="s">
        <v>4032</v>
      </c>
      <c r="B53" t="s">
        <v>6752</v>
      </c>
      <c r="C53" t="s">
        <v>6753</v>
      </c>
      <c r="D53" t="s">
        <v>7199</v>
      </c>
      <c r="E53" t="s">
        <v>7200</v>
      </c>
      <c r="F53">
        <v>1</v>
      </c>
      <c r="G53" t="s">
        <v>7216</v>
      </c>
      <c r="H53" t="s">
        <v>6627</v>
      </c>
      <c r="I53" t="s">
        <v>6628</v>
      </c>
      <c r="J53" t="s">
        <v>6683</v>
      </c>
      <c r="K53" t="s">
        <v>6684</v>
      </c>
      <c r="L53" s="4">
        <v>46126</v>
      </c>
      <c r="M53" t="s">
        <v>7601</v>
      </c>
      <c r="N53">
        <v>1</v>
      </c>
      <c r="O53">
        <v>3000000001829476</v>
      </c>
      <c r="P53" t="s">
        <v>6782</v>
      </c>
      <c r="Q53" t="s">
        <v>7210</v>
      </c>
      <c r="W53" t="str">
        <f>Tabla_Consulta_desde_Proyectos10[[#This Row],[PRYcodigo]]&amp;Tabla_Consulta_desde_Proyectos10[[#This Row],[PRYApath]]</f>
        <v>095-202-RDIG/0018/0002</v>
      </c>
      <c r="X53" t="str">
        <f>Tabla_Consulta_desde_Proyectos10[[#This Row],[PRYAcodigo]]&amp;" - "&amp;Tabla_Consulta_desde_Proyectos10[[#This Row],[PRYAdescripcion]]</f>
        <v>1 - LIBERACIÓN DE SOFTWARE Y DEPLOYMENTS</v>
      </c>
      <c r="Y53" t="str">
        <f>SUBSTITUTE(IFERROR(VLOOKUP(LEFT(Tabla_Consulta_desde_Proyectos10[[#This Row],[Nivel1]],LEN(Tabla_Consulta_desde_Proyectos10[[#This Row],[Nivel1]])-5),Tabla_Consulta_desde_Proyectos10[[#All],[Nivel1]:[Actividad]],2,FALSE),""),"_","-")</f>
        <v>500.1 - ACTIVIDADES DEL EQUIPO DE RELEASE MANAGMENT</v>
      </c>
      <c r="Z53" t="str">
        <f>IFERROR(VLOOKUP(Tabla_Consulta_desde_Proyectos10[[#This Row],[PRYRAfecha]],'Fechas Mes'!G:J,4,TRUE),"")</f>
        <v>Semana 48CIP2</v>
      </c>
      <c r="AA53" t="str" cm="1">
        <f t="array" ref="AA53">INDEX('Fechas Mes'!F:F,MATCH(Tabla_Consulta_desde_Proyectos10[[#This Row],[Semana]],'Fechas Mes'!J:J,0),)</f>
        <v>M12CIP2</v>
      </c>
      <c r="AB53">
        <f>YEAR(Tabla_Consulta_desde_Proyectos10[[#This Row],[PRYRAfecha]])</f>
        <v>2026</v>
      </c>
      <c r="AC53" t="str">
        <f>VLOOKUP(Tabla_Consulta_desde_Proyectos10[[#This Row],[PRYRAfecha]],'Fechas Mes'!G:J,4,TRUE)</f>
        <v>Semana 48CIP2</v>
      </c>
      <c r="AD53" t="str">
        <f>IFERROR(VLOOKUP(Tabla_Consulta_desde_Proyectos10[[#This Row],[PRYcodigo]],Catálogo!A:B,2,FALSE),"Otros")</f>
        <v>Otros</v>
      </c>
      <c r="AE53" t="str">
        <f>IF(LEN(Tabla_Consulta_desde_Proyectos10[[#This Row],[Semana]])&lt;13,"CI",RIGHT(Tabla_Consulta_desde_Proyectos10[[#This Row],[Semana]],4))</f>
        <v>CIP2</v>
      </c>
    </row>
    <row r="54" spans="1:31">
      <c r="A54" t="s">
        <v>4032</v>
      </c>
      <c r="B54" t="s">
        <v>6752</v>
      </c>
      <c r="C54" t="s">
        <v>6753</v>
      </c>
      <c r="D54" t="s">
        <v>7199</v>
      </c>
      <c r="E54" t="s">
        <v>7200</v>
      </c>
      <c r="F54">
        <v>1</v>
      </c>
      <c r="G54" t="s">
        <v>7216</v>
      </c>
      <c r="H54" t="s">
        <v>6627</v>
      </c>
      <c r="I54" t="s">
        <v>6628</v>
      </c>
      <c r="J54" t="s">
        <v>6683</v>
      </c>
      <c r="K54" t="s">
        <v>6684</v>
      </c>
      <c r="L54" s="4">
        <v>46132</v>
      </c>
      <c r="M54" t="s">
        <v>7602</v>
      </c>
      <c r="N54">
        <v>1</v>
      </c>
      <c r="O54">
        <v>3000000001838210</v>
      </c>
      <c r="P54" t="s">
        <v>6782</v>
      </c>
      <c r="Q54" t="s">
        <v>7212</v>
      </c>
      <c r="W54" t="str">
        <f>Tabla_Consulta_desde_Proyectos10[[#This Row],[PRYcodigo]]&amp;Tabla_Consulta_desde_Proyectos10[[#This Row],[PRYApath]]</f>
        <v>095-202-RDIG/0018/0002</v>
      </c>
      <c r="X54" t="str">
        <f>Tabla_Consulta_desde_Proyectos10[[#This Row],[PRYAcodigo]]&amp;" - "&amp;Tabla_Consulta_desde_Proyectos10[[#This Row],[PRYAdescripcion]]</f>
        <v>1 - LIBERACIÓN DE SOFTWARE Y DEPLOYMENTS</v>
      </c>
      <c r="Y54" t="str">
        <f>SUBSTITUTE(IFERROR(VLOOKUP(LEFT(Tabla_Consulta_desde_Proyectos10[[#This Row],[Nivel1]],LEN(Tabla_Consulta_desde_Proyectos10[[#This Row],[Nivel1]])-5),Tabla_Consulta_desde_Proyectos10[[#All],[Nivel1]:[Actividad]],2,FALSE),""),"_","-")</f>
        <v>500.1 - ACTIVIDADES DEL EQUIPO DE RELEASE MANAGMENT</v>
      </c>
      <c r="Z54" t="str">
        <f>IFERROR(VLOOKUP(Tabla_Consulta_desde_Proyectos10[[#This Row],[PRYRAfecha]],'Fechas Mes'!G:J,4,TRUE),"")</f>
        <v>Semana 48CIP2</v>
      </c>
      <c r="AA54" t="str" cm="1">
        <f t="array" ref="AA54">INDEX('Fechas Mes'!F:F,MATCH(Tabla_Consulta_desde_Proyectos10[[#This Row],[Semana]],'Fechas Mes'!J:J,0),)</f>
        <v>M12CIP2</v>
      </c>
      <c r="AB54">
        <f>YEAR(Tabla_Consulta_desde_Proyectos10[[#This Row],[PRYRAfecha]])</f>
        <v>2026</v>
      </c>
      <c r="AC54" t="str">
        <f>VLOOKUP(Tabla_Consulta_desde_Proyectos10[[#This Row],[PRYRAfecha]],'Fechas Mes'!G:J,4,TRUE)</f>
        <v>Semana 48CIP2</v>
      </c>
      <c r="AD54" t="str">
        <f>IFERROR(VLOOKUP(Tabla_Consulta_desde_Proyectos10[[#This Row],[PRYcodigo]],Catálogo!A:B,2,FALSE),"Otros")</f>
        <v>Otros</v>
      </c>
      <c r="AE54" t="str">
        <f>IF(LEN(Tabla_Consulta_desde_Proyectos10[[#This Row],[Semana]])&lt;13,"CI",RIGHT(Tabla_Consulta_desde_Proyectos10[[#This Row],[Semana]],4))</f>
        <v>CIP2</v>
      </c>
    </row>
    <row r="55" spans="1:31">
      <c r="A55" t="s">
        <v>4032</v>
      </c>
      <c r="B55" t="s">
        <v>6752</v>
      </c>
      <c r="C55" t="s">
        <v>6753</v>
      </c>
      <c r="D55" t="s">
        <v>7199</v>
      </c>
      <c r="E55" t="s">
        <v>7200</v>
      </c>
      <c r="F55">
        <v>1</v>
      </c>
      <c r="G55" t="s">
        <v>7216</v>
      </c>
      <c r="H55" t="s">
        <v>6627</v>
      </c>
      <c r="I55" t="s">
        <v>6628</v>
      </c>
      <c r="J55" t="s">
        <v>6683</v>
      </c>
      <c r="K55" t="s">
        <v>6684</v>
      </c>
      <c r="L55" s="4">
        <v>46139</v>
      </c>
      <c r="M55" t="s">
        <v>7603</v>
      </c>
      <c r="N55">
        <v>1</v>
      </c>
      <c r="O55">
        <v>3000000001834695</v>
      </c>
      <c r="P55" t="s">
        <v>6782</v>
      </c>
      <c r="Q55" t="s">
        <v>7210</v>
      </c>
      <c r="W55" t="str">
        <f>Tabla_Consulta_desde_Proyectos10[[#This Row],[PRYcodigo]]&amp;Tabla_Consulta_desde_Proyectos10[[#This Row],[PRYApath]]</f>
        <v>095-202-RDIG/0018/0002</v>
      </c>
      <c r="X55" t="str">
        <f>Tabla_Consulta_desde_Proyectos10[[#This Row],[PRYAcodigo]]&amp;" - "&amp;Tabla_Consulta_desde_Proyectos10[[#This Row],[PRYAdescripcion]]</f>
        <v>1 - LIBERACIÓN DE SOFTWARE Y DEPLOYMENTS</v>
      </c>
      <c r="Y55" t="str">
        <f>SUBSTITUTE(IFERROR(VLOOKUP(LEFT(Tabla_Consulta_desde_Proyectos10[[#This Row],[Nivel1]],LEN(Tabla_Consulta_desde_Proyectos10[[#This Row],[Nivel1]])-5),Tabla_Consulta_desde_Proyectos10[[#All],[Nivel1]:[Actividad]],2,FALSE),""),"_","-")</f>
        <v>500.1 - ACTIVIDADES DEL EQUIPO DE RELEASE MANAGMENT</v>
      </c>
      <c r="Z55" t="str">
        <f>IFERROR(VLOOKUP(Tabla_Consulta_desde_Proyectos10[[#This Row],[PRYRAfecha]],'Fechas Mes'!G:J,4,TRUE),"")</f>
        <v>Semana 48CIP2</v>
      </c>
      <c r="AA55" t="str" cm="1">
        <f t="array" ref="AA55">INDEX('Fechas Mes'!F:F,MATCH(Tabla_Consulta_desde_Proyectos10[[#This Row],[Semana]],'Fechas Mes'!J:J,0),)</f>
        <v>M12CIP2</v>
      </c>
      <c r="AB55">
        <f>YEAR(Tabla_Consulta_desde_Proyectos10[[#This Row],[PRYRAfecha]])</f>
        <v>2026</v>
      </c>
      <c r="AC55" t="str">
        <f>VLOOKUP(Tabla_Consulta_desde_Proyectos10[[#This Row],[PRYRAfecha]],'Fechas Mes'!G:J,4,TRUE)</f>
        <v>Semana 48CIP2</v>
      </c>
      <c r="AD55" t="str">
        <f>IFERROR(VLOOKUP(Tabla_Consulta_desde_Proyectos10[[#This Row],[PRYcodigo]],Catálogo!A:B,2,FALSE),"Otros")</f>
        <v>Otros</v>
      </c>
      <c r="AE55" t="str">
        <f>IF(LEN(Tabla_Consulta_desde_Proyectos10[[#This Row],[Semana]])&lt;13,"CI",RIGHT(Tabla_Consulta_desde_Proyectos10[[#This Row],[Semana]],4))</f>
        <v>CIP2</v>
      </c>
    </row>
    <row r="56" spans="1:31">
      <c r="A56" t="s">
        <v>4032</v>
      </c>
      <c r="B56" t="s">
        <v>6752</v>
      </c>
      <c r="C56" t="s">
        <v>6753</v>
      </c>
      <c r="D56" t="s">
        <v>7201</v>
      </c>
      <c r="E56" t="s">
        <v>7202</v>
      </c>
      <c r="F56">
        <v>1</v>
      </c>
      <c r="G56" t="s">
        <v>7217</v>
      </c>
      <c r="H56" t="s">
        <v>753</v>
      </c>
      <c r="I56" t="s">
        <v>6067</v>
      </c>
      <c r="J56" t="s">
        <v>6838</v>
      </c>
      <c r="K56" t="s">
        <v>6839</v>
      </c>
      <c r="L56" s="4">
        <v>46118</v>
      </c>
      <c r="M56" t="s">
        <v>7604</v>
      </c>
      <c r="N56">
        <v>1.25</v>
      </c>
      <c r="O56">
        <v>3000000001826610</v>
      </c>
      <c r="P56" t="s">
        <v>6784</v>
      </c>
      <c r="Q56" t="s">
        <v>7213</v>
      </c>
      <c r="W56" t="str">
        <f>Tabla_Consulta_desde_Proyectos10[[#This Row],[PRYcodigo]]&amp;Tabla_Consulta_desde_Proyectos10[[#This Row],[PRYApath]]</f>
        <v>095-202-RDIG/0018/0004</v>
      </c>
      <c r="X56" t="str">
        <f>Tabla_Consulta_desde_Proyectos10[[#This Row],[PRYAcodigo]]&amp;" - "&amp;Tabla_Consulta_desde_Proyectos10[[#This Row],[PRYAdescripcion]]</f>
        <v>2 - ADMINISTRACIÓN Y MANTENIMIENTO DE INFRAESTRUCTURA</v>
      </c>
      <c r="Y56" t="str">
        <f>SUBSTITUTE(IFERROR(VLOOKUP(LEFT(Tabla_Consulta_desde_Proyectos10[[#This Row],[Nivel1]],LEN(Tabla_Consulta_desde_Proyectos10[[#This Row],[Nivel1]])-5),Tabla_Consulta_desde_Proyectos10[[#All],[Nivel1]:[Actividad]],2,FALSE),""),"_","-")</f>
        <v>500.1 - ACTIVIDADES DEL EQUIPO DE RELEASE MANAGMENT</v>
      </c>
      <c r="Z56" t="str">
        <f>IFERROR(VLOOKUP(Tabla_Consulta_desde_Proyectos10[[#This Row],[PRYRAfecha]],'Fechas Mes'!G:J,4,TRUE),"")</f>
        <v>Semana 48CIP2</v>
      </c>
      <c r="AA56" t="str" cm="1">
        <f t="array" ref="AA56">INDEX('Fechas Mes'!F:F,MATCH(Tabla_Consulta_desde_Proyectos10[[#This Row],[Semana]],'Fechas Mes'!J:J,0),)</f>
        <v>M12CIP2</v>
      </c>
      <c r="AB56">
        <f>YEAR(Tabla_Consulta_desde_Proyectos10[[#This Row],[PRYRAfecha]])</f>
        <v>2026</v>
      </c>
      <c r="AC56" t="str">
        <f>VLOOKUP(Tabla_Consulta_desde_Proyectos10[[#This Row],[PRYRAfecha]],'Fechas Mes'!G:J,4,TRUE)</f>
        <v>Semana 48CIP2</v>
      </c>
      <c r="AD56" t="str">
        <f>IFERROR(VLOOKUP(Tabla_Consulta_desde_Proyectos10[[#This Row],[PRYcodigo]],Catálogo!A:B,2,FALSE),"Otros")</f>
        <v>Otros</v>
      </c>
      <c r="AE56" t="str">
        <f>IF(LEN(Tabla_Consulta_desde_Proyectos10[[#This Row],[Semana]])&lt;13,"CI",RIGHT(Tabla_Consulta_desde_Proyectos10[[#This Row],[Semana]],4))</f>
        <v>CIP2</v>
      </c>
    </row>
    <row r="57" spans="1:31">
      <c r="A57" t="s">
        <v>4032</v>
      </c>
      <c r="B57" t="s">
        <v>6752</v>
      </c>
      <c r="C57" t="s">
        <v>6753</v>
      </c>
      <c r="D57" t="s">
        <v>7201</v>
      </c>
      <c r="E57" t="s">
        <v>7202</v>
      </c>
      <c r="F57">
        <v>1</v>
      </c>
      <c r="G57" t="s">
        <v>7217</v>
      </c>
      <c r="H57" t="s">
        <v>753</v>
      </c>
      <c r="I57" t="s">
        <v>6067</v>
      </c>
      <c r="J57" t="s">
        <v>6838</v>
      </c>
      <c r="K57" t="s">
        <v>6839</v>
      </c>
      <c r="L57" s="4">
        <v>46120</v>
      </c>
      <c r="M57" t="s">
        <v>7605</v>
      </c>
      <c r="N57">
        <v>0.5</v>
      </c>
      <c r="O57">
        <v>3000000001826559</v>
      </c>
      <c r="P57" t="s">
        <v>6784</v>
      </c>
      <c r="Q57" t="s">
        <v>7213</v>
      </c>
      <c r="W57" t="str">
        <f>Tabla_Consulta_desde_Proyectos10[[#This Row],[PRYcodigo]]&amp;Tabla_Consulta_desde_Proyectos10[[#This Row],[PRYApath]]</f>
        <v>095-202-RDIG/0018/0004</v>
      </c>
      <c r="X57" t="str">
        <f>Tabla_Consulta_desde_Proyectos10[[#This Row],[PRYAcodigo]]&amp;" - "&amp;Tabla_Consulta_desde_Proyectos10[[#This Row],[PRYAdescripcion]]</f>
        <v>2 - ADMINISTRACIÓN Y MANTENIMIENTO DE INFRAESTRUCTURA</v>
      </c>
      <c r="Y57" t="str">
        <f>SUBSTITUTE(IFERROR(VLOOKUP(LEFT(Tabla_Consulta_desde_Proyectos10[[#This Row],[Nivel1]],LEN(Tabla_Consulta_desde_Proyectos10[[#This Row],[Nivel1]])-5),Tabla_Consulta_desde_Proyectos10[[#All],[Nivel1]:[Actividad]],2,FALSE),""),"_","-")</f>
        <v>500.1 - ACTIVIDADES DEL EQUIPO DE RELEASE MANAGMENT</v>
      </c>
      <c r="Z57" t="str">
        <f>IFERROR(VLOOKUP(Tabla_Consulta_desde_Proyectos10[[#This Row],[PRYRAfecha]],'Fechas Mes'!G:J,4,TRUE),"")</f>
        <v>Semana 48CIP2</v>
      </c>
      <c r="AA57" t="str" cm="1">
        <f t="array" ref="AA57">INDEX('Fechas Mes'!F:F,MATCH(Tabla_Consulta_desde_Proyectos10[[#This Row],[Semana]],'Fechas Mes'!J:J,0),)</f>
        <v>M12CIP2</v>
      </c>
      <c r="AB57">
        <f>YEAR(Tabla_Consulta_desde_Proyectos10[[#This Row],[PRYRAfecha]])</f>
        <v>2026</v>
      </c>
      <c r="AC57" t="str">
        <f>VLOOKUP(Tabla_Consulta_desde_Proyectos10[[#This Row],[PRYRAfecha]],'Fechas Mes'!G:J,4,TRUE)</f>
        <v>Semana 48CIP2</v>
      </c>
      <c r="AD57" t="str">
        <f>IFERROR(VLOOKUP(Tabla_Consulta_desde_Proyectos10[[#This Row],[PRYcodigo]],Catálogo!A:B,2,FALSE),"Otros")</f>
        <v>Otros</v>
      </c>
      <c r="AE57" t="str">
        <f>IF(LEN(Tabla_Consulta_desde_Proyectos10[[#This Row],[Semana]])&lt;13,"CI",RIGHT(Tabla_Consulta_desde_Proyectos10[[#This Row],[Semana]],4))</f>
        <v>CIP2</v>
      </c>
    </row>
    <row r="58" spans="1:31">
      <c r="A58" t="s">
        <v>4032</v>
      </c>
      <c r="B58" t="s">
        <v>6752</v>
      </c>
      <c r="C58" t="s">
        <v>6753</v>
      </c>
      <c r="D58" t="s">
        <v>7201</v>
      </c>
      <c r="E58" t="s">
        <v>7202</v>
      </c>
      <c r="F58">
        <v>1</v>
      </c>
      <c r="G58" t="s">
        <v>7217</v>
      </c>
      <c r="H58" t="s">
        <v>753</v>
      </c>
      <c r="I58" t="s">
        <v>6067</v>
      </c>
      <c r="J58" t="s">
        <v>6838</v>
      </c>
      <c r="K58" t="s">
        <v>6839</v>
      </c>
      <c r="L58" s="4">
        <v>46121</v>
      </c>
      <c r="M58" t="s">
        <v>7606</v>
      </c>
      <c r="N58">
        <v>0.5</v>
      </c>
      <c r="O58">
        <v>3000000001826530</v>
      </c>
      <c r="P58" t="s">
        <v>6784</v>
      </c>
      <c r="Q58" t="s">
        <v>7213</v>
      </c>
      <c r="W58" t="str">
        <f>Tabla_Consulta_desde_Proyectos10[[#This Row],[PRYcodigo]]&amp;Tabla_Consulta_desde_Proyectos10[[#This Row],[PRYApath]]</f>
        <v>095-202-RDIG/0018/0004</v>
      </c>
      <c r="X58" t="str">
        <f>Tabla_Consulta_desde_Proyectos10[[#This Row],[PRYAcodigo]]&amp;" - "&amp;Tabla_Consulta_desde_Proyectos10[[#This Row],[PRYAdescripcion]]</f>
        <v>2 - ADMINISTRACIÓN Y MANTENIMIENTO DE INFRAESTRUCTURA</v>
      </c>
      <c r="Y58" t="str">
        <f>SUBSTITUTE(IFERROR(VLOOKUP(LEFT(Tabla_Consulta_desde_Proyectos10[[#This Row],[Nivel1]],LEN(Tabla_Consulta_desde_Proyectos10[[#This Row],[Nivel1]])-5),Tabla_Consulta_desde_Proyectos10[[#All],[Nivel1]:[Actividad]],2,FALSE),""),"_","-")</f>
        <v>500.1 - ACTIVIDADES DEL EQUIPO DE RELEASE MANAGMENT</v>
      </c>
      <c r="Z58" t="str">
        <f>IFERROR(VLOOKUP(Tabla_Consulta_desde_Proyectos10[[#This Row],[PRYRAfecha]],'Fechas Mes'!G:J,4,TRUE),"")</f>
        <v>Semana 48CIP2</v>
      </c>
      <c r="AA58" t="str" cm="1">
        <f t="array" ref="AA58">INDEX('Fechas Mes'!F:F,MATCH(Tabla_Consulta_desde_Proyectos10[[#This Row],[Semana]],'Fechas Mes'!J:J,0),)</f>
        <v>M12CIP2</v>
      </c>
      <c r="AB58">
        <f>YEAR(Tabla_Consulta_desde_Proyectos10[[#This Row],[PRYRAfecha]])</f>
        <v>2026</v>
      </c>
      <c r="AC58" t="str">
        <f>VLOOKUP(Tabla_Consulta_desde_Proyectos10[[#This Row],[PRYRAfecha]],'Fechas Mes'!G:J,4,TRUE)</f>
        <v>Semana 48CIP2</v>
      </c>
      <c r="AD58" t="str">
        <f>IFERROR(VLOOKUP(Tabla_Consulta_desde_Proyectos10[[#This Row],[PRYcodigo]],Catálogo!A:B,2,FALSE),"Otros")</f>
        <v>Otros</v>
      </c>
      <c r="AE58" t="str">
        <f>IF(LEN(Tabla_Consulta_desde_Proyectos10[[#This Row],[Semana]])&lt;13,"CI",RIGHT(Tabla_Consulta_desde_Proyectos10[[#This Row],[Semana]],4))</f>
        <v>CIP2</v>
      </c>
    </row>
    <row r="59" spans="1:31">
      <c r="A59" t="s">
        <v>4032</v>
      </c>
      <c r="B59" t="s">
        <v>6752</v>
      </c>
      <c r="C59" t="s">
        <v>6753</v>
      </c>
      <c r="D59" t="s">
        <v>7201</v>
      </c>
      <c r="E59" t="s">
        <v>7202</v>
      </c>
      <c r="F59">
        <v>1</v>
      </c>
      <c r="G59" t="s">
        <v>7217</v>
      </c>
      <c r="H59" t="s">
        <v>753</v>
      </c>
      <c r="I59" t="s">
        <v>6067</v>
      </c>
      <c r="J59" t="s">
        <v>6838</v>
      </c>
      <c r="K59" t="s">
        <v>6839</v>
      </c>
      <c r="L59" s="4">
        <v>46128</v>
      </c>
      <c r="M59" t="s">
        <v>7607</v>
      </c>
      <c r="N59">
        <v>0.25</v>
      </c>
      <c r="O59">
        <v>3000000001830113</v>
      </c>
      <c r="P59" t="s">
        <v>6784</v>
      </c>
      <c r="Q59" t="s">
        <v>7213</v>
      </c>
      <c r="W59" t="str">
        <f>Tabla_Consulta_desde_Proyectos10[[#This Row],[PRYcodigo]]&amp;Tabla_Consulta_desde_Proyectos10[[#This Row],[PRYApath]]</f>
        <v>095-202-RDIG/0018/0004</v>
      </c>
      <c r="X59" t="str">
        <f>Tabla_Consulta_desde_Proyectos10[[#This Row],[PRYAcodigo]]&amp;" - "&amp;Tabla_Consulta_desde_Proyectos10[[#This Row],[PRYAdescripcion]]</f>
        <v>2 - ADMINISTRACIÓN Y MANTENIMIENTO DE INFRAESTRUCTURA</v>
      </c>
      <c r="Y59" t="str">
        <f>SUBSTITUTE(IFERROR(VLOOKUP(LEFT(Tabla_Consulta_desde_Proyectos10[[#This Row],[Nivel1]],LEN(Tabla_Consulta_desde_Proyectos10[[#This Row],[Nivel1]])-5),Tabla_Consulta_desde_Proyectos10[[#All],[Nivel1]:[Actividad]],2,FALSE),""),"_","-")</f>
        <v>500.1 - ACTIVIDADES DEL EQUIPO DE RELEASE MANAGMENT</v>
      </c>
      <c r="Z59" t="str">
        <f>IFERROR(VLOOKUP(Tabla_Consulta_desde_Proyectos10[[#This Row],[PRYRAfecha]],'Fechas Mes'!G:J,4,TRUE),"")</f>
        <v>Semana 48CIP2</v>
      </c>
      <c r="AA59" t="str" cm="1">
        <f t="array" ref="AA59">INDEX('Fechas Mes'!F:F,MATCH(Tabla_Consulta_desde_Proyectos10[[#This Row],[Semana]],'Fechas Mes'!J:J,0),)</f>
        <v>M12CIP2</v>
      </c>
      <c r="AB59">
        <f>YEAR(Tabla_Consulta_desde_Proyectos10[[#This Row],[PRYRAfecha]])</f>
        <v>2026</v>
      </c>
      <c r="AC59" t="str">
        <f>VLOOKUP(Tabla_Consulta_desde_Proyectos10[[#This Row],[PRYRAfecha]],'Fechas Mes'!G:J,4,TRUE)</f>
        <v>Semana 48CIP2</v>
      </c>
      <c r="AD59" t="str">
        <f>IFERROR(VLOOKUP(Tabla_Consulta_desde_Proyectos10[[#This Row],[PRYcodigo]],Catálogo!A:B,2,FALSE),"Otros")</f>
        <v>Otros</v>
      </c>
      <c r="AE59" t="str">
        <f>IF(LEN(Tabla_Consulta_desde_Proyectos10[[#This Row],[Semana]])&lt;13,"CI",RIGHT(Tabla_Consulta_desde_Proyectos10[[#This Row],[Semana]],4))</f>
        <v>CIP2</v>
      </c>
    </row>
    <row r="60" spans="1:31">
      <c r="A60" t="s">
        <v>4032</v>
      </c>
      <c r="B60" t="s">
        <v>6752</v>
      </c>
      <c r="C60" t="s">
        <v>6753</v>
      </c>
      <c r="D60" t="s">
        <v>7201</v>
      </c>
      <c r="E60" t="s">
        <v>7202</v>
      </c>
      <c r="F60">
        <v>1</v>
      </c>
      <c r="G60" t="s">
        <v>7217</v>
      </c>
      <c r="H60" t="s">
        <v>753</v>
      </c>
      <c r="I60" t="s">
        <v>6067</v>
      </c>
      <c r="J60" t="s">
        <v>6838</v>
      </c>
      <c r="K60" t="s">
        <v>6839</v>
      </c>
      <c r="L60" s="4">
        <v>46132</v>
      </c>
      <c r="M60" t="s">
        <v>7608</v>
      </c>
      <c r="N60">
        <v>1.25</v>
      </c>
      <c r="O60">
        <v>3000000001834066</v>
      </c>
      <c r="P60" t="s">
        <v>6784</v>
      </c>
      <c r="Q60" t="s">
        <v>7213</v>
      </c>
      <c r="W60" t="str">
        <f>Tabla_Consulta_desde_Proyectos10[[#This Row],[PRYcodigo]]&amp;Tabla_Consulta_desde_Proyectos10[[#This Row],[PRYApath]]</f>
        <v>095-202-RDIG/0018/0004</v>
      </c>
      <c r="X60" t="str">
        <f>Tabla_Consulta_desde_Proyectos10[[#This Row],[PRYAcodigo]]&amp;" - "&amp;Tabla_Consulta_desde_Proyectos10[[#This Row],[PRYAdescripcion]]</f>
        <v>2 - ADMINISTRACIÓN Y MANTENIMIENTO DE INFRAESTRUCTURA</v>
      </c>
      <c r="Y60" t="str">
        <f>SUBSTITUTE(IFERROR(VLOOKUP(LEFT(Tabla_Consulta_desde_Proyectos10[[#This Row],[Nivel1]],LEN(Tabla_Consulta_desde_Proyectos10[[#This Row],[Nivel1]])-5),Tabla_Consulta_desde_Proyectos10[[#All],[Nivel1]:[Actividad]],2,FALSE),""),"_","-")</f>
        <v>500.1 - ACTIVIDADES DEL EQUIPO DE RELEASE MANAGMENT</v>
      </c>
      <c r="Z60" t="str">
        <f>IFERROR(VLOOKUP(Tabla_Consulta_desde_Proyectos10[[#This Row],[PRYRAfecha]],'Fechas Mes'!G:J,4,TRUE),"")</f>
        <v>Semana 48CIP2</v>
      </c>
      <c r="AA60" t="str" cm="1">
        <f t="array" ref="AA60">INDEX('Fechas Mes'!F:F,MATCH(Tabla_Consulta_desde_Proyectos10[[#This Row],[Semana]],'Fechas Mes'!J:J,0),)</f>
        <v>M12CIP2</v>
      </c>
      <c r="AB60">
        <f>YEAR(Tabla_Consulta_desde_Proyectos10[[#This Row],[PRYRAfecha]])</f>
        <v>2026</v>
      </c>
      <c r="AC60" t="str">
        <f>VLOOKUP(Tabla_Consulta_desde_Proyectos10[[#This Row],[PRYRAfecha]],'Fechas Mes'!G:J,4,TRUE)</f>
        <v>Semana 48CIP2</v>
      </c>
      <c r="AD60" t="str">
        <f>IFERROR(VLOOKUP(Tabla_Consulta_desde_Proyectos10[[#This Row],[PRYcodigo]],Catálogo!A:B,2,FALSE),"Otros")</f>
        <v>Otros</v>
      </c>
      <c r="AE60" t="str">
        <f>IF(LEN(Tabla_Consulta_desde_Proyectos10[[#This Row],[Semana]])&lt;13,"CI",RIGHT(Tabla_Consulta_desde_Proyectos10[[#This Row],[Semana]],4))</f>
        <v>CIP2</v>
      </c>
    </row>
    <row r="61" spans="1:31">
      <c r="A61" t="s">
        <v>4032</v>
      </c>
      <c r="B61" t="s">
        <v>6752</v>
      </c>
      <c r="C61" t="s">
        <v>6753</v>
      </c>
      <c r="D61" t="s">
        <v>7201</v>
      </c>
      <c r="E61" t="s">
        <v>7202</v>
      </c>
      <c r="F61">
        <v>1</v>
      </c>
      <c r="G61" t="s">
        <v>7217</v>
      </c>
      <c r="H61" t="s">
        <v>753</v>
      </c>
      <c r="I61" t="s">
        <v>6067</v>
      </c>
      <c r="J61" t="s">
        <v>7241</v>
      </c>
      <c r="K61" t="s">
        <v>7242</v>
      </c>
      <c r="L61" s="4">
        <v>46125</v>
      </c>
      <c r="M61" t="s">
        <v>7609</v>
      </c>
      <c r="N61">
        <v>3.5</v>
      </c>
      <c r="O61">
        <v>3000000001828679</v>
      </c>
      <c r="P61" t="s">
        <v>6784</v>
      </c>
      <c r="Q61" t="s">
        <v>7222</v>
      </c>
      <c r="W61" t="str">
        <f>Tabla_Consulta_desde_Proyectos10[[#This Row],[PRYcodigo]]&amp;Tabla_Consulta_desde_Proyectos10[[#This Row],[PRYApath]]</f>
        <v>095-202-RDIG/0018/0004</v>
      </c>
      <c r="X61" t="str">
        <f>Tabla_Consulta_desde_Proyectos10[[#This Row],[PRYAcodigo]]&amp;" - "&amp;Tabla_Consulta_desde_Proyectos10[[#This Row],[PRYAdescripcion]]</f>
        <v>2 - ADMINISTRACIÓN Y MANTENIMIENTO DE INFRAESTRUCTURA</v>
      </c>
      <c r="Y61" t="str">
        <f>SUBSTITUTE(IFERROR(VLOOKUP(LEFT(Tabla_Consulta_desde_Proyectos10[[#This Row],[Nivel1]],LEN(Tabla_Consulta_desde_Proyectos10[[#This Row],[Nivel1]])-5),Tabla_Consulta_desde_Proyectos10[[#All],[Nivel1]:[Actividad]],2,FALSE),""),"_","-")</f>
        <v>500.1 - ACTIVIDADES DEL EQUIPO DE RELEASE MANAGMENT</v>
      </c>
      <c r="Z61" t="str">
        <f>IFERROR(VLOOKUP(Tabla_Consulta_desde_Proyectos10[[#This Row],[PRYRAfecha]],'Fechas Mes'!G:J,4,TRUE),"")</f>
        <v>Semana 48CIP2</v>
      </c>
      <c r="AA61" t="str" cm="1">
        <f t="array" ref="AA61">INDEX('Fechas Mes'!F:F,MATCH(Tabla_Consulta_desde_Proyectos10[[#This Row],[Semana]],'Fechas Mes'!J:J,0),)</f>
        <v>M12CIP2</v>
      </c>
      <c r="AB61">
        <f>YEAR(Tabla_Consulta_desde_Proyectos10[[#This Row],[PRYRAfecha]])</f>
        <v>2026</v>
      </c>
      <c r="AC61" t="str">
        <f>VLOOKUP(Tabla_Consulta_desde_Proyectos10[[#This Row],[PRYRAfecha]],'Fechas Mes'!G:J,4,TRUE)</f>
        <v>Semana 48CIP2</v>
      </c>
      <c r="AD61" t="str">
        <f>IFERROR(VLOOKUP(Tabla_Consulta_desde_Proyectos10[[#This Row],[PRYcodigo]],Catálogo!A:B,2,FALSE),"Otros")</f>
        <v>Otros</v>
      </c>
      <c r="AE61" t="str">
        <f>IF(LEN(Tabla_Consulta_desde_Proyectos10[[#This Row],[Semana]])&lt;13,"CI",RIGHT(Tabla_Consulta_desde_Proyectos10[[#This Row],[Semana]],4))</f>
        <v>CIP2</v>
      </c>
    </row>
    <row r="62" spans="1:31">
      <c r="A62" t="s">
        <v>4032</v>
      </c>
      <c r="B62" t="s">
        <v>6752</v>
      </c>
      <c r="C62" t="s">
        <v>6753</v>
      </c>
      <c r="D62" t="s">
        <v>7201</v>
      </c>
      <c r="E62" t="s">
        <v>7202</v>
      </c>
      <c r="F62">
        <v>1</v>
      </c>
      <c r="G62" t="s">
        <v>7217</v>
      </c>
      <c r="H62" t="s">
        <v>753</v>
      </c>
      <c r="I62" t="s">
        <v>6067</v>
      </c>
      <c r="J62" t="s">
        <v>7241</v>
      </c>
      <c r="K62" t="s">
        <v>7242</v>
      </c>
      <c r="L62" s="4">
        <v>46128</v>
      </c>
      <c r="M62" t="s">
        <v>7610</v>
      </c>
      <c r="N62">
        <v>2</v>
      </c>
      <c r="O62">
        <v>3000000001828710</v>
      </c>
      <c r="P62" t="s">
        <v>6784</v>
      </c>
      <c r="Q62" t="s">
        <v>7222</v>
      </c>
      <c r="W62" t="str">
        <f>Tabla_Consulta_desde_Proyectos10[[#This Row],[PRYcodigo]]&amp;Tabla_Consulta_desde_Proyectos10[[#This Row],[PRYApath]]</f>
        <v>095-202-RDIG/0018/0004</v>
      </c>
      <c r="X62" t="str">
        <f>Tabla_Consulta_desde_Proyectos10[[#This Row],[PRYAcodigo]]&amp;" - "&amp;Tabla_Consulta_desde_Proyectos10[[#This Row],[PRYAdescripcion]]</f>
        <v>2 - ADMINISTRACIÓN Y MANTENIMIENTO DE INFRAESTRUCTURA</v>
      </c>
      <c r="Y62" t="str">
        <f>SUBSTITUTE(IFERROR(VLOOKUP(LEFT(Tabla_Consulta_desde_Proyectos10[[#This Row],[Nivel1]],LEN(Tabla_Consulta_desde_Proyectos10[[#This Row],[Nivel1]])-5),Tabla_Consulta_desde_Proyectos10[[#All],[Nivel1]:[Actividad]],2,FALSE),""),"_","-")</f>
        <v>500.1 - ACTIVIDADES DEL EQUIPO DE RELEASE MANAGMENT</v>
      </c>
      <c r="Z62" t="str">
        <f>IFERROR(VLOOKUP(Tabla_Consulta_desde_Proyectos10[[#This Row],[PRYRAfecha]],'Fechas Mes'!G:J,4,TRUE),"")</f>
        <v>Semana 48CIP2</v>
      </c>
      <c r="AA62" t="str" cm="1">
        <f t="array" ref="AA62">INDEX('Fechas Mes'!F:F,MATCH(Tabla_Consulta_desde_Proyectos10[[#This Row],[Semana]],'Fechas Mes'!J:J,0),)</f>
        <v>M12CIP2</v>
      </c>
      <c r="AB62">
        <f>YEAR(Tabla_Consulta_desde_Proyectos10[[#This Row],[PRYRAfecha]])</f>
        <v>2026</v>
      </c>
      <c r="AC62" t="str">
        <f>VLOOKUP(Tabla_Consulta_desde_Proyectos10[[#This Row],[PRYRAfecha]],'Fechas Mes'!G:J,4,TRUE)</f>
        <v>Semana 48CIP2</v>
      </c>
      <c r="AD62" t="str">
        <f>IFERROR(VLOOKUP(Tabla_Consulta_desde_Proyectos10[[#This Row],[PRYcodigo]],Catálogo!A:B,2,FALSE),"Otros")</f>
        <v>Otros</v>
      </c>
      <c r="AE62" t="str">
        <f>IF(LEN(Tabla_Consulta_desde_Proyectos10[[#This Row],[Semana]])&lt;13,"CI",RIGHT(Tabla_Consulta_desde_Proyectos10[[#This Row],[Semana]],4))</f>
        <v>CIP2</v>
      </c>
    </row>
    <row r="63" spans="1:31">
      <c r="A63" t="s">
        <v>4032</v>
      </c>
      <c r="B63" t="s">
        <v>6752</v>
      </c>
      <c r="C63" t="s">
        <v>6753</v>
      </c>
      <c r="D63" t="s">
        <v>7201</v>
      </c>
      <c r="E63" t="s">
        <v>7202</v>
      </c>
      <c r="F63">
        <v>1</v>
      </c>
      <c r="G63" t="s">
        <v>7217</v>
      </c>
      <c r="H63" t="s">
        <v>753</v>
      </c>
      <c r="I63" t="s">
        <v>6067</v>
      </c>
      <c r="J63" t="s">
        <v>7241</v>
      </c>
      <c r="K63" t="s">
        <v>7242</v>
      </c>
      <c r="L63" s="4">
        <v>46128</v>
      </c>
      <c r="M63" t="s">
        <v>7611</v>
      </c>
      <c r="N63">
        <v>1</v>
      </c>
      <c r="O63">
        <v>3000000001828718</v>
      </c>
      <c r="P63" t="s">
        <v>6784</v>
      </c>
      <c r="Q63" t="s">
        <v>7222</v>
      </c>
      <c r="W63" t="str">
        <f>Tabla_Consulta_desde_Proyectos10[[#This Row],[PRYcodigo]]&amp;Tabla_Consulta_desde_Proyectos10[[#This Row],[PRYApath]]</f>
        <v>095-202-RDIG/0018/0004</v>
      </c>
      <c r="X63" t="str">
        <f>Tabla_Consulta_desde_Proyectos10[[#This Row],[PRYAcodigo]]&amp;" - "&amp;Tabla_Consulta_desde_Proyectos10[[#This Row],[PRYAdescripcion]]</f>
        <v>2 - ADMINISTRACIÓN Y MANTENIMIENTO DE INFRAESTRUCTURA</v>
      </c>
      <c r="Y63" t="str">
        <f>SUBSTITUTE(IFERROR(VLOOKUP(LEFT(Tabla_Consulta_desde_Proyectos10[[#This Row],[Nivel1]],LEN(Tabla_Consulta_desde_Proyectos10[[#This Row],[Nivel1]])-5),Tabla_Consulta_desde_Proyectos10[[#All],[Nivel1]:[Actividad]],2,FALSE),""),"_","-")</f>
        <v>500.1 - ACTIVIDADES DEL EQUIPO DE RELEASE MANAGMENT</v>
      </c>
      <c r="Z63" t="str">
        <f>IFERROR(VLOOKUP(Tabla_Consulta_desde_Proyectos10[[#This Row],[PRYRAfecha]],'Fechas Mes'!G:J,4,TRUE),"")</f>
        <v>Semana 48CIP2</v>
      </c>
      <c r="AA63" t="str" cm="1">
        <f t="array" ref="AA63">INDEX('Fechas Mes'!F:F,MATCH(Tabla_Consulta_desde_Proyectos10[[#This Row],[Semana]],'Fechas Mes'!J:J,0),)</f>
        <v>M12CIP2</v>
      </c>
      <c r="AB63">
        <f>YEAR(Tabla_Consulta_desde_Proyectos10[[#This Row],[PRYRAfecha]])</f>
        <v>2026</v>
      </c>
      <c r="AC63" t="str">
        <f>VLOOKUP(Tabla_Consulta_desde_Proyectos10[[#This Row],[PRYRAfecha]],'Fechas Mes'!G:J,4,TRUE)</f>
        <v>Semana 48CIP2</v>
      </c>
      <c r="AD63" t="str">
        <f>IFERROR(VLOOKUP(Tabla_Consulta_desde_Proyectos10[[#This Row],[PRYcodigo]],Catálogo!A:B,2,FALSE),"Otros")</f>
        <v>Otros</v>
      </c>
      <c r="AE63" t="str">
        <f>IF(LEN(Tabla_Consulta_desde_Proyectos10[[#This Row],[Semana]])&lt;13,"CI",RIGHT(Tabla_Consulta_desde_Proyectos10[[#This Row],[Semana]],4))</f>
        <v>CIP2</v>
      </c>
    </row>
    <row r="64" spans="1:31">
      <c r="A64" t="s">
        <v>4032</v>
      </c>
      <c r="B64" t="s">
        <v>6752</v>
      </c>
      <c r="C64" t="s">
        <v>6753</v>
      </c>
      <c r="D64" t="s">
        <v>7201</v>
      </c>
      <c r="E64" t="s">
        <v>7202</v>
      </c>
      <c r="F64">
        <v>1</v>
      </c>
      <c r="G64" t="s">
        <v>7217</v>
      </c>
      <c r="H64" t="s">
        <v>753</v>
      </c>
      <c r="I64" t="s">
        <v>6067</v>
      </c>
      <c r="J64" t="s">
        <v>7241</v>
      </c>
      <c r="K64" t="s">
        <v>7242</v>
      </c>
      <c r="L64" s="4">
        <v>46136</v>
      </c>
      <c r="M64" t="s">
        <v>7612</v>
      </c>
      <c r="N64">
        <v>0.5</v>
      </c>
      <c r="O64">
        <v>3000000001832349</v>
      </c>
      <c r="P64" t="s">
        <v>6784</v>
      </c>
      <c r="Q64" t="s">
        <v>7222</v>
      </c>
      <c r="W64" t="str">
        <f>Tabla_Consulta_desde_Proyectos10[[#This Row],[PRYcodigo]]&amp;Tabla_Consulta_desde_Proyectos10[[#This Row],[PRYApath]]</f>
        <v>095-202-RDIG/0018/0004</v>
      </c>
      <c r="X64" t="str">
        <f>Tabla_Consulta_desde_Proyectos10[[#This Row],[PRYAcodigo]]&amp;" - "&amp;Tabla_Consulta_desde_Proyectos10[[#This Row],[PRYAdescripcion]]</f>
        <v>2 - ADMINISTRACIÓN Y MANTENIMIENTO DE INFRAESTRUCTURA</v>
      </c>
      <c r="Y64" t="str">
        <f>SUBSTITUTE(IFERROR(VLOOKUP(LEFT(Tabla_Consulta_desde_Proyectos10[[#This Row],[Nivel1]],LEN(Tabla_Consulta_desde_Proyectos10[[#This Row],[Nivel1]])-5),Tabla_Consulta_desde_Proyectos10[[#All],[Nivel1]:[Actividad]],2,FALSE),""),"_","-")</f>
        <v>500.1 - ACTIVIDADES DEL EQUIPO DE RELEASE MANAGMENT</v>
      </c>
      <c r="Z64" t="str">
        <f>IFERROR(VLOOKUP(Tabla_Consulta_desde_Proyectos10[[#This Row],[PRYRAfecha]],'Fechas Mes'!G:J,4,TRUE),"")</f>
        <v>Semana 48CIP2</v>
      </c>
      <c r="AA64" t="str" cm="1">
        <f t="array" ref="AA64">INDEX('Fechas Mes'!F:F,MATCH(Tabla_Consulta_desde_Proyectos10[[#This Row],[Semana]],'Fechas Mes'!J:J,0),)</f>
        <v>M12CIP2</v>
      </c>
      <c r="AB64">
        <f>YEAR(Tabla_Consulta_desde_Proyectos10[[#This Row],[PRYRAfecha]])</f>
        <v>2026</v>
      </c>
      <c r="AC64" t="str">
        <f>VLOOKUP(Tabla_Consulta_desde_Proyectos10[[#This Row],[PRYRAfecha]],'Fechas Mes'!G:J,4,TRUE)</f>
        <v>Semana 48CIP2</v>
      </c>
      <c r="AD64" t="str">
        <f>IFERROR(VLOOKUP(Tabla_Consulta_desde_Proyectos10[[#This Row],[PRYcodigo]],Catálogo!A:B,2,FALSE),"Otros")</f>
        <v>Otros</v>
      </c>
      <c r="AE64" t="str">
        <f>IF(LEN(Tabla_Consulta_desde_Proyectos10[[#This Row],[Semana]])&lt;13,"CI",RIGHT(Tabla_Consulta_desde_Proyectos10[[#This Row],[Semana]],4))</f>
        <v>CIP2</v>
      </c>
    </row>
    <row r="65" spans="1:31">
      <c r="A65" t="s">
        <v>4032</v>
      </c>
      <c r="B65" t="s">
        <v>6752</v>
      </c>
      <c r="C65" t="s">
        <v>6753</v>
      </c>
      <c r="D65" t="s">
        <v>7201</v>
      </c>
      <c r="E65" t="s">
        <v>7202</v>
      </c>
      <c r="F65">
        <v>1</v>
      </c>
      <c r="G65" t="s">
        <v>7217</v>
      </c>
      <c r="H65" t="s">
        <v>5028</v>
      </c>
      <c r="I65" t="s">
        <v>5029</v>
      </c>
      <c r="J65" t="s">
        <v>5051</v>
      </c>
      <c r="K65" t="s">
        <v>5052</v>
      </c>
      <c r="L65" s="4">
        <v>46121</v>
      </c>
      <c r="M65" t="s">
        <v>7613</v>
      </c>
      <c r="N65">
        <v>0.25</v>
      </c>
      <c r="O65">
        <v>3000000001824407</v>
      </c>
      <c r="P65" t="s">
        <v>6784</v>
      </c>
      <c r="Q65" t="s">
        <v>7197</v>
      </c>
      <c r="W65" t="str">
        <f>Tabla_Consulta_desde_Proyectos10[[#This Row],[PRYcodigo]]&amp;Tabla_Consulta_desde_Proyectos10[[#This Row],[PRYApath]]</f>
        <v>095-202-RDIG/0018/0004</v>
      </c>
      <c r="X65" t="str">
        <f>Tabla_Consulta_desde_Proyectos10[[#This Row],[PRYAcodigo]]&amp;" - "&amp;Tabla_Consulta_desde_Proyectos10[[#This Row],[PRYAdescripcion]]</f>
        <v>2 - ADMINISTRACIÓN Y MANTENIMIENTO DE INFRAESTRUCTURA</v>
      </c>
      <c r="Y65" t="str">
        <f>SUBSTITUTE(IFERROR(VLOOKUP(LEFT(Tabla_Consulta_desde_Proyectos10[[#This Row],[Nivel1]],LEN(Tabla_Consulta_desde_Proyectos10[[#This Row],[Nivel1]])-5),Tabla_Consulta_desde_Proyectos10[[#All],[Nivel1]:[Actividad]],2,FALSE),""),"_","-")</f>
        <v>500.1 - ACTIVIDADES DEL EQUIPO DE RELEASE MANAGMENT</v>
      </c>
      <c r="Z65" t="str">
        <f>IFERROR(VLOOKUP(Tabla_Consulta_desde_Proyectos10[[#This Row],[PRYRAfecha]],'Fechas Mes'!G:J,4,TRUE),"")</f>
        <v>Semana 48CIP2</v>
      </c>
      <c r="AA65" t="str" cm="1">
        <f t="array" ref="AA65">INDEX('Fechas Mes'!F:F,MATCH(Tabla_Consulta_desde_Proyectos10[[#This Row],[Semana]],'Fechas Mes'!J:J,0),)</f>
        <v>M12CIP2</v>
      </c>
      <c r="AB65">
        <f>YEAR(Tabla_Consulta_desde_Proyectos10[[#This Row],[PRYRAfecha]])</f>
        <v>2026</v>
      </c>
      <c r="AC65" t="str">
        <f>VLOOKUP(Tabla_Consulta_desde_Proyectos10[[#This Row],[PRYRAfecha]],'Fechas Mes'!G:J,4,TRUE)</f>
        <v>Semana 48CIP2</v>
      </c>
      <c r="AD65" t="str">
        <f>IFERROR(VLOOKUP(Tabla_Consulta_desde_Proyectos10[[#This Row],[PRYcodigo]],Catálogo!A:B,2,FALSE),"Otros")</f>
        <v>Otros</v>
      </c>
      <c r="AE65" t="str">
        <f>IF(LEN(Tabla_Consulta_desde_Proyectos10[[#This Row],[Semana]])&lt;13,"CI",RIGHT(Tabla_Consulta_desde_Proyectos10[[#This Row],[Semana]],4))</f>
        <v>CIP2</v>
      </c>
    </row>
    <row r="66" spans="1:31">
      <c r="A66" t="s">
        <v>4032</v>
      </c>
      <c r="B66" t="s">
        <v>6752</v>
      </c>
      <c r="C66" t="s">
        <v>6753</v>
      </c>
      <c r="D66" t="s">
        <v>7201</v>
      </c>
      <c r="E66" t="s">
        <v>7202</v>
      </c>
      <c r="F66">
        <v>1</v>
      </c>
      <c r="G66" t="s">
        <v>7217</v>
      </c>
      <c r="H66" t="s">
        <v>5028</v>
      </c>
      <c r="I66" t="s">
        <v>5029</v>
      </c>
      <c r="J66" t="s">
        <v>5051</v>
      </c>
      <c r="K66" t="s">
        <v>5052</v>
      </c>
      <c r="L66" s="4">
        <v>46140</v>
      </c>
      <c r="M66" t="s">
        <v>7614</v>
      </c>
      <c r="N66">
        <v>0.5</v>
      </c>
      <c r="O66">
        <v>3000000001835008</v>
      </c>
      <c r="P66" t="s">
        <v>6784</v>
      </c>
      <c r="Q66" t="s">
        <v>7197</v>
      </c>
      <c r="W66" t="str">
        <f>Tabla_Consulta_desde_Proyectos10[[#This Row],[PRYcodigo]]&amp;Tabla_Consulta_desde_Proyectos10[[#This Row],[PRYApath]]</f>
        <v>095-202-RDIG/0018/0004</v>
      </c>
      <c r="X66" t="str">
        <f>Tabla_Consulta_desde_Proyectos10[[#This Row],[PRYAcodigo]]&amp;" - "&amp;Tabla_Consulta_desde_Proyectos10[[#This Row],[PRYAdescripcion]]</f>
        <v>2 - ADMINISTRACIÓN Y MANTENIMIENTO DE INFRAESTRUCTURA</v>
      </c>
      <c r="Y66" t="str">
        <f>SUBSTITUTE(IFERROR(VLOOKUP(LEFT(Tabla_Consulta_desde_Proyectos10[[#This Row],[Nivel1]],LEN(Tabla_Consulta_desde_Proyectos10[[#This Row],[Nivel1]])-5),Tabla_Consulta_desde_Proyectos10[[#All],[Nivel1]:[Actividad]],2,FALSE),""),"_","-")</f>
        <v>500.1 - ACTIVIDADES DEL EQUIPO DE RELEASE MANAGMENT</v>
      </c>
      <c r="Z66" t="str">
        <f>IFERROR(VLOOKUP(Tabla_Consulta_desde_Proyectos10[[#This Row],[PRYRAfecha]],'Fechas Mes'!G:J,4,TRUE),"")</f>
        <v>Semana 48CIP2</v>
      </c>
      <c r="AA66" t="str" cm="1">
        <f t="array" ref="AA66">INDEX('Fechas Mes'!F:F,MATCH(Tabla_Consulta_desde_Proyectos10[[#This Row],[Semana]],'Fechas Mes'!J:J,0),)</f>
        <v>M12CIP2</v>
      </c>
      <c r="AB66">
        <f>YEAR(Tabla_Consulta_desde_Proyectos10[[#This Row],[PRYRAfecha]])</f>
        <v>2026</v>
      </c>
      <c r="AC66" t="str">
        <f>VLOOKUP(Tabla_Consulta_desde_Proyectos10[[#This Row],[PRYRAfecha]],'Fechas Mes'!G:J,4,TRUE)</f>
        <v>Semana 48CIP2</v>
      </c>
      <c r="AD66" t="str">
        <f>IFERROR(VLOOKUP(Tabla_Consulta_desde_Proyectos10[[#This Row],[PRYcodigo]],Catálogo!A:B,2,FALSE),"Otros")</f>
        <v>Otros</v>
      </c>
      <c r="AE66" t="str">
        <f>IF(LEN(Tabla_Consulta_desde_Proyectos10[[#This Row],[Semana]])&lt;13,"CI",RIGHT(Tabla_Consulta_desde_Proyectos10[[#This Row],[Semana]],4))</f>
        <v>CIP2</v>
      </c>
    </row>
    <row r="67" spans="1:31">
      <c r="A67" t="s">
        <v>4032</v>
      </c>
      <c r="B67" t="s">
        <v>6752</v>
      </c>
      <c r="C67" t="s">
        <v>6753</v>
      </c>
      <c r="D67" t="s">
        <v>7207</v>
      </c>
      <c r="E67" t="s">
        <v>7237</v>
      </c>
      <c r="F67">
        <v>1</v>
      </c>
      <c r="G67" t="s">
        <v>7546</v>
      </c>
      <c r="H67" t="s">
        <v>646</v>
      </c>
      <c r="I67" t="s">
        <v>647</v>
      </c>
      <c r="J67" t="s">
        <v>1981</v>
      </c>
      <c r="K67" t="s">
        <v>1982</v>
      </c>
      <c r="L67" s="4">
        <v>46126</v>
      </c>
      <c r="M67" t="s">
        <v>7615</v>
      </c>
      <c r="N67">
        <v>0.5</v>
      </c>
      <c r="O67">
        <v>3000000001827318</v>
      </c>
      <c r="P67" t="s">
        <v>6786</v>
      </c>
      <c r="Q67" t="s">
        <v>7589</v>
      </c>
      <c r="W67" t="str">
        <f>Tabla_Consulta_desde_Proyectos10[[#This Row],[PRYcodigo]]&amp;Tabla_Consulta_desde_Proyectos10[[#This Row],[PRYApath]]</f>
        <v>095-202-RDIG/0018/0006</v>
      </c>
      <c r="X67" t="str">
        <f>Tabla_Consulta_desde_Proyectos10[[#This Row],[PRYAcodigo]]&amp;" - "&amp;Tabla_Consulta_desde_Proyectos10[[#This Row],[PRYAdescripcion]]</f>
        <v>3 - GESTIÓN DE BASES DE DATOS</v>
      </c>
      <c r="Y67" t="str">
        <f>SUBSTITUTE(IFERROR(VLOOKUP(LEFT(Tabla_Consulta_desde_Proyectos10[[#This Row],[Nivel1]],LEN(Tabla_Consulta_desde_Proyectos10[[#This Row],[Nivel1]])-5),Tabla_Consulta_desde_Proyectos10[[#All],[Nivel1]:[Actividad]],2,FALSE),""),"_","-")</f>
        <v>500.1 - ACTIVIDADES DEL EQUIPO DE RELEASE MANAGMENT</v>
      </c>
      <c r="Z67" t="str">
        <f>IFERROR(VLOOKUP(Tabla_Consulta_desde_Proyectos10[[#This Row],[PRYRAfecha]],'Fechas Mes'!G:J,4,TRUE),"")</f>
        <v>Semana 48CIP2</v>
      </c>
      <c r="AA67" t="str" cm="1">
        <f t="array" ref="AA67">INDEX('Fechas Mes'!F:F,MATCH(Tabla_Consulta_desde_Proyectos10[[#This Row],[Semana]],'Fechas Mes'!J:J,0),)</f>
        <v>M12CIP2</v>
      </c>
      <c r="AB67">
        <f>YEAR(Tabla_Consulta_desde_Proyectos10[[#This Row],[PRYRAfecha]])</f>
        <v>2026</v>
      </c>
      <c r="AC67" t="str">
        <f>VLOOKUP(Tabla_Consulta_desde_Proyectos10[[#This Row],[PRYRAfecha]],'Fechas Mes'!G:J,4,TRUE)</f>
        <v>Semana 48CIP2</v>
      </c>
      <c r="AD67" t="str">
        <f>IFERROR(VLOOKUP(Tabla_Consulta_desde_Proyectos10[[#This Row],[PRYcodigo]],Catálogo!A:B,2,FALSE),"Otros")</f>
        <v>Otros</v>
      </c>
      <c r="AE67" t="str">
        <f>IF(LEN(Tabla_Consulta_desde_Proyectos10[[#This Row],[Semana]])&lt;13,"CI",RIGHT(Tabla_Consulta_desde_Proyectos10[[#This Row],[Semana]],4))</f>
        <v>CIP2</v>
      </c>
    </row>
    <row r="68" spans="1:31">
      <c r="A68" t="s">
        <v>4032</v>
      </c>
      <c r="B68" t="s">
        <v>6752</v>
      </c>
      <c r="C68" t="s">
        <v>6753</v>
      </c>
      <c r="D68" t="s">
        <v>7208</v>
      </c>
      <c r="E68" t="s">
        <v>7243</v>
      </c>
      <c r="F68">
        <v>1</v>
      </c>
      <c r="G68" t="s">
        <v>7616</v>
      </c>
      <c r="H68" t="s">
        <v>5028</v>
      </c>
      <c r="I68" t="s">
        <v>5029</v>
      </c>
      <c r="J68" t="s">
        <v>5051</v>
      </c>
      <c r="K68" t="s">
        <v>5052</v>
      </c>
      <c r="L68" s="4">
        <v>46118</v>
      </c>
      <c r="M68" t="s">
        <v>7617</v>
      </c>
      <c r="N68">
        <v>0.5</v>
      </c>
      <c r="O68">
        <v>3000000001823338</v>
      </c>
      <c r="P68" t="s">
        <v>6788</v>
      </c>
      <c r="Q68" t="s">
        <v>7552</v>
      </c>
      <c r="W68" t="str">
        <f>Tabla_Consulta_desde_Proyectos10[[#This Row],[PRYcodigo]]&amp;Tabla_Consulta_desde_Proyectos10[[#This Row],[PRYApath]]</f>
        <v>095-202-RDIG/0018/0008</v>
      </c>
      <c r="X68" t="str">
        <f>Tabla_Consulta_desde_Proyectos10[[#This Row],[PRYAcodigo]]&amp;" - "&amp;Tabla_Consulta_desde_Proyectos10[[#This Row],[PRYAdescripcion]]</f>
        <v>4 - SEGURIDAD</v>
      </c>
      <c r="Y68" t="str">
        <f>SUBSTITUTE(IFERROR(VLOOKUP(LEFT(Tabla_Consulta_desde_Proyectos10[[#This Row],[Nivel1]],LEN(Tabla_Consulta_desde_Proyectos10[[#This Row],[Nivel1]])-5),Tabla_Consulta_desde_Proyectos10[[#All],[Nivel1]:[Actividad]],2,FALSE),""),"_","-")</f>
        <v>500.1 - ACTIVIDADES DEL EQUIPO DE RELEASE MANAGMENT</v>
      </c>
      <c r="Z68" t="str">
        <f>IFERROR(VLOOKUP(Tabla_Consulta_desde_Proyectos10[[#This Row],[PRYRAfecha]],'Fechas Mes'!G:J,4,TRUE),"")</f>
        <v>Semana 48CIP2</v>
      </c>
      <c r="AA68" t="str" cm="1">
        <f t="array" ref="AA68">INDEX('Fechas Mes'!F:F,MATCH(Tabla_Consulta_desde_Proyectos10[[#This Row],[Semana]],'Fechas Mes'!J:J,0),)</f>
        <v>M12CIP2</v>
      </c>
      <c r="AB68">
        <f>YEAR(Tabla_Consulta_desde_Proyectos10[[#This Row],[PRYRAfecha]])</f>
        <v>2026</v>
      </c>
      <c r="AC68" t="str">
        <f>VLOOKUP(Tabla_Consulta_desde_Proyectos10[[#This Row],[PRYRAfecha]],'Fechas Mes'!G:J,4,TRUE)</f>
        <v>Semana 48CIP2</v>
      </c>
      <c r="AD68" t="str">
        <f>IFERROR(VLOOKUP(Tabla_Consulta_desde_Proyectos10[[#This Row],[PRYcodigo]],Catálogo!A:B,2,FALSE),"Otros")</f>
        <v>Otros</v>
      </c>
      <c r="AE68" t="str">
        <f>IF(LEN(Tabla_Consulta_desde_Proyectos10[[#This Row],[Semana]])&lt;13,"CI",RIGHT(Tabla_Consulta_desde_Proyectos10[[#This Row],[Semana]],4))</f>
        <v>CIP2</v>
      </c>
    </row>
    <row r="69" spans="1:31">
      <c r="A69" t="s">
        <v>4032</v>
      </c>
      <c r="B69" t="s">
        <v>6752</v>
      </c>
      <c r="C69" t="s">
        <v>6753</v>
      </c>
      <c r="D69" t="s">
        <v>7219</v>
      </c>
      <c r="E69" t="s">
        <v>7244</v>
      </c>
      <c r="F69">
        <v>1</v>
      </c>
      <c r="G69" t="s">
        <v>7229</v>
      </c>
      <c r="H69" t="s">
        <v>5028</v>
      </c>
      <c r="I69" t="s">
        <v>5029</v>
      </c>
      <c r="J69" t="s">
        <v>5051</v>
      </c>
      <c r="K69" t="s">
        <v>5052</v>
      </c>
      <c r="L69" s="4">
        <v>46125</v>
      </c>
      <c r="M69" t="s">
        <v>7618</v>
      </c>
      <c r="N69">
        <v>0.25</v>
      </c>
      <c r="O69">
        <v>3000000001826961</v>
      </c>
      <c r="P69" t="s">
        <v>6790</v>
      </c>
      <c r="Q69" t="s">
        <v>7545</v>
      </c>
      <c r="W69" t="str">
        <f>Tabla_Consulta_desde_Proyectos10[[#This Row],[PRYcodigo]]&amp;Tabla_Consulta_desde_Proyectos10[[#This Row],[PRYApath]]</f>
        <v>095-202-RDIG/0018/0010</v>
      </c>
      <c r="X69" t="str">
        <f>Tabla_Consulta_desde_Proyectos10[[#This Row],[PRYAcodigo]]&amp;" - "&amp;Tabla_Consulta_desde_Proyectos10[[#This Row],[PRYAdescripcion]]</f>
        <v>5 - AUTOMATIZACIÓN</v>
      </c>
      <c r="Y69" t="str">
        <f>SUBSTITUTE(IFERROR(VLOOKUP(LEFT(Tabla_Consulta_desde_Proyectos10[[#This Row],[Nivel1]],LEN(Tabla_Consulta_desde_Proyectos10[[#This Row],[Nivel1]])-5),Tabla_Consulta_desde_Proyectos10[[#All],[Nivel1]:[Actividad]],2,FALSE),""),"_","-")</f>
        <v>500.1 - ACTIVIDADES DEL EQUIPO DE RELEASE MANAGMENT</v>
      </c>
      <c r="Z69" t="str">
        <f>IFERROR(VLOOKUP(Tabla_Consulta_desde_Proyectos10[[#This Row],[PRYRAfecha]],'Fechas Mes'!G:J,4,TRUE),"")</f>
        <v>Semana 48CIP2</v>
      </c>
      <c r="AA69" t="str" cm="1">
        <f t="array" ref="AA69">INDEX('Fechas Mes'!F:F,MATCH(Tabla_Consulta_desde_Proyectos10[[#This Row],[Semana]],'Fechas Mes'!J:J,0),)</f>
        <v>M12CIP2</v>
      </c>
      <c r="AB69">
        <f>YEAR(Tabla_Consulta_desde_Proyectos10[[#This Row],[PRYRAfecha]])</f>
        <v>2026</v>
      </c>
      <c r="AC69" t="str">
        <f>VLOOKUP(Tabla_Consulta_desde_Proyectos10[[#This Row],[PRYRAfecha]],'Fechas Mes'!G:J,4,TRUE)</f>
        <v>Semana 48CIP2</v>
      </c>
      <c r="AD69" t="str">
        <f>IFERROR(VLOOKUP(Tabla_Consulta_desde_Proyectos10[[#This Row],[PRYcodigo]],Catálogo!A:B,2,FALSE),"Otros")</f>
        <v>Otros</v>
      </c>
      <c r="AE69" t="str">
        <f>IF(LEN(Tabla_Consulta_desde_Proyectos10[[#This Row],[Semana]])&lt;13,"CI",RIGHT(Tabla_Consulta_desde_Proyectos10[[#This Row],[Semana]],4))</f>
        <v>CIP2</v>
      </c>
    </row>
    <row r="70" spans="1:31">
      <c r="A70" t="s">
        <v>4032</v>
      </c>
      <c r="B70" t="s">
        <v>6752</v>
      </c>
      <c r="C70" t="s">
        <v>6753</v>
      </c>
      <c r="D70" t="s">
        <v>7219</v>
      </c>
      <c r="E70" t="s">
        <v>7244</v>
      </c>
      <c r="F70">
        <v>1</v>
      </c>
      <c r="G70" t="s">
        <v>7229</v>
      </c>
      <c r="H70" t="s">
        <v>5028</v>
      </c>
      <c r="I70" t="s">
        <v>5029</v>
      </c>
      <c r="J70" t="s">
        <v>5051</v>
      </c>
      <c r="K70" t="s">
        <v>5052</v>
      </c>
      <c r="L70" s="4">
        <v>46134</v>
      </c>
      <c r="M70" t="s">
        <v>7619</v>
      </c>
      <c r="N70">
        <v>0.5</v>
      </c>
      <c r="O70">
        <v>3000000001831308</v>
      </c>
      <c r="P70" t="s">
        <v>6790</v>
      </c>
      <c r="Q70" t="s">
        <v>7240</v>
      </c>
      <c r="W70" t="str">
        <f>Tabla_Consulta_desde_Proyectos10[[#This Row],[PRYcodigo]]&amp;Tabla_Consulta_desde_Proyectos10[[#This Row],[PRYApath]]</f>
        <v>095-202-RDIG/0018/0010</v>
      </c>
      <c r="X70" t="str">
        <f>Tabla_Consulta_desde_Proyectos10[[#This Row],[PRYAcodigo]]&amp;" - "&amp;Tabla_Consulta_desde_Proyectos10[[#This Row],[PRYAdescripcion]]</f>
        <v>5 - AUTOMATIZACIÓN</v>
      </c>
      <c r="Y70" t="str">
        <f>SUBSTITUTE(IFERROR(VLOOKUP(LEFT(Tabla_Consulta_desde_Proyectos10[[#This Row],[Nivel1]],LEN(Tabla_Consulta_desde_Proyectos10[[#This Row],[Nivel1]])-5),Tabla_Consulta_desde_Proyectos10[[#All],[Nivel1]:[Actividad]],2,FALSE),""),"_","-")</f>
        <v>500.1 - ACTIVIDADES DEL EQUIPO DE RELEASE MANAGMENT</v>
      </c>
      <c r="Z70" t="str">
        <f>IFERROR(VLOOKUP(Tabla_Consulta_desde_Proyectos10[[#This Row],[PRYRAfecha]],'Fechas Mes'!G:J,4,TRUE),"")</f>
        <v>Semana 48CIP2</v>
      </c>
      <c r="AA70" t="str" cm="1">
        <f t="array" ref="AA70">INDEX('Fechas Mes'!F:F,MATCH(Tabla_Consulta_desde_Proyectos10[[#This Row],[Semana]],'Fechas Mes'!J:J,0),)</f>
        <v>M12CIP2</v>
      </c>
      <c r="AB70">
        <f>YEAR(Tabla_Consulta_desde_Proyectos10[[#This Row],[PRYRAfecha]])</f>
        <v>2026</v>
      </c>
      <c r="AC70" t="str">
        <f>VLOOKUP(Tabla_Consulta_desde_Proyectos10[[#This Row],[PRYRAfecha]],'Fechas Mes'!G:J,4,TRUE)</f>
        <v>Semana 48CIP2</v>
      </c>
      <c r="AD70" t="str">
        <f>IFERROR(VLOOKUP(Tabla_Consulta_desde_Proyectos10[[#This Row],[PRYcodigo]],Catálogo!A:B,2,FALSE),"Otros")</f>
        <v>Otros</v>
      </c>
      <c r="AE70" t="str">
        <f>IF(LEN(Tabla_Consulta_desde_Proyectos10[[#This Row],[Semana]])&lt;13,"CI",RIGHT(Tabla_Consulta_desde_Proyectos10[[#This Row],[Semana]],4))</f>
        <v>CIP2</v>
      </c>
    </row>
    <row r="71" spans="1:31">
      <c r="A71" t="s">
        <v>4032</v>
      </c>
      <c r="B71" t="s">
        <v>6752</v>
      </c>
      <c r="C71" t="s">
        <v>6753</v>
      </c>
      <c r="D71" t="s">
        <v>7239</v>
      </c>
      <c r="E71" t="s">
        <v>7245</v>
      </c>
      <c r="F71">
        <v>1</v>
      </c>
      <c r="G71" t="s">
        <v>7547</v>
      </c>
      <c r="H71" t="s">
        <v>6627</v>
      </c>
      <c r="I71" t="s">
        <v>6628</v>
      </c>
      <c r="J71" t="s">
        <v>6683</v>
      </c>
      <c r="K71" t="s">
        <v>6684</v>
      </c>
      <c r="L71" s="4">
        <v>46128</v>
      </c>
      <c r="M71" t="s">
        <v>7620</v>
      </c>
      <c r="N71">
        <v>1</v>
      </c>
      <c r="O71">
        <v>3000000001829487</v>
      </c>
      <c r="P71" t="s">
        <v>6792</v>
      </c>
      <c r="Q71" t="s">
        <v>7565</v>
      </c>
      <c r="W71" t="str">
        <f>Tabla_Consulta_desde_Proyectos10[[#This Row],[PRYcodigo]]&amp;Tabla_Consulta_desde_Proyectos10[[#This Row],[PRYApath]]</f>
        <v>095-202-RDIG/0018/0012</v>
      </c>
      <c r="X71" t="str">
        <f>Tabla_Consulta_desde_Proyectos10[[#This Row],[PRYAcodigo]]&amp;" - "&amp;Tabla_Consulta_desde_Proyectos10[[#This Row],[PRYAdescripcion]]</f>
        <v>6 - ATENCION DE INCIDENCIAS</v>
      </c>
      <c r="Y71" t="str">
        <f>SUBSTITUTE(IFERROR(VLOOKUP(LEFT(Tabla_Consulta_desde_Proyectos10[[#This Row],[Nivel1]],LEN(Tabla_Consulta_desde_Proyectos10[[#This Row],[Nivel1]])-5),Tabla_Consulta_desde_Proyectos10[[#All],[Nivel1]:[Actividad]],2,FALSE),""),"_","-")</f>
        <v>500.1 - ACTIVIDADES DEL EQUIPO DE RELEASE MANAGMENT</v>
      </c>
      <c r="Z71" t="str">
        <f>IFERROR(VLOOKUP(Tabla_Consulta_desde_Proyectos10[[#This Row],[PRYRAfecha]],'Fechas Mes'!G:J,4,TRUE),"")</f>
        <v>Semana 48CIP2</v>
      </c>
      <c r="AA71" t="str" cm="1">
        <f t="array" ref="AA71">INDEX('Fechas Mes'!F:F,MATCH(Tabla_Consulta_desde_Proyectos10[[#This Row],[Semana]],'Fechas Mes'!J:J,0),)</f>
        <v>M12CIP2</v>
      </c>
      <c r="AB71">
        <f>YEAR(Tabla_Consulta_desde_Proyectos10[[#This Row],[PRYRAfecha]])</f>
        <v>2026</v>
      </c>
      <c r="AC71" t="str">
        <f>VLOOKUP(Tabla_Consulta_desde_Proyectos10[[#This Row],[PRYRAfecha]],'Fechas Mes'!G:J,4,TRUE)</f>
        <v>Semana 48CIP2</v>
      </c>
      <c r="AD71" t="str">
        <f>IFERROR(VLOOKUP(Tabla_Consulta_desde_Proyectos10[[#This Row],[PRYcodigo]],Catálogo!A:B,2,FALSE),"Otros")</f>
        <v>Otros</v>
      </c>
      <c r="AE71" t="str">
        <f>IF(LEN(Tabla_Consulta_desde_Proyectos10[[#This Row],[Semana]])&lt;13,"CI",RIGHT(Tabla_Consulta_desde_Proyectos10[[#This Row],[Semana]],4))</f>
        <v>CIP2</v>
      </c>
    </row>
    <row r="72" spans="1:31">
      <c r="A72" t="s">
        <v>4032</v>
      </c>
      <c r="B72" t="s">
        <v>6752</v>
      </c>
      <c r="C72" t="s">
        <v>6753</v>
      </c>
      <c r="D72" t="s">
        <v>7203</v>
      </c>
      <c r="E72" t="s">
        <v>7204</v>
      </c>
      <c r="F72">
        <v>1</v>
      </c>
      <c r="G72" t="s">
        <v>7218</v>
      </c>
      <c r="H72" t="s">
        <v>646</v>
      </c>
      <c r="I72" t="s">
        <v>647</v>
      </c>
      <c r="J72" t="s">
        <v>1981</v>
      </c>
      <c r="K72" t="s">
        <v>1982</v>
      </c>
      <c r="L72" s="4">
        <v>46121</v>
      </c>
      <c r="M72" t="s">
        <v>7621</v>
      </c>
      <c r="N72">
        <v>0.5</v>
      </c>
      <c r="O72">
        <v>3000000001824315</v>
      </c>
      <c r="P72" t="s">
        <v>6796</v>
      </c>
      <c r="Q72" t="s">
        <v>7215</v>
      </c>
      <c r="W72" t="str">
        <f>Tabla_Consulta_desde_Proyectos10[[#This Row],[PRYcodigo]]&amp;Tabla_Consulta_desde_Proyectos10[[#This Row],[PRYApath]]</f>
        <v>095-202-RDIG/0018/0016</v>
      </c>
      <c r="X72" t="str">
        <f>Tabla_Consulta_desde_Proyectos10[[#This Row],[PRYAcodigo]]&amp;" - "&amp;Tabla_Consulta_desde_Proyectos10[[#This Row],[PRYAdescripcion]]</f>
        <v>8 - DOCUMENTACIÓN Y REUNIONES</v>
      </c>
      <c r="Y72" t="str">
        <f>SUBSTITUTE(IFERROR(VLOOKUP(LEFT(Tabla_Consulta_desde_Proyectos10[[#This Row],[Nivel1]],LEN(Tabla_Consulta_desde_Proyectos10[[#This Row],[Nivel1]])-5),Tabla_Consulta_desde_Proyectos10[[#All],[Nivel1]:[Actividad]],2,FALSE),""),"_","-")</f>
        <v>500.1 - ACTIVIDADES DEL EQUIPO DE RELEASE MANAGMENT</v>
      </c>
      <c r="Z72" t="str">
        <f>IFERROR(VLOOKUP(Tabla_Consulta_desde_Proyectos10[[#This Row],[PRYRAfecha]],'Fechas Mes'!G:J,4,TRUE),"")</f>
        <v>Semana 48CIP2</v>
      </c>
      <c r="AA72" t="str" cm="1">
        <f t="array" ref="AA72">INDEX('Fechas Mes'!F:F,MATCH(Tabla_Consulta_desde_Proyectos10[[#This Row],[Semana]],'Fechas Mes'!J:J,0),)</f>
        <v>M12CIP2</v>
      </c>
      <c r="AB72">
        <f>YEAR(Tabla_Consulta_desde_Proyectos10[[#This Row],[PRYRAfecha]])</f>
        <v>2026</v>
      </c>
      <c r="AC72" t="str">
        <f>VLOOKUP(Tabla_Consulta_desde_Proyectos10[[#This Row],[PRYRAfecha]],'Fechas Mes'!G:J,4,TRUE)</f>
        <v>Semana 48CIP2</v>
      </c>
      <c r="AD72" t="str">
        <f>IFERROR(VLOOKUP(Tabla_Consulta_desde_Proyectos10[[#This Row],[PRYcodigo]],Catálogo!A:B,2,FALSE),"Otros")</f>
        <v>Otros</v>
      </c>
      <c r="AE72" t="str">
        <f>IF(LEN(Tabla_Consulta_desde_Proyectos10[[#This Row],[Semana]])&lt;13,"CI",RIGHT(Tabla_Consulta_desde_Proyectos10[[#This Row],[Semana]],4))</f>
        <v>CIP2</v>
      </c>
    </row>
    <row r="73" spans="1:31">
      <c r="A73" t="s">
        <v>4032</v>
      </c>
      <c r="B73" t="s">
        <v>6752</v>
      </c>
      <c r="C73" t="s">
        <v>6753</v>
      </c>
      <c r="D73" t="s">
        <v>7203</v>
      </c>
      <c r="E73" t="s">
        <v>7204</v>
      </c>
      <c r="F73">
        <v>1</v>
      </c>
      <c r="G73" t="s">
        <v>7218</v>
      </c>
      <c r="H73" t="s">
        <v>646</v>
      </c>
      <c r="I73" t="s">
        <v>647</v>
      </c>
      <c r="J73" t="s">
        <v>1981</v>
      </c>
      <c r="K73" t="s">
        <v>1982</v>
      </c>
      <c r="L73" s="4">
        <v>46127</v>
      </c>
      <c r="M73" t="s">
        <v>7622</v>
      </c>
      <c r="N73">
        <v>1</v>
      </c>
      <c r="O73">
        <v>3000000001827773</v>
      </c>
      <c r="P73" t="s">
        <v>6796</v>
      </c>
      <c r="Q73" t="s">
        <v>7215</v>
      </c>
      <c r="W73" t="str">
        <f>Tabla_Consulta_desde_Proyectos10[[#This Row],[PRYcodigo]]&amp;Tabla_Consulta_desde_Proyectos10[[#This Row],[PRYApath]]</f>
        <v>095-202-RDIG/0018/0016</v>
      </c>
      <c r="X73" t="str">
        <f>Tabla_Consulta_desde_Proyectos10[[#This Row],[PRYAcodigo]]&amp;" - "&amp;Tabla_Consulta_desde_Proyectos10[[#This Row],[PRYAdescripcion]]</f>
        <v>8 - DOCUMENTACIÓN Y REUNIONES</v>
      </c>
      <c r="Y73" t="str">
        <f>SUBSTITUTE(IFERROR(VLOOKUP(LEFT(Tabla_Consulta_desde_Proyectos10[[#This Row],[Nivel1]],LEN(Tabla_Consulta_desde_Proyectos10[[#This Row],[Nivel1]])-5),Tabla_Consulta_desde_Proyectos10[[#All],[Nivel1]:[Actividad]],2,FALSE),""),"_","-")</f>
        <v>500.1 - ACTIVIDADES DEL EQUIPO DE RELEASE MANAGMENT</v>
      </c>
      <c r="Z73" t="str">
        <f>IFERROR(VLOOKUP(Tabla_Consulta_desde_Proyectos10[[#This Row],[PRYRAfecha]],'Fechas Mes'!G:J,4,TRUE),"")</f>
        <v>Semana 48CIP2</v>
      </c>
      <c r="AA73" t="str" cm="1">
        <f t="array" ref="AA73">INDEX('Fechas Mes'!F:F,MATCH(Tabla_Consulta_desde_Proyectos10[[#This Row],[Semana]],'Fechas Mes'!J:J,0),)</f>
        <v>M12CIP2</v>
      </c>
      <c r="AB73">
        <f>YEAR(Tabla_Consulta_desde_Proyectos10[[#This Row],[PRYRAfecha]])</f>
        <v>2026</v>
      </c>
      <c r="AC73" t="str">
        <f>VLOOKUP(Tabla_Consulta_desde_Proyectos10[[#This Row],[PRYRAfecha]],'Fechas Mes'!G:J,4,TRUE)</f>
        <v>Semana 48CIP2</v>
      </c>
      <c r="AD73" t="str">
        <f>IFERROR(VLOOKUP(Tabla_Consulta_desde_Proyectos10[[#This Row],[PRYcodigo]],Catálogo!A:B,2,FALSE),"Otros")</f>
        <v>Otros</v>
      </c>
      <c r="AE73" t="str">
        <f>IF(LEN(Tabla_Consulta_desde_Proyectos10[[#This Row],[Semana]])&lt;13,"CI",RIGHT(Tabla_Consulta_desde_Proyectos10[[#This Row],[Semana]],4))</f>
        <v>CIP2</v>
      </c>
    </row>
    <row r="74" spans="1:31" hidden="1">
      <c r="A74" t="s">
        <v>4032</v>
      </c>
      <c r="B74" t="s">
        <v>6752</v>
      </c>
      <c r="C74" t="s">
        <v>6753</v>
      </c>
      <c r="D74" t="s">
        <v>7566</v>
      </c>
      <c r="E74" t="s">
        <v>7567</v>
      </c>
      <c r="F74">
        <v>0</v>
      </c>
      <c r="G74" t="s">
        <v>7221</v>
      </c>
      <c r="L74" s="4"/>
      <c r="O74">
        <v>3000000001822633</v>
      </c>
      <c r="W74" t="str">
        <f>Tabla_Consulta_desde_Proyectos10[[#This Row],[PRYcodigo]]&amp;Tabla_Consulta_desde_Proyectos10[[#This Row],[PRYApath]]</f>
        <v>095-202-RDIG/0020</v>
      </c>
      <c r="X74" t="str">
        <f>Tabla_Consulta_desde_Proyectos10[[#This Row],[PRYAcodigo]]&amp;" - "&amp;Tabla_Consulta_desde_Proyectos10[[#This Row],[PRYAdescripcion]]</f>
        <v>176_MCD - MEJORAS AL CORE Y DASHBOARD DE RECETA DIGITAL</v>
      </c>
      <c r="Y74" t="str">
        <f>SUBSTITUTE(IFERROR(VLOOKUP(LEFT(Tabla_Consulta_desde_Proyectos10[[#This Row],[Nivel1]],LEN(Tabla_Consulta_desde_Proyectos10[[#This Row],[Nivel1]])-5),Tabla_Consulta_desde_Proyectos10[[#All],[Nivel1]:[Actividad]],2,FALSE),""),"_","-")</f>
        <v/>
      </c>
      <c r="Z74" t="str">
        <f>IFERROR(VLOOKUP(Tabla_Consulta_desde_Proyectos10[[#This Row],[PRYRAfecha]],'Fechas Mes'!G:J,4,TRUE),"")</f>
        <v/>
      </c>
      <c r="AA74" t="e" cm="1">
        <f t="array" ref="AA74">INDEX('Fechas Mes'!F:F,MATCH(Tabla_Consulta_desde_Proyectos10[[#This Row],[Semana]],'Fechas Mes'!J:J,0),)</f>
        <v>#N/A</v>
      </c>
      <c r="AB74">
        <f>YEAR(Tabla_Consulta_desde_Proyectos10[[#This Row],[PRYRAfecha]])</f>
        <v>1900</v>
      </c>
      <c r="AC74" t="e">
        <f>VLOOKUP(Tabla_Consulta_desde_Proyectos10[[#This Row],[PRYRAfecha]],'Fechas Mes'!G:J,4,TRUE)</f>
        <v>#N/A</v>
      </c>
      <c r="AD74" t="str">
        <f>IFERROR(VLOOKUP(Tabla_Consulta_desde_Proyectos10[[#This Row],[PRYcodigo]],Catálogo!A:B,2,FALSE),"Otros")</f>
        <v>Otros</v>
      </c>
      <c r="AE74" t="str">
        <f>IF(LEN(Tabla_Consulta_desde_Proyectos10[[#This Row],[Semana]])&lt;13,"CI",RIGHT(Tabla_Consulta_desde_Proyectos10[[#This Row],[Semana]],4))</f>
        <v>CI</v>
      </c>
    </row>
    <row r="75" spans="1:31" hidden="1">
      <c r="A75" t="s">
        <v>4032</v>
      </c>
      <c r="B75" t="s">
        <v>6752</v>
      </c>
      <c r="C75" t="s">
        <v>6753</v>
      </c>
      <c r="D75" t="s">
        <v>7566</v>
      </c>
      <c r="E75" t="s">
        <v>7567</v>
      </c>
      <c r="F75">
        <v>0</v>
      </c>
      <c r="G75" t="s">
        <v>7221</v>
      </c>
      <c r="L75" s="4"/>
      <c r="O75">
        <v>3000000001825336</v>
      </c>
      <c r="W75" t="str">
        <f>Tabla_Consulta_desde_Proyectos10[[#This Row],[PRYcodigo]]&amp;Tabla_Consulta_desde_Proyectos10[[#This Row],[PRYApath]]</f>
        <v>095-202-RDIG/0020</v>
      </c>
      <c r="X75" t="str">
        <f>Tabla_Consulta_desde_Proyectos10[[#This Row],[PRYAcodigo]]&amp;" - "&amp;Tabla_Consulta_desde_Proyectos10[[#This Row],[PRYAdescripcion]]</f>
        <v>176_MCD - MEJORAS AL CORE Y DASHBOARD DE RECETA DIGITAL</v>
      </c>
      <c r="Y75" t="str">
        <f>SUBSTITUTE(IFERROR(VLOOKUP(LEFT(Tabla_Consulta_desde_Proyectos10[[#This Row],[Nivel1]],LEN(Tabla_Consulta_desde_Proyectos10[[#This Row],[Nivel1]])-5),Tabla_Consulta_desde_Proyectos10[[#All],[Nivel1]:[Actividad]],2,FALSE),""),"_","-")</f>
        <v/>
      </c>
      <c r="Z75" t="str">
        <f>IFERROR(VLOOKUP(Tabla_Consulta_desde_Proyectos10[[#This Row],[PRYRAfecha]],'Fechas Mes'!G:J,4,TRUE),"")</f>
        <v/>
      </c>
      <c r="AA75" t="e" cm="1">
        <f t="array" ref="AA75">INDEX('Fechas Mes'!F:F,MATCH(Tabla_Consulta_desde_Proyectos10[[#This Row],[Semana]],'Fechas Mes'!J:J,0),)</f>
        <v>#N/A</v>
      </c>
      <c r="AB75">
        <f>YEAR(Tabla_Consulta_desde_Proyectos10[[#This Row],[PRYRAfecha]])</f>
        <v>1900</v>
      </c>
      <c r="AC75" t="e">
        <f>VLOOKUP(Tabla_Consulta_desde_Proyectos10[[#This Row],[PRYRAfecha]],'Fechas Mes'!G:J,4,TRUE)</f>
        <v>#N/A</v>
      </c>
      <c r="AD75" t="str">
        <f>IFERROR(VLOOKUP(Tabla_Consulta_desde_Proyectos10[[#This Row],[PRYcodigo]],Catálogo!A:B,2,FALSE),"Otros")</f>
        <v>Otros</v>
      </c>
      <c r="AE75" t="str">
        <f>IF(LEN(Tabla_Consulta_desde_Proyectos10[[#This Row],[Semana]])&lt;13,"CI",RIGHT(Tabla_Consulta_desde_Proyectos10[[#This Row],[Semana]],4))</f>
        <v>CI</v>
      </c>
    </row>
    <row r="76" spans="1:31" hidden="1">
      <c r="A76" t="s">
        <v>4032</v>
      </c>
      <c r="B76" t="s">
        <v>6752</v>
      </c>
      <c r="C76" t="s">
        <v>6753</v>
      </c>
      <c r="D76" t="s">
        <v>7566</v>
      </c>
      <c r="E76" t="s">
        <v>7567</v>
      </c>
      <c r="F76">
        <v>0</v>
      </c>
      <c r="G76" t="s">
        <v>7221</v>
      </c>
      <c r="L76" s="4"/>
      <c r="O76">
        <v>3000000001825339</v>
      </c>
      <c r="W76" t="str">
        <f>Tabla_Consulta_desde_Proyectos10[[#This Row],[PRYcodigo]]&amp;Tabla_Consulta_desde_Proyectos10[[#This Row],[PRYApath]]</f>
        <v>095-202-RDIG/0020</v>
      </c>
      <c r="X76" t="str">
        <f>Tabla_Consulta_desde_Proyectos10[[#This Row],[PRYAcodigo]]&amp;" - "&amp;Tabla_Consulta_desde_Proyectos10[[#This Row],[PRYAdescripcion]]</f>
        <v>176_MCD - MEJORAS AL CORE Y DASHBOARD DE RECETA DIGITAL</v>
      </c>
      <c r="Y76" t="str">
        <f>SUBSTITUTE(IFERROR(VLOOKUP(LEFT(Tabla_Consulta_desde_Proyectos10[[#This Row],[Nivel1]],LEN(Tabla_Consulta_desde_Proyectos10[[#This Row],[Nivel1]])-5),Tabla_Consulta_desde_Proyectos10[[#All],[Nivel1]:[Actividad]],2,FALSE),""),"_","-")</f>
        <v/>
      </c>
      <c r="Z76" t="str">
        <f>IFERROR(VLOOKUP(Tabla_Consulta_desde_Proyectos10[[#This Row],[PRYRAfecha]],'Fechas Mes'!G:J,4,TRUE),"")</f>
        <v/>
      </c>
      <c r="AA76" t="e" cm="1">
        <f t="array" ref="AA76">INDEX('Fechas Mes'!F:F,MATCH(Tabla_Consulta_desde_Proyectos10[[#This Row],[Semana]],'Fechas Mes'!J:J,0),)</f>
        <v>#N/A</v>
      </c>
      <c r="AB76">
        <f>YEAR(Tabla_Consulta_desde_Proyectos10[[#This Row],[PRYRAfecha]])</f>
        <v>1900</v>
      </c>
      <c r="AC76" t="e">
        <f>VLOOKUP(Tabla_Consulta_desde_Proyectos10[[#This Row],[PRYRAfecha]],'Fechas Mes'!G:J,4,TRUE)</f>
        <v>#N/A</v>
      </c>
      <c r="AD76" t="str">
        <f>IFERROR(VLOOKUP(Tabla_Consulta_desde_Proyectos10[[#This Row],[PRYcodigo]],Catálogo!A:B,2,FALSE),"Otros")</f>
        <v>Otros</v>
      </c>
      <c r="AE76" t="str">
        <f>IF(LEN(Tabla_Consulta_desde_Proyectos10[[#This Row],[Semana]])&lt;13,"CI",RIGHT(Tabla_Consulta_desde_Proyectos10[[#This Row],[Semana]],4))</f>
        <v>CI</v>
      </c>
    </row>
    <row r="77" spans="1:31" hidden="1">
      <c r="A77" t="s">
        <v>4032</v>
      </c>
      <c r="B77" t="s">
        <v>6752</v>
      </c>
      <c r="C77" t="s">
        <v>6753</v>
      </c>
      <c r="D77" t="s">
        <v>7566</v>
      </c>
      <c r="E77" t="s">
        <v>7567</v>
      </c>
      <c r="F77">
        <v>0</v>
      </c>
      <c r="G77" t="s">
        <v>7221</v>
      </c>
      <c r="L77" s="4"/>
      <c r="O77">
        <v>3000000001825343</v>
      </c>
      <c r="W77" t="str">
        <f>Tabla_Consulta_desde_Proyectos10[[#This Row],[PRYcodigo]]&amp;Tabla_Consulta_desde_Proyectos10[[#This Row],[PRYApath]]</f>
        <v>095-202-RDIG/0020</v>
      </c>
      <c r="X77" t="str">
        <f>Tabla_Consulta_desde_Proyectos10[[#This Row],[PRYAcodigo]]&amp;" - "&amp;Tabla_Consulta_desde_Proyectos10[[#This Row],[PRYAdescripcion]]</f>
        <v>176_MCD - MEJORAS AL CORE Y DASHBOARD DE RECETA DIGITAL</v>
      </c>
      <c r="Y77" t="str">
        <f>SUBSTITUTE(IFERROR(VLOOKUP(LEFT(Tabla_Consulta_desde_Proyectos10[[#This Row],[Nivel1]],LEN(Tabla_Consulta_desde_Proyectos10[[#This Row],[Nivel1]])-5),Tabla_Consulta_desde_Proyectos10[[#All],[Nivel1]:[Actividad]],2,FALSE),""),"_","-")</f>
        <v/>
      </c>
      <c r="Z77" t="str">
        <f>IFERROR(VLOOKUP(Tabla_Consulta_desde_Proyectos10[[#This Row],[PRYRAfecha]],'Fechas Mes'!G:J,4,TRUE),"")</f>
        <v/>
      </c>
      <c r="AA77" t="e" cm="1">
        <f t="array" ref="AA77">INDEX('Fechas Mes'!F:F,MATCH(Tabla_Consulta_desde_Proyectos10[[#This Row],[Semana]],'Fechas Mes'!J:J,0),)</f>
        <v>#N/A</v>
      </c>
      <c r="AB77">
        <f>YEAR(Tabla_Consulta_desde_Proyectos10[[#This Row],[PRYRAfecha]])</f>
        <v>1900</v>
      </c>
      <c r="AC77" t="e">
        <f>VLOOKUP(Tabla_Consulta_desde_Proyectos10[[#This Row],[PRYRAfecha]],'Fechas Mes'!G:J,4,TRUE)</f>
        <v>#N/A</v>
      </c>
      <c r="AD77" t="str">
        <f>IFERROR(VLOOKUP(Tabla_Consulta_desde_Proyectos10[[#This Row],[PRYcodigo]],Catálogo!A:B,2,FALSE),"Otros")</f>
        <v>Otros</v>
      </c>
      <c r="AE77" t="str">
        <f>IF(LEN(Tabla_Consulta_desde_Proyectos10[[#This Row],[Semana]])&lt;13,"CI",RIGHT(Tabla_Consulta_desde_Proyectos10[[#This Row],[Semana]],4))</f>
        <v>CI</v>
      </c>
    </row>
    <row r="78" spans="1:31" hidden="1">
      <c r="A78" t="s">
        <v>4032</v>
      </c>
      <c r="B78" t="s">
        <v>6752</v>
      </c>
      <c r="C78" t="s">
        <v>6753</v>
      </c>
      <c r="D78" t="s">
        <v>7566</v>
      </c>
      <c r="E78" t="s">
        <v>7567</v>
      </c>
      <c r="F78">
        <v>0</v>
      </c>
      <c r="G78" t="s">
        <v>7221</v>
      </c>
      <c r="L78" s="4"/>
      <c r="O78">
        <v>3000000001825358</v>
      </c>
      <c r="W78" t="str">
        <f>Tabla_Consulta_desde_Proyectos10[[#This Row],[PRYcodigo]]&amp;Tabla_Consulta_desde_Proyectos10[[#This Row],[PRYApath]]</f>
        <v>095-202-RDIG/0020</v>
      </c>
      <c r="X78" t="str">
        <f>Tabla_Consulta_desde_Proyectos10[[#This Row],[PRYAcodigo]]&amp;" - "&amp;Tabla_Consulta_desde_Proyectos10[[#This Row],[PRYAdescripcion]]</f>
        <v>176_MCD - MEJORAS AL CORE Y DASHBOARD DE RECETA DIGITAL</v>
      </c>
      <c r="Y78" t="str">
        <f>SUBSTITUTE(IFERROR(VLOOKUP(LEFT(Tabla_Consulta_desde_Proyectos10[[#This Row],[Nivel1]],LEN(Tabla_Consulta_desde_Proyectos10[[#This Row],[Nivel1]])-5),Tabla_Consulta_desde_Proyectos10[[#All],[Nivel1]:[Actividad]],2,FALSE),""),"_","-")</f>
        <v/>
      </c>
      <c r="Z78" t="str">
        <f>IFERROR(VLOOKUP(Tabla_Consulta_desde_Proyectos10[[#This Row],[PRYRAfecha]],'Fechas Mes'!G:J,4,TRUE),"")</f>
        <v/>
      </c>
      <c r="AA78" t="e" cm="1">
        <f t="array" ref="AA78">INDEX('Fechas Mes'!F:F,MATCH(Tabla_Consulta_desde_Proyectos10[[#This Row],[Semana]],'Fechas Mes'!J:J,0),)</f>
        <v>#N/A</v>
      </c>
      <c r="AB78">
        <f>YEAR(Tabla_Consulta_desde_Proyectos10[[#This Row],[PRYRAfecha]])</f>
        <v>1900</v>
      </c>
      <c r="AC78" t="e">
        <f>VLOOKUP(Tabla_Consulta_desde_Proyectos10[[#This Row],[PRYRAfecha]],'Fechas Mes'!G:J,4,TRUE)</f>
        <v>#N/A</v>
      </c>
      <c r="AD78" t="str">
        <f>IFERROR(VLOOKUP(Tabla_Consulta_desde_Proyectos10[[#This Row],[PRYcodigo]],Catálogo!A:B,2,FALSE),"Otros")</f>
        <v>Otros</v>
      </c>
      <c r="AE78" t="str">
        <f>IF(LEN(Tabla_Consulta_desde_Proyectos10[[#This Row],[Semana]])&lt;13,"CI",RIGHT(Tabla_Consulta_desde_Proyectos10[[#This Row],[Semana]],4))</f>
        <v>CI</v>
      </c>
    </row>
    <row r="79" spans="1:31" hidden="1">
      <c r="A79" t="s">
        <v>4032</v>
      </c>
      <c r="B79" t="s">
        <v>6752</v>
      </c>
      <c r="C79" t="s">
        <v>6753</v>
      </c>
      <c r="D79" t="s">
        <v>7566</v>
      </c>
      <c r="E79" t="s">
        <v>7567</v>
      </c>
      <c r="F79">
        <v>0</v>
      </c>
      <c r="G79" t="s">
        <v>7221</v>
      </c>
      <c r="L79" s="4"/>
      <c r="O79">
        <v>3000000001825359</v>
      </c>
      <c r="W79" t="str">
        <f>Tabla_Consulta_desde_Proyectos10[[#This Row],[PRYcodigo]]&amp;Tabla_Consulta_desde_Proyectos10[[#This Row],[PRYApath]]</f>
        <v>095-202-RDIG/0020</v>
      </c>
      <c r="X79" t="str">
        <f>Tabla_Consulta_desde_Proyectos10[[#This Row],[PRYAcodigo]]&amp;" - "&amp;Tabla_Consulta_desde_Proyectos10[[#This Row],[PRYAdescripcion]]</f>
        <v>176_MCD - MEJORAS AL CORE Y DASHBOARD DE RECETA DIGITAL</v>
      </c>
      <c r="Y79" t="str">
        <f>SUBSTITUTE(IFERROR(VLOOKUP(LEFT(Tabla_Consulta_desde_Proyectos10[[#This Row],[Nivel1]],LEN(Tabla_Consulta_desde_Proyectos10[[#This Row],[Nivel1]])-5),Tabla_Consulta_desde_Proyectos10[[#All],[Nivel1]:[Actividad]],2,FALSE),""),"_","-")</f>
        <v/>
      </c>
      <c r="Z79" t="str">
        <f>IFERROR(VLOOKUP(Tabla_Consulta_desde_Proyectos10[[#This Row],[PRYRAfecha]],'Fechas Mes'!G:J,4,TRUE),"")</f>
        <v/>
      </c>
      <c r="AA79" t="e" cm="1">
        <f t="array" ref="AA79">INDEX('Fechas Mes'!F:F,MATCH(Tabla_Consulta_desde_Proyectos10[[#This Row],[Semana]],'Fechas Mes'!J:J,0),)</f>
        <v>#N/A</v>
      </c>
      <c r="AB79">
        <f>YEAR(Tabla_Consulta_desde_Proyectos10[[#This Row],[PRYRAfecha]])</f>
        <v>1900</v>
      </c>
      <c r="AC79" t="e">
        <f>VLOOKUP(Tabla_Consulta_desde_Proyectos10[[#This Row],[PRYRAfecha]],'Fechas Mes'!G:J,4,TRUE)</f>
        <v>#N/A</v>
      </c>
      <c r="AD79" t="str">
        <f>IFERROR(VLOOKUP(Tabla_Consulta_desde_Proyectos10[[#This Row],[PRYcodigo]],Catálogo!A:B,2,FALSE),"Otros")</f>
        <v>Otros</v>
      </c>
      <c r="AE79" t="str">
        <f>IF(LEN(Tabla_Consulta_desde_Proyectos10[[#This Row],[Semana]])&lt;13,"CI",RIGHT(Tabla_Consulta_desde_Proyectos10[[#This Row],[Semana]],4))</f>
        <v>CI</v>
      </c>
    </row>
    <row r="80" spans="1:31" hidden="1">
      <c r="A80" t="s">
        <v>4032</v>
      </c>
      <c r="B80" t="s">
        <v>6752</v>
      </c>
      <c r="C80" t="s">
        <v>6753</v>
      </c>
      <c r="D80" t="s">
        <v>7566</v>
      </c>
      <c r="E80" t="s">
        <v>7567</v>
      </c>
      <c r="F80">
        <v>0</v>
      </c>
      <c r="G80" t="s">
        <v>7221</v>
      </c>
      <c r="L80" s="4"/>
      <c r="O80">
        <v>3000000001825360</v>
      </c>
      <c r="W80" t="str">
        <f>Tabla_Consulta_desde_Proyectos10[[#This Row],[PRYcodigo]]&amp;Tabla_Consulta_desde_Proyectos10[[#This Row],[PRYApath]]</f>
        <v>095-202-RDIG/0020</v>
      </c>
      <c r="X80" t="str">
        <f>Tabla_Consulta_desde_Proyectos10[[#This Row],[PRYAcodigo]]&amp;" - "&amp;Tabla_Consulta_desde_Proyectos10[[#This Row],[PRYAdescripcion]]</f>
        <v>176_MCD - MEJORAS AL CORE Y DASHBOARD DE RECETA DIGITAL</v>
      </c>
      <c r="Y80" t="str">
        <f>SUBSTITUTE(IFERROR(VLOOKUP(LEFT(Tabla_Consulta_desde_Proyectos10[[#This Row],[Nivel1]],LEN(Tabla_Consulta_desde_Proyectos10[[#This Row],[Nivel1]])-5),Tabla_Consulta_desde_Proyectos10[[#All],[Nivel1]:[Actividad]],2,FALSE),""),"_","-")</f>
        <v/>
      </c>
      <c r="Z80" t="str">
        <f>IFERROR(VLOOKUP(Tabla_Consulta_desde_Proyectos10[[#This Row],[PRYRAfecha]],'Fechas Mes'!G:J,4,TRUE),"")</f>
        <v/>
      </c>
      <c r="AA80" t="e" cm="1">
        <f t="array" ref="AA80">INDEX('Fechas Mes'!F:F,MATCH(Tabla_Consulta_desde_Proyectos10[[#This Row],[Semana]],'Fechas Mes'!J:J,0),)</f>
        <v>#N/A</v>
      </c>
      <c r="AB80">
        <f>YEAR(Tabla_Consulta_desde_Proyectos10[[#This Row],[PRYRAfecha]])</f>
        <v>1900</v>
      </c>
      <c r="AC80" t="e">
        <f>VLOOKUP(Tabla_Consulta_desde_Proyectos10[[#This Row],[PRYRAfecha]],'Fechas Mes'!G:J,4,TRUE)</f>
        <v>#N/A</v>
      </c>
      <c r="AD80" t="str">
        <f>IFERROR(VLOOKUP(Tabla_Consulta_desde_Proyectos10[[#This Row],[PRYcodigo]],Catálogo!A:B,2,FALSE),"Otros")</f>
        <v>Otros</v>
      </c>
      <c r="AE80" t="str">
        <f>IF(LEN(Tabla_Consulta_desde_Proyectos10[[#This Row],[Semana]])&lt;13,"CI",RIGHT(Tabla_Consulta_desde_Proyectos10[[#This Row],[Semana]],4))</f>
        <v>CI</v>
      </c>
    </row>
    <row r="81" spans="1:31" hidden="1">
      <c r="A81" t="s">
        <v>4032</v>
      </c>
      <c r="B81" t="s">
        <v>6752</v>
      </c>
      <c r="C81" t="s">
        <v>6753</v>
      </c>
      <c r="D81" t="s">
        <v>7566</v>
      </c>
      <c r="E81" t="s">
        <v>7567</v>
      </c>
      <c r="F81">
        <v>0</v>
      </c>
      <c r="G81" t="s">
        <v>7221</v>
      </c>
      <c r="L81" s="4"/>
      <c r="O81">
        <v>3000000001825361</v>
      </c>
      <c r="W81" t="str">
        <f>Tabla_Consulta_desde_Proyectos10[[#This Row],[PRYcodigo]]&amp;Tabla_Consulta_desde_Proyectos10[[#This Row],[PRYApath]]</f>
        <v>095-202-RDIG/0020</v>
      </c>
      <c r="X81" t="str">
        <f>Tabla_Consulta_desde_Proyectos10[[#This Row],[PRYAcodigo]]&amp;" - "&amp;Tabla_Consulta_desde_Proyectos10[[#This Row],[PRYAdescripcion]]</f>
        <v>176_MCD - MEJORAS AL CORE Y DASHBOARD DE RECETA DIGITAL</v>
      </c>
      <c r="Y81" t="str">
        <f>SUBSTITUTE(IFERROR(VLOOKUP(LEFT(Tabla_Consulta_desde_Proyectos10[[#This Row],[Nivel1]],LEN(Tabla_Consulta_desde_Proyectos10[[#This Row],[Nivel1]])-5),Tabla_Consulta_desde_Proyectos10[[#All],[Nivel1]:[Actividad]],2,FALSE),""),"_","-")</f>
        <v/>
      </c>
      <c r="Z81" t="str">
        <f>IFERROR(VLOOKUP(Tabla_Consulta_desde_Proyectos10[[#This Row],[PRYRAfecha]],'Fechas Mes'!G:J,4,TRUE),"")</f>
        <v/>
      </c>
      <c r="AA81" t="e" cm="1">
        <f t="array" ref="AA81">INDEX('Fechas Mes'!F:F,MATCH(Tabla_Consulta_desde_Proyectos10[[#This Row],[Semana]],'Fechas Mes'!J:J,0),)</f>
        <v>#N/A</v>
      </c>
      <c r="AB81">
        <f>YEAR(Tabla_Consulta_desde_Proyectos10[[#This Row],[PRYRAfecha]])</f>
        <v>1900</v>
      </c>
      <c r="AC81" t="e">
        <f>VLOOKUP(Tabla_Consulta_desde_Proyectos10[[#This Row],[PRYRAfecha]],'Fechas Mes'!G:J,4,TRUE)</f>
        <v>#N/A</v>
      </c>
      <c r="AD81" t="str">
        <f>IFERROR(VLOOKUP(Tabla_Consulta_desde_Proyectos10[[#This Row],[PRYcodigo]],Catálogo!A:B,2,FALSE),"Otros")</f>
        <v>Otros</v>
      </c>
      <c r="AE81" t="str">
        <f>IF(LEN(Tabla_Consulta_desde_Proyectos10[[#This Row],[Semana]])&lt;13,"CI",RIGHT(Tabla_Consulta_desde_Proyectos10[[#This Row],[Semana]],4))</f>
        <v>CI</v>
      </c>
    </row>
    <row r="82" spans="1:31" hidden="1">
      <c r="A82" t="s">
        <v>4032</v>
      </c>
      <c r="B82" t="s">
        <v>6752</v>
      </c>
      <c r="C82" t="s">
        <v>6753</v>
      </c>
      <c r="D82" t="s">
        <v>7566</v>
      </c>
      <c r="E82" t="s">
        <v>7567</v>
      </c>
      <c r="F82">
        <v>0</v>
      </c>
      <c r="G82" t="s">
        <v>7221</v>
      </c>
      <c r="L82" s="4"/>
      <c r="O82">
        <v>3000000001825364</v>
      </c>
      <c r="W82" t="str">
        <f>Tabla_Consulta_desde_Proyectos10[[#This Row],[PRYcodigo]]&amp;Tabla_Consulta_desde_Proyectos10[[#This Row],[PRYApath]]</f>
        <v>095-202-RDIG/0020</v>
      </c>
      <c r="X82" t="str">
        <f>Tabla_Consulta_desde_Proyectos10[[#This Row],[PRYAcodigo]]&amp;" - "&amp;Tabla_Consulta_desde_Proyectos10[[#This Row],[PRYAdescripcion]]</f>
        <v>176_MCD - MEJORAS AL CORE Y DASHBOARD DE RECETA DIGITAL</v>
      </c>
      <c r="Y82" t="str">
        <f>SUBSTITUTE(IFERROR(VLOOKUP(LEFT(Tabla_Consulta_desde_Proyectos10[[#This Row],[Nivel1]],LEN(Tabla_Consulta_desde_Proyectos10[[#This Row],[Nivel1]])-5),Tabla_Consulta_desde_Proyectos10[[#All],[Nivel1]:[Actividad]],2,FALSE),""),"_","-")</f>
        <v/>
      </c>
      <c r="Z82" t="str">
        <f>IFERROR(VLOOKUP(Tabla_Consulta_desde_Proyectos10[[#This Row],[PRYRAfecha]],'Fechas Mes'!G:J,4,TRUE),"")</f>
        <v/>
      </c>
      <c r="AA82" t="e" cm="1">
        <f t="array" ref="AA82">INDEX('Fechas Mes'!F:F,MATCH(Tabla_Consulta_desde_Proyectos10[[#This Row],[Semana]],'Fechas Mes'!J:J,0),)</f>
        <v>#N/A</v>
      </c>
      <c r="AB82">
        <f>YEAR(Tabla_Consulta_desde_Proyectos10[[#This Row],[PRYRAfecha]])</f>
        <v>1900</v>
      </c>
      <c r="AC82" t="e">
        <f>VLOOKUP(Tabla_Consulta_desde_Proyectos10[[#This Row],[PRYRAfecha]],'Fechas Mes'!G:J,4,TRUE)</f>
        <v>#N/A</v>
      </c>
      <c r="AD82" t="str">
        <f>IFERROR(VLOOKUP(Tabla_Consulta_desde_Proyectos10[[#This Row],[PRYcodigo]],Catálogo!A:B,2,FALSE),"Otros")</f>
        <v>Otros</v>
      </c>
      <c r="AE82" t="str">
        <f>IF(LEN(Tabla_Consulta_desde_Proyectos10[[#This Row],[Semana]])&lt;13,"CI",RIGHT(Tabla_Consulta_desde_Proyectos10[[#This Row],[Semana]],4))</f>
        <v>CI</v>
      </c>
    </row>
    <row r="83" spans="1:31" hidden="1">
      <c r="A83" t="s">
        <v>4032</v>
      </c>
      <c r="B83" t="s">
        <v>6752</v>
      </c>
      <c r="C83" t="s">
        <v>6753</v>
      </c>
      <c r="D83" t="s">
        <v>7566</v>
      </c>
      <c r="E83" t="s">
        <v>7567</v>
      </c>
      <c r="F83">
        <v>0</v>
      </c>
      <c r="G83" t="s">
        <v>7221</v>
      </c>
      <c r="L83" s="4"/>
      <c r="O83">
        <v>3000000001825369</v>
      </c>
      <c r="W83" t="str">
        <f>Tabla_Consulta_desde_Proyectos10[[#This Row],[PRYcodigo]]&amp;Tabla_Consulta_desde_Proyectos10[[#This Row],[PRYApath]]</f>
        <v>095-202-RDIG/0020</v>
      </c>
      <c r="X83" t="str">
        <f>Tabla_Consulta_desde_Proyectos10[[#This Row],[PRYAcodigo]]&amp;" - "&amp;Tabla_Consulta_desde_Proyectos10[[#This Row],[PRYAdescripcion]]</f>
        <v>176_MCD - MEJORAS AL CORE Y DASHBOARD DE RECETA DIGITAL</v>
      </c>
      <c r="Y83" t="str">
        <f>SUBSTITUTE(IFERROR(VLOOKUP(LEFT(Tabla_Consulta_desde_Proyectos10[[#This Row],[Nivel1]],LEN(Tabla_Consulta_desde_Proyectos10[[#This Row],[Nivel1]])-5),Tabla_Consulta_desde_Proyectos10[[#All],[Nivel1]:[Actividad]],2,FALSE),""),"_","-")</f>
        <v/>
      </c>
      <c r="Z83" t="str">
        <f>IFERROR(VLOOKUP(Tabla_Consulta_desde_Proyectos10[[#This Row],[PRYRAfecha]],'Fechas Mes'!G:J,4,TRUE),"")</f>
        <v/>
      </c>
      <c r="AA83" t="e" cm="1">
        <f t="array" ref="AA83">INDEX('Fechas Mes'!F:F,MATCH(Tabla_Consulta_desde_Proyectos10[[#This Row],[Semana]],'Fechas Mes'!J:J,0),)</f>
        <v>#N/A</v>
      </c>
      <c r="AB83">
        <f>YEAR(Tabla_Consulta_desde_Proyectos10[[#This Row],[PRYRAfecha]])</f>
        <v>1900</v>
      </c>
      <c r="AC83" t="e">
        <f>VLOOKUP(Tabla_Consulta_desde_Proyectos10[[#This Row],[PRYRAfecha]],'Fechas Mes'!G:J,4,TRUE)</f>
        <v>#N/A</v>
      </c>
      <c r="AD83" t="str">
        <f>IFERROR(VLOOKUP(Tabla_Consulta_desde_Proyectos10[[#This Row],[PRYcodigo]],Catálogo!A:B,2,FALSE),"Otros")</f>
        <v>Otros</v>
      </c>
      <c r="AE83" t="str">
        <f>IF(LEN(Tabla_Consulta_desde_Proyectos10[[#This Row],[Semana]])&lt;13,"CI",RIGHT(Tabla_Consulta_desde_Proyectos10[[#This Row],[Semana]],4))</f>
        <v>CI</v>
      </c>
    </row>
    <row r="84" spans="1:31" hidden="1">
      <c r="A84" t="s">
        <v>4032</v>
      </c>
      <c r="B84" t="s">
        <v>6752</v>
      </c>
      <c r="C84" t="s">
        <v>6753</v>
      </c>
      <c r="D84" t="s">
        <v>7566</v>
      </c>
      <c r="E84" t="s">
        <v>7567</v>
      </c>
      <c r="F84">
        <v>0</v>
      </c>
      <c r="G84" t="s">
        <v>7221</v>
      </c>
      <c r="L84" s="4"/>
      <c r="O84">
        <v>3000000001825371</v>
      </c>
      <c r="W84" t="str">
        <f>Tabla_Consulta_desde_Proyectos10[[#This Row],[PRYcodigo]]&amp;Tabla_Consulta_desde_Proyectos10[[#This Row],[PRYApath]]</f>
        <v>095-202-RDIG/0020</v>
      </c>
      <c r="X84" t="str">
        <f>Tabla_Consulta_desde_Proyectos10[[#This Row],[PRYAcodigo]]&amp;" - "&amp;Tabla_Consulta_desde_Proyectos10[[#This Row],[PRYAdescripcion]]</f>
        <v>176_MCD - MEJORAS AL CORE Y DASHBOARD DE RECETA DIGITAL</v>
      </c>
      <c r="Y84" t="str">
        <f>SUBSTITUTE(IFERROR(VLOOKUP(LEFT(Tabla_Consulta_desde_Proyectos10[[#This Row],[Nivel1]],LEN(Tabla_Consulta_desde_Proyectos10[[#This Row],[Nivel1]])-5),Tabla_Consulta_desde_Proyectos10[[#All],[Nivel1]:[Actividad]],2,FALSE),""),"_","-")</f>
        <v/>
      </c>
      <c r="Z84" t="str">
        <f>IFERROR(VLOOKUP(Tabla_Consulta_desde_Proyectos10[[#This Row],[PRYRAfecha]],'Fechas Mes'!G:J,4,TRUE),"")</f>
        <v/>
      </c>
      <c r="AA84" t="e" cm="1">
        <f t="array" ref="AA84">INDEX('Fechas Mes'!F:F,MATCH(Tabla_Consulta_desde_Proyectos10[[#This Row],[Semana]],'Fechas Mes'!J:J,0),)</f>
        <v>#N/A</v>
      </c>
      <c r="AB84">
        <f>YEAR(Tabla_Consulta_desde_Proyectos10[[#This Row],[PRYRAfecha]])</f>
        <v>1900</v>
      </c>
      <c r="AC84" t="e">
        <f>VLOOKUP(Tabla_Consulta_desde_Proyectos10[[#This Row],[PRYRAfecha]],'Fechas Mes'!G:J,4,TRUE)</f>
        <v>#N/A</v>
      </c>
      <c r="AD84" t="str">
        <f>IFERROR(VLOOKUP(Tabla_Consulta_desde_Proyectos10[[#This Row],[PRYcodigo]],Catálogo!A:B,2,FALSE),"Otros")</f>
        <v>Otros</v>
      </c>
      <c r="AE84" t="str">
        <f>IF(LEN(Tabla_Consulta_desde_Proyectos10[[#This Row],[Semana]])&lt;13,"CI",RIGHT(Tabla_Consulta_desde_Proyectos10[[#This Row],[Semana]],4))</f>
        <v>CI</v>
      </c>
    </row>
    <row r="85" spans="1:31" hidden="1">
      <c r="A85" t="s">
        <v>4032</v>
      </c>
      <c r="B85" t="s">
        <v>6752</v>
      </c>
      <c r="C85" t="s">
        <v>6753</v>
      </c>
      <c r="D85" t="s">
        <v>7566</v>
      </c>
      <c r="E85" t="s">
        <v>7567</v>
      </c>
      <c r="F85">
        <v>0</v>
      </c>
      <c r="G85" t="s">
        <v>7221</v>
      </c>
      <c r="L85" s="4"/>
      <c r="O85">
        <v>3000000001829192</v>
      </c>
      <c r="W85" t="str">
        <f>Tabla_Consulta_desde_Proyectos10[[#This Row],[PRYcodigo]]&amp;Tabla_Consulta_desde_Proyectos10[[#This Row],[PRYApath]]</f>
        <v>095-202-RDIG/0020</v>
      </c>
      <c r="X85" t="str">
        <f>Tabla_Consulta_desde_Proyectos10[[#This Row],[PRYAcodigo]]&amp;" - "&amp;Tabla_Consulta_desde_Proyectos10[[#This Row],[PRYAdescripcion]]</f>
        <v>176_MCD - MEJORAS AL CORE Y DASHBOARD DE RECETA DIGITAL</v>
      </c>
      <c r="Y85" t="str">
        <f>SUBSTITUTE(IFERROR(VLOOKUP(LEFT(Tabla_Consulta_desde_Proyectos10[[#This Row],[Nivel1]],LEN(Tabla_Consulta_desde_Proyectos10[[#This Row],[Nivel1]])-5),Tabla_Consulta_desde_Proyectos10[[#All],[Nivel1]:[Actividad]],2,FALSE),""),"_","-")</f>
        <v/>
      </c>
      <c r="Z85" t="str">
        <f>IFERROR(VLOOKUP(Tabla_Consulta_desde_Proyectos10[[#This Row],[PRYRAfecha]],'Fechas Mes'!G:J,4,TRUE),"")</f>
        <v/>
      </c>
      <c r="AA85" t="e" cm="1">
        <f t="array" ref="AA85">INDEX('Fechas Mes'!F:F,MATCH(Tabla_Consulta_desde_Proyectos10[[#This Row],[Semana]],'Fechas Mes'!J:J,0),)</f>
        <v>#N/A</v>
      </c>
      <c r="AB85">
        <f>YEAR(Tabla_Consulta_desde_Proyectos10[[#This Row],[PRYRAfecha]])</f>
        <v>1900</v>
      </c>
      <c r="AC85" t="e">
        <f>VLOOKUP(Tabla_Consulta_desde_Proyectos10[[#This Row],[PRYRAfecha]],'Fechas Mes'!G:J,4,TRUE)</f>
        <v>#N/A</v>
      </c>
      <c r="AD85" t="str">
        <f>IFERROR(VLOOKUP(Tabla_Consulta_desde_Proyectos10[[#This Row],[PRYcodigo]],Catálogo!A:B,2,FALSE),"Otros")</f>
        <v>Otros</v>
      </c>
      <c r="AE85" t="str">
        <f>IF(LEN(Tabla_Consulta_desde_Proyectos10[[#This Row],[Semana]])&lt;13,"CI",RIGHT(Tabla_Consulta_desde_Proyectos10[[#This Row],[Semana]],4))</f>
        <v>CI</v>
      </c>
    </row>
    <row r="86" spans="1:31" hidden="1">
      <c r="A86" t="s">
        <v>4032</v>
      </c>
      <c r="B86" t="s">
        <v>6752</v>
      </c>
      <c r="C86" t="s">
        <v>6753</v>
      </c>
      <c r="D86" t="s">
        <v>7566</v>
      </c>
      <c r="E86" t="s">
        <v>7567</v>
      </c>
      <c r="F86">
        <v>0</v>
      </c>
      <c r="G86" t="s">
        <v>7221</v>
      </c>
      <c r="L86" s="4"/>
      <c r="O86">
        <v>3000000001829193</v>
      </c>
      <c r="W86" t="str">
        <f>Tabla_Consulta_desde_Proyectos10[[#This Row],[PRYcodigo]]&amp;Tabla_Consulta_desde_Proyectos10[[#This Row],[PRYApath]]</f>
        <v>095-202-RDIG/0020</v>
      </c>
      <c r="X86" t="str">
        <f>Tabla_Consulta_desde_Proyectos10[[#This Row],[PRYAcodigo]]&amp;" - "&amp;Tabla_Consulta_desde_Proyectos10[[#This Row],[PRYAdescripcion]]</f>
        <v>176_MCD - MEJORAS AL CORE Y DASHBOARD DE RECETA DIGITAL</v>
      </c>
      <c r="Y86" t="str">
        <f>SUBSTITUTE(IFERROR(VLOOKUP(LEFT(Tabla_Consulta_desde_Proyectos10[[#This Row],[Nivel1]],LEN(Tabla_Consulta_desde_Proyectos10[[#This Row],[Nivel1]])-5),Tabla_Consulta_desde_Proyectos10[[#All],[Nivel1]:[Actividad]],2,FALSE),""),"_","-")</f>
        <v/>
      </c>
      <c r="Z86" t="str">
        <f>IFERROR(VLOOKUP(Tabla_Consulta_desde_Proyectos10[[#This Row],[PRYRAfecha]],'Fechas Mes'!G:J,4,TRUE),"")</f>
        <v/>
      </c>
      <c r="AA86" t="e" cm="1">
        <f t="array" ref="AA86">INDEX('Fechas Mes'!F:F,MATCH(Tabla_Consulta_desde_Proyectos10[[#This Row],[Semana]],'Fechas Mes'!J:J,0),)</f>
        <v>#N/A</v>
      </c>
      <c r="AB86">
        <f>YEAR(Tabla_Consulta_desde_Proyectos10[[#This Row],[PRYRAfecha]])</f>
        <v>1900</v>
      </c>
      <c r="AC86" t="e">
        <f>VLOOKUP(Tabla_Consulta_desde_Proyectos10[[#This Row],[PRYRAfecha]],'Fechas Mes'!G:J,4,TRUE)</f>
        <v>#N/A</v>
      </c>
      <c r="AD86" t="str">
        <f>IFERROR(VLOOKUP(Tabla_Consulta_desde_Proyectos10[[#This Row],[PRYcodigo]],Catálogo!A:B,2,FALSE),"Otros")</f>
        <v>Otros</v>
      </c>
      <c r="AE86" t="str">
        <f>IF(LEN(Tabla_Consulta_desde_Proyectos10[[#This Row],[Semana]])&lt;13,"CI",RIGHT(Tabla_Consulta_desde_Proyectos10[[#This Row],[Semana]],4))</f>
        <v>CI</v>
      </c>
    </row>
    <row r="87" spans="1:31" hidden="1">
      <c r="A87" t="s">
        <v>4032</v>
      </c>
      <c r="B87" t="s">
        <v>6752</v>
      </c>
      <c r="C87" t="s">
        <v>6753</v>
      </c>
      <c r="D87" t="s">
        <v>7566</v>
      </c>
      <c r="E87" t="s">
        <v>7567</v>
      </c>
      <c r="F87">
        <v>0</v>
      </c>
      <c r="G87" t="s">
        <v>7221</v>
      </c>
      <c r="L87" s="4"/>
      <c r="O87">
        <v>3000000001829195</v>
      </c>
      <c r="W87" t="str">
        <f>Tabla_Consulta_desde_Proyectos10[[#This Row],[PRYcodigo]]&amp;Tabla_Consulta_desde_Proyectos10[[#This Row],[PRYApath]]</f>
        <v>095-202-RDIG/0020</v>
      </c>
      <c r="X87" t="str">
        <f>Tabla_Consulta_desde_Proyectos10[[#This Row],[PRYAcodigo]]&amp;" - "&amp;Tabla_Consulta_desde_Proyectos10[[#This Row],[PRYAdescripcion]]</f>
        <v>176_MCD - MEJORAS AL CORE Y DASHBOARD DE RECETA DIGITAL</v>
      </c>
      <c r="Y87" t="str">
        <f>SUBSTITUTE(IFERROR(VLOOKUP(LEFT(Tabla_Consulta_desde_Proyectos10[[#This Row],[Nivel1]],LEN(Tabla_Consulta_desde_Proyectos10[[#This Row],[Nivel1]])-5),Tabla_Consulta_desde_Proyectos10[[#All],[Nivel1]:[Actividad]],2,FALSE),""),"_","-")</f>
        <v/>
      </c>
      <c r="Z87" t="str">
        <f>IFERROR(VLOOKUP(Tabla_Consulta_desde_Proyectos10[[#This Row],[PRYRAfecha]],'Fechas Mes'!G:J,4,TRUE),"")</f>
        <v/>
      </c>
      <c r="AA87" t="e" cm="1">
        <f t="array" ref="AA87">INDEX('Fechas Mes'!F:F,MATCH(Tabla_Consulta_desde_Proyectos10[[#This Row],[Semana]],'Fechas Mes'!J:J,0),)</f>
        <v>#N/A</v>
      </c>
      <c r="AB87">
        <f>YEAR(Tabla_Consulta_desde_Proyectos10[[#This Row],[PRYRAfecha]])</f>
        <v>1900</v>
      </c>
      <c r="AC87" t="e">
        <f>VLOOKUP(Tabla_Consulta_desde_Proyectos10[[#This Row],[PRYRAfecha]],'Fechas Mes'!G:J,4,TRUE)</f>
        <v>#N/A</v>
      </c>
      <c r="AD87" t="str">
        <f>IFERROR(VLOOKUP(Tabla_Consulta_desde_Proyectos10[[#This Row],[PRYcodigo]],Catálogo!A:B,2,FALSE),"Otros")</f>
        <v>Otros</v>
      </c>
      <c r="AE87" t="str">
        <f>IF(LEN(Tabla_Consulta_desde_Proyectos10[[#This Row],[Semana]])&lt;13,"CI",RIGHT(Tabla_Consulta_desde_Proyectos10[[#This Row],[Semana]],4))</f>
        <v>CI</v>
      </c>
    </row>
    <row r="88" spans="1:31" hidden="1">
      <c r="A88" t="s">
        <v>4032</v>
      </c>
      <c r="B88" t="s">
        <v>6752</v>
      </c>
      <c r="C88" t="s">
        <v>6753</v>
      </c>
      <c r="D88" t="s">
        <v>7566</v>
      </c>
      <c r="E88" t="s">
        <v>7567</v>
      </c>
      <c r="F88">
        <v>0</v>
      </c>
      <c r="G88" t="s">
        <v>7221</v>
      </c>
      <c r="L88" s="4"/>
      <c r="O88">
        <v>3000000001829196</v>
      </c>
      <c r="W88" t="str">
        <f>Tabla_Consulta_desde_Proyectos10[[#This Row],[PRYcodigo]]&amp;Tabla_Consulta_desde_Proyectos10[[#This Row],[PRYApath]]</f>
        <v>095-202-RDIG/0020</v>
      </c>
      <c r="X88" t="str">
        <f>Tabla_Consulta_desde_Proyectos10[[#This Row],[PRYAcodigo]]&amp;" - "&amp;Tabla_Consulta_desde_Proyectos10[[#This Row],[PRYAdescripcion]]</f>
        <v>176_MCD - MEJORAS AL CORE Y DASHBOARD DE RECETA DIGITAL</v>
      </c>
      <c r="Y88" t="str">
        <f>SUBSTITUTE(IFERROR(VLOOKUP(LEFT(Tabla_Consulta_desde_Proyectos10[[#This Row],[Nivel1]],LEN(Tabla_Consulta_desde_Proyectos10[[#This Row],[Nivel1]])-5),Tabla_Consulta_desde_Proyectos10[[#All],[Nivel1]:[Actividad]],2,FALSE),""),"_","-")</f>
        <v/>
      </c>
      <c r="Z88" t="str">
        <f>IFERROR(VLOOKUP(Tabla_Consulta_desde_Proyectos10[[#This Row],[PRYRAfecha]],'Fechas Mes'!G:J,4,TRUE),"")</f>
        <v/>
      </c>
      <c r="AA88" t="e" cm="1">
        <f t="array" ref="AA88">INDEX('Fechas Mes'!F:F,MATCH(Tabla_Consulta_desde_Proyectos10[[#This Row],[Semana]],'Fechas Mes'!J:J,0),)</f>
        <v>#N/A</v>
      </c>
      <c r="AB88">
        <f>YEAR(Tabla_Consulta_desde_Proyectos10[[#This Row],[PRYRAfecha]])</f>
        <v>1900</v>
      </c>
      <c r="AC88" t="e">
        <f>VLOOKUP(Tabla_Consulta_desde_Proyectos10[[#This Row],[PRYRAfecha]],'Fechas Mes'!G:J,4,TRUE)</f>
        <v>#N/A</v>
      </c>
      <c r="AD88" t="str">
        <f>IFERROR(VLOOKUP(Tabla_Consulta_desde_Proyectos10[[#This Row],[PRYcodigo]],Catálogo!A:B,2,FALSE),"Otros")</f>
        <v>Otros</v>
      </c>
      <c r="AE88" t="str">
        <f>IF(LEN(Tabla_Consulta_desde_Proyectos10[[#This Row],[Semana]])&lt;13,"CI",RIGHT(Tabla_Consulta_desde_Proyectos10[[#This Row],[Semana]],4))</f>
        <v>CI</v>
      </c>
    </row>
    <row r="89" spans="1:31" hidden="1">
      <c r="A89" t="s">
        <v>4032</v>
      </c>
      <c r="B89" t="s">
        <v>6752</v>
      </c>
      <c r="C89" t="s">
        <v>6753</v>
      </c>
      <c r="D89" t="s">
        <v>7566</v>
      </c>
      <c r="E89" t="s">
        <v>7567</v>
      </c>
      <c r="F89">
        <v>0</v>
      </c>
      <c r="G89" t="s">
        <v>7221</v>
      </c>
      <c r="L89" s="4"/>
      <c r="O89">
        <v>3000000001829197</v>
      </c>
      <c r="W89" t="str">
        <f>Tabla_Consulta_desde_Proyectos10[[#This Row],[PRYcodigo]]&amp;Tabla_Consulta_desde_Proyectos10[[#This Row],[PRYApath]]</f>
        <v>095-202-RDIG/0020</v>
      </c>
      <c r="X89" t="str">
        <f>Tabla_Consulta_desde_Proyectos10[[#This Row],[PRYAcodigo]]&amp;" - "&amp;Tabla_Consulta_desde_Proyectos10[[#This Row],[PRYAdescripcion]]</f>
        <v>176_MCD - MEJORAS AL CORE Y DASHBOARD DE RECETA DIGITAL</v>
      </c>
      <c r="Y89" t="str">
        <f>SUBSTITUTE(IFERROR(VLOOKUP(LEFT(Tabla_Consulta_desde_Proyectos10[[#This Row],[Nivel1]],LEN(Tabla_Consulta_desde_Proyectos10[[#This Row],[Nivel1]])-5),Tabla_Consulta_desde_Proyectos10[[#All],[Nivel1]:[Actividad]],2,FALSE),""),"_","-")</f>
        <v/>
      </c>
      <c r="Z89" t="str">
        <f>IFERROR(VLOOKUP(Tabla_Consulta_desde_Proyectos10[[#This Row],[PRYRAfecha]],'Fechas Mes'!G:J,4,TRUE),"")</f>
        <v/>
      </c>
      <c r="AA89" t="e" cm="1">
        <f t="array" ref="AA89">INDEX('Fechas Mes'!F:F,MATCH(Tabla_Consulta_desde_Proyectos10[[#This Row],[Semana]],'Fechas Mes'!J:J,0),)</f>
        <v>#N/A</v>
      </c>
      <c r="AB89">
        <f>YEAR(Tabla_Consulta_desde_Proyectos10[[#This Row],[PRYRAfecha]])</f>
        <v>1900</v>
      </c>
      <c r="AC89" t="e">
        <f>VLOOKUP(Tabla_Consulta_desde_Proyectos10[[#This Row],[PRYRAfecha]],'Fechas Mes'!G:J,4,TRUE)</f>
        <v>#N/A</v>
      </c>
      <c r="AD89" t="str">
        <f>IFERROR(VLOOKUP(Tabla_Consulta_desde_Proyectos10[[#This Row],[PRYcodigo]],Catálogo!A:B,2,FALSE),"Otros")</f>
        <v>Otros</v>
      </c>
      <c r="AE89" t="str">
        <f>IF(LEN(Tabla_Consulta_desde_Proyectos10[[#This Row],[Semana]])&lt;13,"CI",RIGHT(Tabla_Consulta_desde_Proyectos10[[#This Row],[Semana]],4))</f>
        <v>CI</v>
      </c>
    </row>
    <row r="90" spans="1:31" hidden="1">
      <c r="A90" t="s">
        <v>4032</v>
      </c>
      <c r="B90" t="s">
        <v>6752</v>
      </c>
      <c r="C90" t="s">
        <v>6753</v>
      </c>
      <c r="D90" t="s">
        <v>7566</v>
      </c>
      <c r="E90" t="s">
        <v>7567</v>
      </c>
      <c r="F90">
        <v>0</v>
      </c>
      <c r="G90" t="s">
        <v>7221</v>
      </c>
      <c r="L90" s="4"/>
      <c r="O90">
        <v>3000000001829198</v>
      </c>
      <c r="W90" t="str">
        <f>Tabla_Consulta_desde_Proyectos10[[#This Row],[PRYcodigo]]&amp;Tabla_Consulta_desde_Proyectos10[[#This Row],[PRYApath]]</f>
        <v>095-202-RDIG/0020</v>
      </c>
      <c r="X90" t="str">
        <f>Tabla_Consulta_desde_Proyectos10[[#This Row],[PRYAcodigo]]&amp;" - "&amp;Tabla_Consulta_desde_Proyectos10[[#This Row],[PRYAdescripcion]]</f>
        <v>176_MCD - MEJORAS AL CORE Y DASHBOARD DE RECETA DIGITAL</v>
      </c>
      <c r="Y90" t="str">
        <f>SUBSTITUTE(IFERROR(VLOOKUP(LEFT(Tabla_Consulta_desde_Proyectos10[[#This Row],[Nivel1]],LEN(Tabla_Consulta_desde_Proyectos10[[#This Row],[Nivel1]])-5),Tabla_Consulta_desde_Proyectos10[[#All],[Nivel1]:[Actividad]],2,FALSE),""),"_","-")</f>
        <v/>
      </c>
      <c r="Z90" t="str">
        <f>IFERROR(VLOOKUP(Tabla_Consulta_desde_Proyectos10[[#This Row],[PRYRAfecha]],'Fechas Mes'!G:J,4,TRUE),"")</f>
        <v/>
      </c>
      <c r="AA90" t="e" cm="1">
        <f t="array" ref="AA90">INDEX('Fechas Mes'!F:F,MATCH(Tabla_Consulta_desde_Proyectos10[[#This Row],[Semana]],'Fechas Mes'!J:J,0),)</f>
        <v>#N/A</v>
      </c>
      <c r="AB90">
        <f>YEAR(Tabla_Consulta_desde_Proyectos10[[#This Row],[PRYRAfecha]])</f>
        <v>1900</v>
      </c>
      <c r="AC90" t="e">
        <f>VLOOKUP(Tabla_Consulta_desde_Proyectos10[[#This Row],[PRYRAfecha]],'Fechas Mes'!G:J,4,TRUE)</f>
        <v>#N/A</v>
      </c>
      <c r="AD90" t="str">
        <f>IFERROR(VLOOKUP(Tabla_Consulta_desde_Proyectos10[[#This Row],[PRYcodigo]],Catálogo!A:B,2,FALSE),"Otros")</f>
        <v>Otros</v>
      </c>
      <c r="AE90" t="str">
        <f>IF(LEN(Tabla_Consulta_desde_Proyectos10[[#This Row],[Semana]])&lt;13,"CI",RIGHT(Tabla_Consulta_desde_Proyectos10[[#This Row],[Semana]],4))</f>
        <v>CI</v>
      </c>
    </row>
    <row r="91" spans="1:31" hidden="1">
      <c r="A91" t="s">
        <v>4032</v>
      </c>
      <c r="B91" t="s">
        <v>6752</v>
      </c>
      <c r="C91" t="s">
        <v>6753</v>
      </c>
      <c r="D91" t="s">
        <v>7566</v>
      </c>
      <c r="E91" t="s">
        <v>7567</v>
      </c>
      <c r="F91">
        <v>0</v>
      </c>
      <c r="G91" t="s">
        <v>7221</v>
      </c>
      <c r="L91" s="4"/>
      <c r="O91">
        <v>3000000001829199</v>
      </c>
      <c r="W91" t="str">
        <f>Tabla_Consulta_desde_Proyectos10[[#This Row],[PRYcodigo]]&amp;Tabla_Consulta_desde_Proyectos10[[#This Row],[PRYApath]]</f>
        <v>095-202-RDIG/0020</v>
      </c>
      <c r="X91" t="str">
        <f>Tabla_Consulta_desde_Proyectos10[[#This Row],[PRYAcodigo]]&amp;" - "&amp;Tabla_Consulta_desde_Proyectos10[[#This Row],[PRYAdescripcion]]</f>
        <v>176_MCD - MEJORAS AL CORE Y DASHBOARD DE RECETA DIGITAL</v>
      </c>
      <c r="Y91" t="str">
        <f>SUBSTITUTE(IFERROR(VLOOKUP(LEFT(Tabla_Consulta_desde_Proyectos10[[#This Row],[Nivel1]],LEN(Tabla_Consulta_desde_Proyectos10[[#This Row],[Nivel1]])-5),Tabla_Consulta_desde_Proyectos10[[#All],[Nivel1]:[Actividad]],2,FALSE),""),"_","-")</f>
        <v/>
      </c>
      <c r="Z91" t="str">
        <f>IFERROR(VLOOKUP(Tabla_Consulta_desde_Proyectos10[[#This Row],[PRYRAfecha]],'Fechas Mes'!G:J,4,TRUE),"")</f>
        <v/>
      </c>
      <c r="AA91" t="e" cm="1">
        <f t="array" ref="AA91">INDEX('Fechas Mes'!F:F,MATCH(Tabla_Consulta_desde_Proyectos10[[#This Row],[Semana]],'Fechas Mes'!J:J,0),)</f>
        <v>#N/A</v>
      </c>
      <c r="AB91">
        <f>YEAR(Tabla_Consulta_desde_Proyectos10[[#This Row],[PRYRAfecha]])</f>
        <v>1900</v>
      </c>
      <c r="AC91" t="e">
        <f>VLOOKUP(Tabla_Consulta_desde_Proyectos10[[#This Row],[PRYRAfecha]],'Fechas Mes'!G:J,4,TRUE)</f>
        <v>#N/A</v>
      </c>
      <c r="AD91" t="str">
        <f>IFERROR(VLOOKUP(Tabla_Consulta_desde_Proyectos10[[#This Row],[PRYcodigo]],Catálogo!A:B,2,FALSE),"Otros")</f>
        <v>Otros</v>
      </c>
      <c r="AE91" t="str">
        <f>IF(LEN(Tabla_Consulta_desde_Proyectos10[[#This Row],[Semana]])&lt;13,"CI",RIGHT(Tabla_Consulta_desde_Proyectos10[[#This Row],[Semana]],4))</f>
        <v>CI</v>
      </c>
    </row>
    <row r="92" spans="1:31" hidden="1">
      <c r="A92" t="s">
        <v>4032</v>
      </c>
      <c r="B92" t="s">
        <v>6752</v>
      </c>
      <c r="C92" t="s">
        <v>6753</v>
      </c>
      <c r="D92" t="s">
        <v>7566</v>
      </c>
      <c r="E92" t="s">
        <v>7567</v>
      </c>
      <c r="F92">
        <v>0</v>
      </c>
      <c r="G92" t="s">
        <v>7221</v>
      </c>
      <c r="L92" s="4"/>
      <c r="O92">
        <v>3000000001829201</v>
      </c>
      <c r="W92" t="str">
        <f>Tabla_Consulta_desde_Proyectos10[[#This Row],[PRYcodigo]]&amp;Tabla_Consulta_desde_Proyectos10[[#This Row],[PRYApath]]</f>
        <v>095-202-RDIG/0020</v>
      </c>
      <c r="X92" t="str">
        <f>Tabla_Consulta_desde_Proyectos10[[#This Row],[PRYAcodigo]]&amp;" - "&amp;Tabla_Consulta_desde_Proyectos10[[#This Row],[PRYAdescripcion]]</f>
        <v>176_MCD - MEJORAS AL CORE Y DASHBOARD DE RECETA DIGITAL</v>
      </c>
      <c r="Y92" t="str">
        <f>SUBSTITUTE(IFERROR(VLOOKUP(LEFT(Tabla_Consulta_desde_Proyectos10[[#This Row],[Nivel1]],LEN(Tabla_Consulta_desde_Proyectos10[[#This Row],[Nivel1]])-5),Tabla_Consulta_desde_Proyectos10[[#All],[Nivel1]:[Actividad]],2,FALSE),""),"_","-")</f>
        <v/>
      </c>
      <c r="Z92" t="str">
        <f>IFERROR(VLOOKUP(Tabla_Consulta_desde_Proyectos10[[#This Row],[PRYRAfecha]],'Fechas Mes'!G:J,4,TRUE),"")</f>
        <v/>
      </c>
      <c r="AA92" t="e" cm="1">
        <f t="array" ref="AA92">INDEX('Fechas Mes'!F:F,MATCH(Tabla_Consulta_desde_Proyectos10[[#This Row],[Semana]],'Fechas Mes'!J:J,0),)</f>
        <v>#N/A</v>
      </c>
      <c r="AB92">
        <f>YEAR(Tabla_Consulta_desde_Proyectos10[[#This Row],[PRYRAfecha]])</f>
        <v>1900</v>
      </c>
      <c r="AC92" t="e">
        <f>VLOOKUP(Tabla_Consulta_desde_Proyectos10[[#This Row],[PRYRAfecha]],'Fechas Mes'!G:J,4,TRUE)</f>
        <v>#N/A</v>
      </c>
      <c r="AD92" t="str">
        <f>IFERROR(VLOOKUP(Tabla_Consulta_desde_Proyectos10[[#This Row],[PRYcodigo]],Catálogo!A:B,2,FALSE),"Otros")</f>
        <v>Otros</v>
      </c>
      <c r="AE92" t="str">
        <f>IF(LEN(Tabla_Consulta_desde_Proyectos10[[#This Row],[Semana]])&lt;13,"CI",RIGHT(Tabla_Consulta_desde_Proyectos10[[#This Row],[Semana]],4))</f>
        <v>CI</v>
      </c>
    </row>
    <row r="93" spans="1:31" hidden="1">
      <c r="A93" t="s">
        <v>4032</v>
      </c>
      <c r="B93" t="s">
        <v>6752</v>
      </c>
      <c r="C93" t="s">
        <v>6753</v>
      </c>
      <c r="D93" t="s">
        <v>7566</v>
      </c>
      <c r="E93" t="s">
        <v>7567</v>
      </c>
      <c r="F93">
        <v>0</v>
      </c>
      <c r="G93" t="s">
        <v>7221</v>
      </c>
      <c r="L93" s="4"/>
      <c r="O93">
        <v>3000000001829203</v>
      </c>
      <c r="W93" t="str">
        <f>Tabla_Consulta_desde_Proyectos10[[#This Row],[PRYcodigo]]&amp;Tabla_Consulta_desde_Proyectos10[[#This Row],[PRYApath]]</f>
        <v>095-202-RDIG/0020</v>
      </c>
      <c r="X93" t="str">
        <f>Tabla_Consulta_desde_Proyectos10[[#This Row],[PRYAcodigo]]&amp;" - "&amp;Tabla_Consulta_desde_Proyectos10[[#This Row],[PRYAdescripcion]]</f>
        <v>176_MCD - MEJORAS AL CORE Y DASHBOARD DE RECETA DIGITAL</v>
      </c>
      <c r="Y93" t="str">
        <f>SUBSTITUTE(IFERROR(VLOOKUP(LEFT(Tabla_Consulta_desde_Proyectos10[[#This Row],[Nivel1]],LEN(Tabla_Consulta_desde_Proyectos10[[#This Row],[Nivel1]])-5),Tabla_Consulta_desde_Proyectos10[[#All],[Nivel1]:[Actividad]],2,FALSE),""),"_","-")</f>
        <v/>
      </c>
      <c r="Z93" t="str">
        <f>IFERROR(VLOOKUP(Tabla_Consulta_desde_Proyectos10[[#This Row],[PRYRAfecha]],'Fechas Mes'!G:J,4,TRUE),"")</f>
        <v/>
      </c>
      <c r="AA93" t="e" cm="1">
        <f t="array" ref="AA93">INDEX('Fechas Mes'!F:F,MATCH(Tabla_Consulta_desde_Proyectos10[[#This Row],[Semana]],'Fechas Mes'!J:J,0),)</f>
        <v>#N/A</v>
      </c>
      <c r="AB93">
        <f>YEAR(Tabla_Consulta_desde_Proyectos10[[#This Row],[PRYRAfecha]])</f>
        <v>1900</v>
      </c>
      <c r="AC93" t="e">
        <f>VLOOKUP(Tabla_Consulta_desde_Proyectos10[[#This Row],[PRYRAfecha]],'Fechas Mes'!G:J,4,TRUE)</f>
        <v>#N/A</v>
      </c>
      <c r="AD93" t="str">
        <f>IFERROR(VLOOKUP(Tabla_Consulta_desde_Proyectos10[[#This Row],[PRYcodigo]],Catálogo!A:B,2,FALSE),"Otros")</f>
        <v>Otros</v>
      </c>
      <c r="AE93" t="str">
        <f>IF(LEN(Tabla_Consulta_desde_Proyectos10[[#This Row],[Semana]])&lt;13,"CI",RIGHT(Tabla_Consulta_desde_Proyectos10[[#This Row],[Semana]],4))</f>
        <v>CI</v>
      </c>
    </row>
    <row r="94" spans="1:31" hidden="1">
      <c r="A94" t="s">
        <v>4032</v>
      </c>
      <c r="B94" t="s">
        <v>6752</v>
      </c>
      <c r="C94" t="s">
        <v>6753</v>
      </c>
      <c r="D94" t="s">
        <v>7566</v>
      </c>
      <c r="E94" t="s">
        <v>7567</v>
      </c>
      <c r="F94">
        <v>0</v>
      </c>
      <c r="G94" t="s">
        <v>7221</v>
      </c>
      <c r="L94" s="4"/>
      <c r="O94">
        <v>3000000001829204</v>
      </c>
      <c r="W94" t="str">
        <f>Tabla_Consulta_desde_Proyectos10[[#This Row],[PRYcodigo]]&amp;Tabla_Consulta_desde_Proyectos10[[#This Row],[PRYApath]]</f>
        <v>095-202-RDIG/0020</v>
      </c>
      <c r="X94" t="str">
        <f>Tabla_Consulta_desde_Proyectos10[[#This Row],[PRYAcodigo]]&amp;" - "&amp;Tabla_Consulta_desde_Proyectos10[[#This Row],[PRYAdescripcion]]</f>
        <v>176_MCD - MEJORAS AL CORE Y DASHBOARD DE RECETA DIGITAL</v>
      </c>
      <c r="Y94" t="str">
        <f>SUBSTITUTE(IFERROR(VLOOKUP(LEFT(Tabla_Consulta_desde_Proyectos10[[#This Row],[Nivel1]],LEN(Tabla_Consulta_desde_Proyectos10[[#This Row],[Nivel1]])-5),Tabla_Consulta_desde_Proyectos10[[#All],[Nivel1]:[Actividad]],2,FALSE),""),"_","-")</f>
        <v/>
      </c>
      <c r="Z94" t="str">
        <f>IFERROR(VLOOKUP(Tabla_Consulta_desde_Proyectos10[[#This Row],[PRYRAfecha]],'Fechas Mes'!G:J,4,TRUE),"")</f>
        <v/>
      </c>
      <c r="AA94" t="e" cm="1">
        <f t="array" ref="AA94">INDEX('Fechas Mes'!F:F,MATCH(Tabla_Consulta_desde_Proyectos10[[#This Row],[Semana]],'Fechas Mes'!J:J,0),)</f>
        <v>#N/A</v>
      </c>
      <c r="AB94">
        <f>YEAR(Tabla_Consulta_desde_Proyectos10[[#This Row],[PRYRAfecha]])</f>
        <v>1900</v>
      </c>
      <c r="AC94" t="e">
        <f>VLOOKUP(Tabla_Consulta_desde_Proyectos10[[#This Row],[PRYRAfecha]],'Fechas Mes'!G:J,4,TRUE)</f>
        <v>#N/A</v>
      </c>
      <c r="AD94" t="str">
        <f>IFERROR(VLOOKUP(Tabla_Consulta_desde_Proyectos10[[#This Row],[PRYcodigo]],Catálogo!A:B,2,FALSE),"Otros")</f>
        <v>Otros</v>
      </c>
      <c r="AE94" t="str">
        <f>IF(LEN(Tabla_Consulta_desde_Proyectos10[[#This Row],[Semana]])&lt;13,"CI",RIGHT(Tabla_Consulta_desde_Proyectos10[[#This Row],[Semana]],4))</f>
        <v>CI</v>
      </c>
    </row>
    <row r="95" spans="1:31" hidden="1">
      <c r="A95" t="s">
        <v>4032</v>
      </c>
      <c r="B95" t="s">
        <v>6752</v>
      </c>
      <c r="C95" t="s">
        <v>6753</v>
      </c>
      <c r="D95" t="s">
        <v>7566</v>
      </c>
      <c r="E95" t="s">
        <v>7567</v>
      </c>
      <c r="F95">
        <v>0</v>
      </c>
      <c r="G95" t="s">
        <v>7221</v>
      </c>
      <c r="L95" s="4"/>
      <c r="O95">
        <v>3000000001829207</v>
      </c>
      <c r="W95" t="str">
        <f>Tabla_Consulta_desde_Proyectos10[[#This Row],[PRYcodigo]]&amp;Tabla_Consulta_desde_Proyectos10[[#This Row],[PRYApath]]</f>
        <v>095-202-RDIG/0020</v>
      </c>
      <c r="X95" t="str">
        <f>Tabla_Consulta_desde_Proyectos10[[#This Row],[PRYAcodigo]]&amp;" - "&amp;Tabla_Consulta_desde_Proyectos10[[#This Row],[PRYAdescripcion]]</f>
        <v>176_MCD - MEJORAS AL CORE Y DASHBOARD DE RECETA DIGITAL</v>
      </c>
      <c r="Y95" t="str">
        <f>SUBSTITUTE(IFERROR(VLOOKUP(LEFT(Tabla_Consulta_desde_Proyectos10[[#This Row],[Nivel1]],LEN(Tabla_Consulta_desde_Proyectos10[[#This Row],[Nivel1]])-5),Tabla_Consulta_desde_Proyectos10[[#All],[Nivel1]:[Actividad]],2,FALSE),""),"_","-")</f>
        <v/>
      </c>
      <c r="Z95" t="str">
        <f>IFERROR(VLOOKUP(Tabla_Consulta_desde_Proyectos10[[#This Row],[PRYRAfecha]],'Fechas Mes'!G:J,4,TRUE),"")</f>
        <v/>
      </c>
      <c r="AA95" t="e" cm="1">
        <f t="array" ref="AA95">INDEX('Fechas Mes'!F:F,MATCH(Tabla_Consulta_desde_Proyectos10[[#This Row],[Semana]],'Fechas Mes'!J:J,0),)</f>
        <v>#N/A</v>
      </c>
      <c r="AB95">
        <f>YEAR(Tabla_Consulta_desde_Proyectos10[[#This Row],[PRYRAfecha]])</f>
        <v>1900</v>
      </c>
      <c r="AC95" t="e">
        <f>VLOOKUP(Tabla_Consulta_desde_Proyectos10[[#This Row],[PRYRAfecha]],'Fechas Mes'!G:J,4,TRUE)</f>
        <v>#N/A</v>
      </c>
      <c r="AD95" t="str">
        <f>IFERROR(VLOOKUP(Tabla_Consulta_desde_Proyectos10[[#This Row],[PRYcodigo]],Catálogo!A:B,2,FALSE),"Otros")</f>
        <v>Otros</v>
      </c>
      <c r="AE95" t="str">
        <f>IF(LEN(Tabla_Consulta_desde_Proyectos10[[#This Row],[Semana]])&lt;13,"CI",RIGHT(Tabla_Consulta_desde_Proyectos10[[#This Row],[Semana]],4))</f>
        <v>CI</v>
      </c>
    </row>
    <row r="96" spans="1:31" hidden="1">
      <c r="A96" t="s">
        <v>4032</v>
      </c>
      <c r="B96" t="s">
        <v>6752</v>
      </c>
      <c r="C96" t="s">
        <v>6753</v>
      </c>
      <c r="D96" t="s">
        <v>7566</v>
      </c>
      <c r="E96" t="s">
        <v>7567</v>
      </c>
      <c r="F96">
        <v>0</v>
      </c>
      <c r="G96" t="s">
        <v>7221</v>
      </c>
      <c r="L96" s="4"/>
      <c r="O96">
        <v>3000000001829208</v>
      </c>
      <c r="W96" t="str">
        <f>Tabla_Consulta_desde_Proyectos10[[#This Row],[PRYcodigo]]&amp;Tabla_Consulta_desde_Proyectos10[[#This Row],[PRYApath]]</f>
        <v>095-202-RDIG/0020</v>
      </c>
      <c r="X96" t="str">
        <f>Tabla_Consulta_desde_Proyectos10[[#This Row],[PRYAcodigo]]&amp;" - "&amp;Tabla_Consulta_desde_Proyectos10[[#This Row],[PRYAdescripcion]]</f>
        <v>176_MCD - MEJORAS AL CORE Y DASHBOARD DE RECETA DIGITAL</v>
      </c>
      <c r="Y96" t="str">
        <f>SUBSTITUTE(IFERROR(VLOOKUP(LEFT(Tabla_Consulta_desde_Proyectos10[[#This Row],[Nivel1]],LEN(Tabla_Consulta_desde_Proyectos10[[#This Row],[Nivel1]])-5),Tabla_Consulta_desde_Proyectos10[[#All],[Nivel1]:[Actividad]],2,FALSE),""),"_","-")</f>
        <v/>
      </c>
      <c r="Z96" t="str">
        <f>IFERROR(VLOOKUP(Tabla_Consulta_desde_Proyectos10[[#This Row],[PRYRAfecha]],'Fechas Mes'!G:J,4,TRUE),"")</f>
        <v/>
      </c>
      <c r="AA96" t="e" cm="1">
        <f t="array" ref="AA96">INDEX('Fechas Mes'!F:F,MATCH(Tabla_Consulta_desde_Proyectos10[[#This Row],[Semana]],'Fechas Mes'!J:J,0),)</f>
        <v>#N/A</v>
      </c>
      <c r="AB96">
        <f>YEAR(Tabla_Consulta_desde_Proyectos10[[#This Row],[PRYRAfecha]])</f>
        <v>1900</v>
      </c>
      <c r="AC96" t="e">
        <f>VLOOKUP(Tabla_Consulta_desde_Proyectos10[[#This Row],[PRYRAfecha]],'Fechas Mes'!G:J,4,TRUE)</f>
        <v>#N/A</v>
      </c>
      <c r="AD96" t="str">
        <f>IFERROR(VLOOKUP(Tabla_Consulta_desde_Proyectos10[[#This Row],[PRYcodigo]],Catálogo!A:B,2,FALSE),"Otros")</f>
        <v>Otros</v>
      </c>
      <c r="AE96" t="str">
        <f>IF(LEN(Tabla_Consulta_desde_Proyectos10[[#This Row],[Semana]])&lt;13,"CI",RIGHT(Tabla_Consulta_desde_Proyectos10[[#This Row],[Semana]],4))</f>
        <v>CI</v>
      </c>
    </row>
    <row r="97" spans="1:31" hidden="1">
      <c r="A97" t="s">
        <v>4032</v>
      </c>
      <c r="B97" t="s">
        <v>6752</v>
      </c>
      <c r="C97" t="s">
        <v>6753</v>
      </c>
      <c r="D97" t="s">
        <v>7566</v>
      </c>
      <c r="E97" t="s">
        <v>7567</v>
      </c>
      <c r="F97">
        <v>0</v>
      </c>
      <c r="G97" t="s">
        <v>7221</v>
      </c>
      <c r="L97" s="4"/>
      <c r="O97">
        <v>3000000001829211</v>
      </c>
      <c r="W97" t="str">
        <f>Tabla_Consulta_desde_Proyectos10[[#This Row],[PRYcodigo]]&amp;Tabla_Consulta_desde_Proyectos10[[#This Row],[PRYApath]]</f>
        <v>095-202-RDIG/0020</v>
      </c>
      <c r="X97" t="str">
        <f>Tabla_Consulta_desde_Proyectos10[[#This Row],[PRYAcodigo]]&amp;" - "&amp;Tabla_Consulta_desde_Proyectos10[[#This Row],[PRYAdescripcion]]</f>
        <v>176_MCD - MEJORAS AL CORE Y DASHBOARD DE RECETA DIGITAL</v>
      </c>
      <c r="Y97" t="str">
        <f>SUBSTITUTE(IFERROR(VLOOKUP(LEFT(Tabla_Consulta_desde_Proyectos10[[#This Row],[Nivel1]],LEN(Tabla_Consulta_desde_Proyectos10[[#This Row],[Nivel1]])-5),Tabla_Consulta_desde_Proyectos10[[#All],[Nivel1]:[Actividad]],2,FALSE),""),"_","-")</f>
        <v/>
      </c>
      <c r="Z97" t="str">
        <f>IFERROR(VLOOKUP(Tabla_Consulta_desde_Proyectos10[[#This Row],[PRYRAfecha]],'Fechas Mes'!G:J,4,TRUE),"")</f>
        <v/>
      </c>
      <c r="AA97" t="e" cm="1">
        <f t="array" ref="AA97">INDEX('Fechas Mes'!F:F,MATCH(Tabla_Consulta_desde_Proyectos10[[#This Row],[Semana]],'Fechas Mes'!J:J,0),)</f>
        <v>#N/A</v>
      </c>
      <c r="AB97">
        <f>YEAR(Tabla_Consulta_desde_Proyectos10[[#This Row],[PRYRAfecha]])</f>
        <v>1900</v>
      </c>
      <c r="AC97" t="e">
        <f>VLOOKUP(Tabla_Consulta_desde_Proyectos10[[#This Row],[PRYRAfecha]],'Fechas Mes'!G:J,4,TRUE)</f>
        <v>#N/A</v>
      </c>
      <c r="AD97" t="str">
        <f>IFERROR(VLOOKUP(Tabla_Consulta_desde_Proyectos10[[#This Row],[PRYcodigo]],Catálogo!A:B,2,FALSE),"Otros")</f>
        <v>Otros</v>
      </c>
      <c r="AE97" t="str">
        <f>IF(LEN(Tabla_Consulta_desde_Proyectos10[[#This Row],[Semana]])&lt;13,"CI",RIGHT(Tabla_Consulta_desde_Proyectos10[[#This Row],[Semana]],4))</f>
        <v>CI</v>
      </c>
    </row>
    <row r="98" spans="1:31" hidden="1">
      <c r="A98" t="s">
        <v>4032</v>
      </c>
      <c r="B98" t="s">
        <v>6752</v>
      </c>
      <c r="C98" t="s">
        <v>6753</v>
      </c>
      <c r="D98" t="s">
        <v>7566</v>
      </c>
      <c r="E98" t="s">
        <v>7567</v>
      </c>
      <c r="F98">
        <v>0</v>
      </c>
      <c r="G98" t="s">
        <v>7221</v>
      </c>
      <c r="L98" s="4"/>
      <c r="O98">
        <v>3000000001829212</v>
      </c>
      <c r="W98" t="str">
        <f>Tabla_Consulta_desde_Proyectos10[[#This Row],[PRYcodigo]]&amp;Tabla_Consulta_desde_Proyectos10[[#This Row],[PRYApath]]</f>
        <v>095-202-RDIG/0020</v>
      </c>
      <c r="X98" t="str">
        <f>Tabla_Consulta_desde_Proyectos10[[#This Row],[PRYAcodigo]]&amp;" - "&amp;Tabla_Consulta_desde_Proyectos10[[#This Row],[PRYAdescripcion]]</f>
        <v>176_MCD - MEJORAS AL CORE Y DASHBOARD DE RECETA DIGITAL</v>
      </c>
      <c r="Y98" t="str">
        <f>SUBSTITUTE(IFERROR(VLOOKUP(LEFT(Tabla_Consulta_desde_Proyectos10[[#This Row],[Nivel1]],LEN(Tabla_Consulta_desde_Proyectos10[[#This Row],[Nivel1]])-5),Tabla_Consulta_desde_Proyectos10[[#All],[Nivel1]:[Actividad]],2,FALSE),""),"_","-")</f>
        <v/>
      </c>
      <c r="Z98" t="str">
        <f>IFERROR(VLOOKUP(Tabla_Consulta_desde_Proyectos10[[#This Row],[PRYRAfecha]],'Fechas Mes'!G:J,4,TRUE),"")</f>
        <v/>
      </c>
      <c r="AA98" t="e" cm="1">
        <f t="array" ref="AA98">INDEX('Fechas Mes'!F:F,MATCH(Tabla_Consulta_desde_Proyectos10[[#This Row],[Semana]],'Fechas Mes'!J:J,0),)</f>
        <v>#N/A</v>
      </c>
      <c r="AB98">
        <f>YEAR(Tabla_Consulta_desde_Proyectos10[[#This Row],[PRYRAfecha]])</f>
        <v>1900</v>
      </c>
      <c r="AC98" t="e">
        <f>VLOOKUP(Tabla_Consulta_desde_Proyectos10[[#This Row],[PRYRAfecha]],'Fechas Mes'!G:J,4,TRUE)</f>
        <v>#N/A</v>
      </c>
      <c r="AD98" t="str">
        <f>IFERROR(VLOOKUP(Tabla_Consulta_desde_Proyectos10[[#This Row],[PRYcodigo]],Catálogo!A:B,2,FALSE),"Otros")</f>
        <v>Otros</v>
      </c>
      <c r="AE98" t="str">
        <f>IF(LEN(Tabla_Consulta_desde_Proyectos10[[#This Row],[Semana]])&lt;13,"CI",RIGHT(Tabla_Consulta_desde_Proyectos10[[#This Row],[Semana]],4))</f>
        <v>CI</v>
      </c>
    </row>
    <row r="99" spans="1:31" hidden="1">
      <c r="A99" t="s">
        <v>4032</v>
      </c>
      <c r="B99" t="s">
        <v>6752</v>
      </c>
      <c r="C99" t="s">
        <v>6753</v>
      </c>
      <c r="D99" t="s">
        <v>7566</v>
      </c>
      <c r="E99" t="s">
        <v>7567</v>
      </c>
      <c r="F99">
        <v>0</v>
      </c>
      <c r="G99" t="s">
        <v>7221</v>
      </c>
      <c r="L99" s="4"/>
      <c r="O99">
        <v>3000000001832784</v>
      </c>
      <c r="W99" t="str">
        <f>Tabla_Consulta_desde_Proyectos10[[#This Row],[PRYcodigo]]&amp;Tabla_Consulta_desde_Proyectos10[[#This Row],[PRYApath]]</f>
        <v>095-202-RDIG/0020</v>
      </c>
      <c r="X99" t="str">
        <f>Tabla_Consulta_desde_Proyectos10[[#This Row],[PRYAcodigo]]&amp;" - "&amp;Tabla_Consulta_desde_Proyectos10[[#This Row],[PRYAdescripcion]]</f>
        <v>176_MCD - MEJORAS AL CORE Y DASHBOARD DE RECETA DIGITAL</v>
      </c>
      <c r="Y99" t="str">
        <f>SUBSTITUTE(IFERROR(VLOOKUP(LEFT(Tabla_Consulta_desde_Proyectos10[[#This Row],[Nivel1]],LEN(Tabla_Consulta_desde_Proyectos10[[#This Row],[Nivel1]])-5),Tabla_Consulta_desde_Proyectos10[[#All],[Nivel1]:[Actividad]],2,FALSE),""),"_","-")</f>
        <v/>
      </c>
      <c r="Z99" t="str">
        <f>IFERROR(VLOOKUP(Tabla_Consulta_desde_Proyectos10[[#This Row],[PRYRAfecha]],'Fechas Mes'!G:J,4,TRUE),"")</f>
        <v/>
      </c>
      <c r="AA99" t="e" cm="1">
        <f t="array" ref="AA99">INDEX('Fechas Mes'!F:F,MATCH(Tabla_Consulta_desde_Proyectos10[[#This Row],[Semana]],'Fechas Mes'!J:J,0),)</f>
        <v>#N/A</v>
      </c>
      <c r="AB99">
        <f>YEAR(Tabla_Consulta_desde_Proyectos10[[#This Row],[PRYRAfecha]])</f>
        <v>1900</v>
      </c>
      <c r="AC99" t="e">
        <f>VLOOKUP(Tabla_Consulta_desde_Proyectos10[[#This Row],[PRYRAfecha]],'Fechas Mes'!G:J,4,TRUE)</f>
        <v>#N/A</v>
      </c>
      <c r="AD99" t="str">
        <f>IFERROR(VLOOKUP(Tabla_Consulta_desde_Proyectos10[[#This Row],[PRYcodigo]],Catálogo!A:B,2,FALSE),"Otros")</f>
        <v>Otros</v>
      </c>
      <c r="AE99" t="str">
        <f>IF(LEN(Tabla_Consulta_desde_Proyectos10[[#This Row],[Semana]])&lt;13,"CI",RIGHT(Tabla_Consulta_desde_Proyectos10[[#This Row],[Semana]],4))</f>
        <v>CI</v>
      </c>
    </row>
    <row r="100" spans="1:31" hidden="1">
      <c r="A100" t="s">
        <v>4032</v>
      </c>
      <c r="B100" t="s">
        <v>6752</v>
      </c>
      <c r="C100" t="s">
        <v>6753</v>
      </c>
      <c r="D100" t="s">
        <v>7566</v>
      </c>
      <c r="E100" t="s">
        <v>7567</v>
      </c>
      <c r="F100">
        <v>0</v>
      </c>
      <c r="G100" t="s">
        <v>7221</v>
      </c>
      <c r="L100" s="4"/>
      <c r="O100">
        <v>3000000001832814</v>
      </c>
      <c r="W100" t="str">
        <f>Tabla_Consulta_desde_Proyectos10[[#This Row],[PRYcodigo]]&amp;Tabla_Consulta_desde_Proyectos10[[#This Row],[PRYApath]]</f>
        <v>095-202-RDIG/0020</v>
      </c>
      <c r="X100" t="str">
        <f>Tabla_Consulta_desde_Proyectos10[[#This Row],[PRYAcodigo]]&amp;" - "&amp;Tabla_Consulta_desde_Proyectos10[[#This Row],[PRYAdescripcion]]</f>
        <v>176_MCD - MEJORAS AL CORE Y DASHBOARD DE RECETA DIGITAL</v>
      </c>
      <c r="Y100" t="str">
        <f>SUBSTITUTE(IFERROR(VLOOKUP(LEFT(Tabla_Consulta_desde_Proyectos10[[#This Row],[Nivel1]],LEN(Tabla_Consulta_desde_Proyectos10[[#This Row],[Nivel1]])-5),Tabla_Consulta_desde_Proyectos10[[#All],[Nivel1]:[Actividad]],2,FALSE),""),"_","-")</f>
        <v/>
      </c>
      <c r="Z100" t="str">
        <f>IFERROR(VLOOKUP(Tabla_Consulta_desde_Proyectos10[[#This Row],[PRYRAfecha]],'Fechas Mes'!G:J,4,TRUE),"")</f>
        <v/>
      </c>
      <c r="AA100" t="e" cm="1">
        <f t="array" ref="AA100">INDEX('Fechas Mes'!F:F,MATCH(Tabla_Consulta_desde_Proyectos10[[#This Row],[Semana]],'Fechas Mes'!J:J,0),)</f>
        <v>#N/A</v>
      </c>
      <c r="AB100">
        <f>YEAR(Tabla_Consulta_desde_Proyectos10[[#This Row],[PRYRAfecha]])</f>
        <v>1900</v>
      </c>
      <c r="AC100" t="e">
        <f>VLOOKUP(Tabla_Consulta_desde_Proyectos10[[#This Row],[PRYRAfecha]],'Fechas Mes'!G:J,4,TRUE)</f>
        <v>#N/A</v>
      </c>
      <c r="AD100" t="str">
        <f>IFERROR(VLOOKUP(Tabla_Consulta_desde_Proyectos10[[#This Row],[PRYcodigo]],Catálogo!A:B,2,FALSE),"Otros")</f>
        <v>Otros</v>
      </c>
      <c r="AE100" t="str">
        <f>IF(LEN(Tabla_Consulta_desde_Proyectos10[[#This Row],[Semana]])&lt;13,"CI",RIGHT(Tabla_Consulta_desde_Proyectos10[[#This Row],[Semana]],4))</f>
        <v>CI</v>
      </c>
    </row>
    <row r="101" spans="1:31" hidden="1">
      <c r="A101" t="s">
        <v>4032</v>
      </c>
      <c r="B101" t="s">
        <v>6752</v>
      </c>
      <c r="C101" t="s">
        <v>6753</v>
      </c>
      <c r="D101" t="s">
        <v>7566</v>
      </c>
      <c r="E101" t="s">
        <v>7567</v>
      </c>
      <c r="F101">
        <v>0</v>
      </c>
      <c r="G101" t="s">
        <v>7221</v>
      </c>
      <c r="L101" s="4"/>
      <c r="O101">
        <v>3000000001832820</v>
      </c>
      <c r="W101" t="str">
        <f>Tabla_Consulta_desde_Proyectos10[[#This Row],[PRYcodigo]]&amp;Tabla_Consulta_desde_Proyectos10[[#This Row],[PRYApath]]</f>
        <v>095-202-RDIG/0020</v>
      </c>
      <c r="X101" t="str">
        <f>Tabla_Consulta_desde_Proyectos10[[#This Row],[PRYAcodigo]]&amp;" - "&amp;Tabla_Consulta_desde_Proyectos10[[#This Row],[PRYAdescripcion]]</f>
        <v>176_MCD - MEJORAS AL CORE Y DASHBOARD DE RECETA DIGITAL</v>
      </c>
      <c r="Y101" t="str">
        <f>SUBSTITUTE(IFERROR(VLOOKUP(LEFT(Tabla_Consulta_desde_Proyectos10[[#This Row],[Nivel1]],LEN(Tabla_Consulta_desde_Proyectos10[[#This Row],[Nivel1]])-5),Tabla_Consulta_desde_Proyectos10[[#All],[Nivel1]:[Actividad]],2,FALSE),""),"_","-")</f>
        <v/>
      </c>
      <c r="Z101" t="str">
        <f>IFERROR(VLOOKUP(Tabla_Consulta_desde_Proyectos10[[#This Row],[PRYRAfecha]],'Fechas Mes'!G:J,4,TRUE),"")</f>
        <v/>
      </c>
      <c r="AA101" t="e" cm="1">
        <f t="array" ref="AA101">INDEX('Fechas Mes'!F:F,MATCH(Tabla_Consulta_desde_Proyectos10[[#This Row],[Semana]],'Fechas Mes'!J:J,0),)</f>
        <v>#N/A</v>
      </c>
      <c r="AB101">
        <f>YEAR(Tabla_Consulta_desde_Proyectos10[[#This Row],[PRYRAfecha]])</f>
        <v>1900</v>
      </c>
      <c r="AC101" t="e">
        <f>VLOOKUP(Tabla_Consulta_desde_Proyectos10[[#This Row],[PRYRAfecha]],'Fechas Mes'!G:J,4,TRUE)</f>
        <v>#N/A</v>
      </c>
      <c r="AD101" t="str">
        <f>IFERROR(VLOOKUP(Tabla_Consulta_desde_Proyectos10[[#This Row],[PRYcodigo]],Catálogo!A:B,2,FALSE),"Otros")</f>
        <v>Otros</v>
      </c>
      <c r="AE101" t="str">
        <f>IF(LEN(Tabla_Consulta_desde_Proyectos10[[#This Row],[Semana]])&lt;13,"CI",RIGHT(Tabla_Consulta_desde_Proyectos10[[#This Row],[Semana]],4))</f>
        <v>CI</v>
      </c>
    </row>
    <row r="102" spans="1:31" hidden="1">
      <c r="A102" t="s">
        <v>4032</v>
      </c>
      <c r="B102" t="s">
        <v>6752</v>
      </c>
      <c r="C102" t="s">
        <v>6753</v>
      </c>
      <c r="D102" t="s">
        <v>7566</v>
      </c>
      <c r="E102" t="s">
        <v>7567</v>
      </c>
      <c r="F102">
        <v>0</v>
      </c>
      <c r="G102" t="s">
        <v>7221</v>
      </c>
      <c r="L102" s="4"/>
      <c r="O102">
        <v>3000000001836175</v>
      </c>
      <c r="W102" t="str">
        <f>Tabla_Consulta_desde_Proyectos10[[#This Row],[PRYcodigo]]&amp;Tabla_Consulta_desde_Proyectos10[[#This Row],[PRYApath]]</f>
        <v>095-202-RDIG/0020</v>
      </c>
      <c r="X102" t="str">
        <f>Tabla_Consulta_desde_Proyectos10[[#This Row],[PRYAcodigo]]&amp;" - "&amp;Tabla_Consulta_desde_Proyectos10[[#This Row],[PRYAdescripcion]]</f>
        <v>176_MCD - MEJORAS AL CORE Y DASHBOARD DE RECETA DIGITAL</v>
      </c>
      <c r="Y102" t="str">
        <f>SUBSTITUTE(IFERROR(VLOOKUP(LEFT(Tabla_Consulta_desde_Proyectos10[[#This Row],[Nivel1]],LEN(Tabla_Consulta_desde_Proyectos10[[#This Row],[Nivel1]])-5),Tabla_Consulta_desde_Proyectos10[[#All],[Nivel1]:[Actividad]],2,FALSE),""),"_","-")</f>
        <v/>
      </c>
      <c r="Z102" t="str">
        <f>IFERROR(VLOOKUP(Tabla_Consulta_desde_Proyectos10[[#This Row],[PRYRAfecha]],'Fechas Mes'!G:J,4,TRUE),"")</f>
        <v/>
      </c>
      <c r="AA102" t="e" cm="1">
        <f t="array" ref="AA102">INDEX('Fechas Mes'!F:F,MATCH(Tabla_Consulta_desde_Proyectos10[[#This Row],[Semana]],'Fechas Mes'!J:J,0),)</f>
        <v>#N/A</v>
      </c>
      <c r="AB102">
        <f>YEAR(Tabla_Consulta_desde_Proyectos10[[#This Row],[PRYRAfecha]])</f>
        <v>1900</v>
      </c>
      <c r="AC102" t="e">
        <f>VLOOKUP(Tabla_Consulta_desde_Proyectos10[[#This Row],[PRYRAfecha]],'Fechas Mes'!G:J,4,TRUE)</f>
        <v>#N/A</v>
      </c>
      <c r="AD102" t="str">
        <f>IFERROR(VLOOKUP(Tabla_Consulta_desde_Proyectos10[[#This Row],[PRYcodigo]],Catálogo!A:B,2,FALSE),"Otros")</f>
        <v>Otros</v>
      </c>
      <c r="AE102" t="str">
        <f>IF(LEN(Tabla_Consulta_desde_Proyectos10[[#This Row],[Semana]])&lt;13,"CI",RIGHT(Tabla_Consulta_desde_Proyectos10[[#This Row],[Semana]],4))</f>
        <v>CI</v>
      </c>
    </row>
    <row r="103" spans="1:31" hidden="1">
      <c r="A103" t="s">
        <v>4032</v>
      </c>
      <c r="B103" t="s">
        <v>6752</v>
      </c>
      <c r="C103" t="s">
        <v>6753</v>
      </c>
      <c r="D103" t="s">
        <v>7566</v>
      </c>
      <c r="E103" t="s">
        <v>7567</v>
      </c>
      <c r="F103">
        <v>0</v>
      </c>
      <c r="G103" t="s">
        <v>7221</v>
      </c>
      <c r="L103" s="4"/>
      <c r="O103">
        <v>3000000001836176</v>
      </c>
      <c r="W103" t="str">
        <f>Tabla_Consulta_desde_Proyectos10[[#This Row],[PRYcodigo]]&amp;Tabla_Consulta_desde_Proyectos10[[#This Row],[PRYApath]]</f>
        <v>095-202-RDIG/0020</v>
      </c>
      <c r="X103" t="str">
        <f>Tabla_Consulta_desde_Proyectos10[[#This Row],[PRYAcodigo]]&amp;" - "&amp;Tabla_Consulta_desde_Proyectos10[[#This Row],[PRYAdescripcion]]</f>
        <v>176_MCD - MEJORAS AL CORE Y DASHBOARD DE RECETA DIGITAL</v>
      </c>
      <c r="Y103" t="str">
        <f>SUBSTITUTE(IFERROR(VLOOKUP(LEFT(Tabla_Consulta_desde_Proyectos10[[#This Row],[Nivel1]],LEN(Tabla_Consulta_desde_Proyectos10[[#This Row],[Nivel1]])-5),Tabla_Consulta_desde_Proyectos10[[#All],[Nivel1]:[Actividad]],2,FALSE),""),"_","-")</f>
        <v/>
      </c>
      <c r="Z103" t="str">
        <f>IFERROR(VLOOKUP(Tabla_Consulta_desde_Proyectos10[[#This Row],[PRYRAfecha]],'Fechas Mes'!G:J,4,TRUE),"")</f>
        <v/>
      </c>
      <c r="AA103" t="e" cm="1">
        <f t="array" ref="AA103">INDEX('Fechas Mes'!F:F,MATCH(Tabla_Consulta_desde_Proyectos10[[#This Row],[Semana]],'Fechas Mes'!J:J,0),)</f>
        <v>#N/A</v>
      </c>
      <c r="AB103">
        <f>YEAR(Tabla_Consulta_desde_Proyectos10[[#This Row],[PRYRAfecha]])</f>
        <v>1900</v>
      </c>
      <c r="AC103" t="e">
        <f>VLOOKUP(Tabla_Consulta_desde_Proyectos10[[#This Row],[PRYRAfecha]],'Fechas Mes'!G:J,4,TRUE)</f>
        <v>#N/A</v>
      </c>
      <c r="AD103" t="str">
        <f>IFERROR(VLOOKUP(Tabla_Consulta_desde_Proyectos10[[#This Row],[PRYcodigo]],Catálogo!A:B,2,FALSE),"Otros")</f>
        <v>Otros</v>
      </c>
      <c r="AE103" t="str">
        <f>IF(LEN(Tabla_Consulta_desde_Proyectos10[[#This Row],[Semana]])&lt;13,"CI",RIGHT(Tabla_Consulta_desde_Proyectos10[[#This Row],[Semana]],4))</f>
        <v>CI</v>
      </c>
    </row>
    <row r="104" spans="1:31" hidden="1">
      <c r="A104" t="s">
        <v>4032</v>
      </c>
      <c r="B104" t="s">
        <v>6752</v>
      </c>
      <c r="C104" t="s">
        <v>6753</v>
      </c>
      <c r="D104" t="s">
        <v>7566</v>
      </c>
      <c r="E104" t="s">
        <v>7567</v>
      </c>
      <c r="F104">
        <v>0</v>
      </c>
      <c r="G104" t="s">
        <v>7221</v>
      </c>
      <c r="L104" s="4"/>
      <c r="O104">
        <v>3000000001836178</v>
      </c>
      <c r="W104" t="str">
        <f>Tabla_Consulta_desde_Proyectos10[[#This Row],[PRYcodigo]]&amp;Tabla_Consulta_desde_Proyectos10[[#This Row],[PRYApath]]</f>
        <v>095-202-RDIG/0020</v>
      </c>
      <c r="X104" t="str">
        <f>Tabla_Consulta_desde_Proyectos10[[#This Row],[PRYAcodigo]]&amp;" - "&amp;Tabla_Consulta_desde_Proyectos10[[#This Row],[PRYAdescripcion]]</f>
        <v>176_MCD - MEJORAS AL CORE Y DASHBOARD DE RECETA DIGITAL</v>
      </c>
      <c r="Y104" t="str">
        <f>SUBSTITUTE(IFERROR(VLOOKUP(LEFT(Tabla_Consulta_desde_Proyectos10[[#This Row],[Nivel1]],LEN(Tabla_Consulta_desde_Proyectos10[[#This Row],[Nivel1]])-5),Tabla_Consulta_desde_Proyectos10[[#All],[Nivel1]:[Actividad]],2,FALSE),""),"_","-")</f>
        <v/>
      </c>
      <c r="Z104" t="str">
        <f>IFERROR(VLOOKUP(Tabla_Consulta_desde_Proyectos10[[#This Row],[PRYRAfecha]],'Fechas Mes'!G:J,4,TRUE),"")</f>
        <v/>
      </c>
      <c r="AA104" t="e" cm="1">
        <f t="array" ref="AA104">INDEX('Fechas Mes'!F:F,MATCH(Tabla_Consulta_desde_Proyectos10[[#This Row],[Semana]],'Fechas Mes'!J:J,0),)</f>
        <v>#N/A</v>
      </c>
      <c r="AB104">
        <f>YEAR(Tabla_Consulta_desde_Proyectos10[[#This Row],[PRYRAfecha]])</f>
        <v>1900</v>
      </c>
      <c r="AC104" t="e">
        <f>VLOOKUP(Tabla_Consulta_desde_Proyectos10[[#This Row],[PRYRAfecha]],'Fechas Mes'!G:J,4,TRUE)</f>
        <v>#N/A</v>
      </c>
      <c r="AD104" t="str">
        <f>IFERROR(VLOOKUP(Tabla_Consulta_desde_Proyectos10[[#This Row],[PRYcodigo]],Catálogo!A:B,2,FALSE),"Otros")</f>
        <v>Otros</v>
      </c>
      <c r="AE104" t="str">
        <f>IF(LEN(Tabla_Consulta_desde_Proyectos10[[#This Row],[Semana]])&lt;13,"CI",RIGHT(Tabla_Consulta_desde_Proyectos10[[#This Row],[Semana]],4))</f>
        <v>CI</v>
      </c>
    </row>
    <row r="105" spans="1:31" hidden="1">
      <c r="A105" t="s">
        <v>4032</v>
      </c>
      <c r="B105" t="s">
        <v>6752</v>
      </c>
      <c r="C105" t="s">
        <v>6753</v>
      </c>
      <c r="D105" t="s">
        <v>7566</v>
      </c>
      <c r="E105" t="s">
        <v>7567</v>
      </c>
      <c r="F105">
        <v>0</v>
      </c>
      <c r="G105" t="s">
        <v>7221</v>
      </c>
      <c r="L105" s="4"/>
      <c r="O105">
        <v>3000000001836179</v>
      </c>
      <c r="W105" t="str">
        <f>Tabla_Consulta_desde_Proyectos10[[#This Row],[PRYcodigo]]&amp;Tabla_Consulta_desde_Proyectos10[[#This Row],[PRYApath]]</f>
        <v>095-202-RDIG/0020</v>
      </c>
      <c r="X105" t="str">
        <f>Tabla_Consulta_desde_Proyectos10[[#This Row],[PRYAcodigo]]&amp;" - "&amp;Tabla_Consulta_desde_Proyectos10[[#This Row],[PRYAdescripcion]]</f>
        <v>176_MCD - MEJORAS AL CORE Y DASHBOARD DE RECETA DIGITAL</v>
      </c>
      <c r="Y105" t="str">
        <f>SUBSTITUTE(IFERROR(VLOOKUP(LEFT(Tabla_Consulta_desde_Proyectos10[[#This Row],[Nivel1]],LEN(Tabla_Consulta_desde_Proyectos10[[#This Row],[Nivel1]])-5),Tabla_Consulta_desde_Proyectos10[[#All],[Nivel1]:[Actividad]],2,FALSE),""),"_","-")</f>
        <v/>
      </c>
      <c r="Z105" t="str">
        <f>IFERROR(VLOOKUP(Tabla_Consulta_desde_Proyectos10[[#This Row],[PRYRAfecha]],'Fechas Mes'!G:J,4,TRUE),"")</f>
        <v/>
      </c>
      <c r="AA105" t="e" cm="1">
        <f t="array" ref="AA105">INDEX('Fechas Mes'!F:F,MATCH(Tabla_Consulta_desde_Proyectos10[[#This Row],[Semana]],'Fechas Mes'!J:J,0),)</f>
        <v>#N/A</v>
      </c>
      <c r="AB105">
        <f>YEAR(Tabla_Consulta_desde_Proyectos10[[#This Row],[PRYRAfecha]])</f>
        <v>1900</v>
      </c>
      <c r="AC105" t="e">
        <f>VLOOKUP(Tabla_Consulta_desde_Proyectos10[[#This Row],[PRYRAfecha]],'Fechas Mes'!G:J,4,TRUE)</f>
        <v>#N/A</v>
      </c>
      <c r="AD105" t="str">
        <f>IFERROR(VLOOKUP(Tabla_Consulta_desde_Proyectos10[[#This Row],[PRYcodigo]],Catálogo!A:B,2,FALSE),"Otros")</f>
        <v>Otros</v>
      </c>
      <c r="AE105" t="str">
        <f>IF(LEN(Tabla_Consulta_desde_Proyectos10[[#This Row],[Semana]])&lt;13,"CI",RIGHT(Tabla_Consulta_desde_Proyectos10[[#This Row],[Semana]],4))</f>
        <v>CI</v>
      </c>
    </row>
    <row r="106" spans="1:31" hidden="1">
      <c r="A106" t="s">
        <v>4032</v>
      </c>
      <c r="B106" t="s">
        <v>6752</v>
      </c>
      <c r="C106" t="s">
        <v>6753</v>
      </c>
      <c r="D106" t="s">
        <v>7566</v>
      </c>
      <c r="E106" t="s">
        <v>7567</v>
      </c>
      <c r="F106">
        <v>0</v>
      </c>
      <c r="G106" t="s">
        <v>7221</v>
      </c>
      <c r="L106" s="4"/>
      <c r="O106">
        <v>3000000001836180</v>
      </c>
      <c r="W106" t="str">
        <f>Tabla_Consulta_desde_Proyectos10[[#This Row],[PRYcodigo]]&amp;Tabla_Consulta_desde_Proyectos10[[#This Row],[PRYApath]]</f>
        <v>095-202-RDIG/0020</v>
      </c>
      <c r="X106" t="str">
        <f>Tabla_Consulta_desde_Proyectos10[[#This Row],[PRYAcodigo]]&amp;" - "&amp;Tabla_Consulta_desde_Proyectos10[[#This Row],[PRYAdescripcion]]</f>
        <v>176_MCD - MEJORAS AL CORE Y DASHBOARD DE RECETA DIGITAL</v>
      </c>
      <c r="Y106" t="str">
        <f>SUBSTITUTE(IFERROR(VLOOKUP(LEFT(Tabla_Consulta_desde_Proyectos10[[#This Row],[Nivel1]],LEN(Tabla_Consulta_desde_Proyectos10[[#This Row],[Nivel1]])-5),Tabla_Consulta_desde_Proyectos10[[#All],[Nivel1]:[Actividad]],2,FALSE),""),"_","-")</f>
        <v/>
      </c>
      <c r="Z106" t="str">
        <f>IFERROR(VLOOKUP(Tabla_Consulta_desde_Proyectos10[[#This Row],[PRYRAfecha]],'Fechas Mes'!G:J,4,TRUE),"")</f>
        <v/>
      </c>
      <c r="AA106" t="e" cm="1">
        <f t="array" ref="AA106">INDEX('Fechas Mes'!F:F,MATCH(Tabla_Consulta_desde_Proyectos10[[#This Row],[Semana]],'Fechas Mes'!J:J,0),)</f>
        <v>#N/A</v>
      </c>
      <c r="AB106">
        <f>YEAR(Tabla_Consulta_desde_Proyectos10[[#This Row],[PRYRAfecha]])</f>
        <v>1900</v>
      </c>
      <c r="AC106" t="e">
        <f>VLOOKUP(Tabla_Consulta_desde_Proyectos10[[#This Row],[PRYRAfecha]],'Fechas Mes'!G:J,4,TRUE)</f>
        <v>#N/A</v>
      </c>
      <c r="AD106" t="str">
        <f>IFERROR(VLOOKUP(Tabla_Consulta_desde_Proyectos10[[#This Row],[PRYcodigo]],Catálogo!A:B,2,FALSE),"Otros")</f>
        <v>Otros</v>
      </c>
      <c r="AE106" t="str">
        <f>IF(LEN(Tabla_Consulta_desde_Proyectos10[[#This Row],[Semana]])&lt;13,"CI",RIGHT(Tabla_Consulta_desde_Proyectos10[[#This Row],[Semana]],4))</f>
        <v>CI</v>
      </c>
    </row>
    <row r="107" spans="1:31" hidden="1">
      <c r="A107" t="s">
        <v>4032</v>
      </c>
      <c r="B107" t="s">
        <v>6752</v>
      </c>
      <c r="C107" t="s">
        <v>6753</v>
      </c>
      <c r="D107" t="s">
        <v>7566</v>
      </c>
      <c r="E107" t="s">
        <v>7567</v>
      </c>
      <c r="F107">
        <v>0</v>
      </c>
      <c r="G107" t="s">
        <v>7221</v>
      </c>
      <c r="L107" s="4"/>
      <c r="O107">
        <v>3000000001836181</v>
      </c>
      <c r="W107" t="str">
        <f>Tabla_Consulta_desde_Proyectos10[[#This Row],[PRYcodigo]]&amp;Tabla_Consulta_desde_Proyectos10[[#This Row],[PRYApath]]</f>
        <v>095-202-RDIG/0020</v>
      </c>
      <c r="X107" t="str">
        <f>Tabla_Consulta_desde_Proyectos10[[#This Row],[PRYAcodigo]]&amp;" - "&amp;Tabla_Consulta_desde_Proyectos10[[#This Row],[PRYAdescripcion]]</f>
        <v>176_MCD - MEJORAS AL CORE Y DASHBOARD DE RECETA DIGITAL</v>
      </c>
      <c r="Y107" t="str">
        <f>SUBSTITUTE(IFERROR(VLOOKUP(LEFT(Tabla_Consulta_desde_Proyectos10[[#This Row],[Nivel1]],LEN(Tabla_Consulta_desde_Proyectos10[[#This Row],[Nivel1]])-5),Tabla_Consulta_desde_Proyectos10[[#All],[Nivel1]:[Actividad]],2,FALSE),""),"_","-")</f>
        <v/>
      </c>
      <c r="Z107" t="str">
        <f>IFERROR(VLOOKUP(Tabla_Consulta_desde_Proyectos10[[#This Row],[PRYRAfecha]],'Fechas Mes'!G:J,4,TRUE),"")</f>
        <v/>
      </c>
      <c r="AA107" t="e" cm="1">
        <f t="array" ref="AA107">INDEX('Fechas Mes'!F:F,MATCH(Tabla_Consulta_desde_Proyectos10[[#This Row],[Semana]],'Fechas Mes'!J:J,0),)</f>
        <v>#N/A</v>
      </c>
      <c r="AB107">
        <f>YEAR(Tabla_Consulta_desde_Proyectos10[[#This Row],[PRYRAfecha]])</f>
        <v>1900</v>
      </c>
      <c r="AC107" t="e">
        <f>VLOOKUP(Tabla_Consulta_desde_Proyectos10[[#This Row],[PRYRAfecha]],'Fechas Mes'!G:J,4,TRUE)</f>
        <v>#N/A</v>
      </c>
      <c r="AD107" t="str">
        <f>IFERROR(VLOOKUP(Tabla_Consulta_desde_Proyectos10[[#This Row],[PRYcodigo]],Catálogo!A:B,2,FALSE),"Otros")</f>
        <v>Otros</v>
      </c>
      <c r="AE107" t="str">
        <f>IF(LEN(Tabla_Consulta_desde_Proyectos10[[#This Row],[Semana]])&lt;13,"CI",RIGHT(Tabla_Consulta_desde_Proyectos10[[#This Row],[Semana]],4))</f>
        <v>CI</v>
      </c>
    </row>
    <row r="108" spans="1:31" hidden="1">
      <c r="A108" t="s">
        <v>4032</v>
      </c>
      <c r="B108" t="s">
        <v>6752</v>
      </c>
      <c r="C108" t="s">
        <v>6753</v>
      </c>
      <c r="D108" t="s">
        <v>7201</v>
      </c>
      <c r="E108" t="s">
        <v>7568</v>
      </c>
      <c r="F108">
        <v>1</v>
      </c>
      <c r="G108" t="s">
        <v>7224</v>
      </c>
      <c r="L108" s="4"/>
      <c r="O108">
        <v>3000000001822633</v>
      </c>
      <c r="W108" t="str">
        <f>Tabla_Consulta_desde_Proyectos10[[#This Row],[PRYcodigo]]&amp;Tabla_Consulta_desde_Proyectos10[[#This Row],[PRYApath]]</f>
        <v>095-202-RDIG/0020/0004</v>
      </c>
      <c r="X108" t="str">
        <f>Tabla_Consulta_desde_Proyectos10[[#This Row],[PRYAcodigo]]&amp;" - "&amp;Tabla_Consulta_desde_Proyectos10[[#This Row],[PRYAdescripcion]]</f>
        <v>2 - TAREAS DE DESARROLLO DE DASHBOARD</v>
      </c>
      <c r="Y108" t="str">
        <f>SUBSTITUTE(IFERROR(VLOOKUP(LEFT(Tabla_Consulta_desde_Proyectos10[[#This Row],[Nivel1]],LEN(Tabla_Consulta_desde_Proyectos10[[#This Row],[Nivel1]])-5),Tabla_Consulta_desde_Proyectos10[[#All],[Nivel1]:[Actividad]],2,FALSE),""),"_","-")</f>
        <v>176-MCD - MEJORAS AL CORE Y DASHBOARD DE RECETA DIGITAL</v>
      </c>
      <c r="Z108" t="str">
        <f>IFERROR(VLOOKUP(Tabla_Consulta_desde_Proyectos10[[#This Row],[PRYRAfecha]],'Fechas Mes'!G:J,4,TRUE),"")</f>
        <v/>
      </c>
      <c r="AA108" t="e" cm="1">
        <f t="array" ref="AA108">INDEX('Fechas Mes'!F:F,MATCH(Tabla_Consulta_desde_Proyectos10[[#This Row],[Semana]],'Fechas Mes'!J:J,0),)</f>
        <v>#N/A</v>
      </c>
      <c r="AB108">
        <f>YEAR(Tabla_Consulta_desde_Proyectos10[[#This Row],[PRYRAfecha]])</f>
        <v>1900</v>
      </c>
      <c r="AC108" t="e">
        <f>VLOOKUP(Tabla_Consulta_desde_Proyectos10[[#This Row],[PRYRAfecha]],'Fechas Mes'!G:J,4,TRUE)</f>
        <v>#N/A</v>
      </c>
      <c r="AD108" t="str">
        <f>IFERROR(VLOOKUP(Tabla_Consulta_desde_Proyectos10[[#This Row],[PRYcodigo]],Catálogo!A:B,2,FALSE),"Otros")</f>
        <v>Otros</v>
      </c>
      <c r="AE108" t="str">
        <f>IF(LEN(Tabla_Consulta_desde_Proyectos10[[#This Row],[Semana]])&lt;13,"CI",RIGHT(Tabla_Consulta_desde_Proyectos10[[#This Row],[Semana]],4))</f>
        <v>CI</v>
      </c>
    </row>
    <row r="109" spans="1:31" hidden="1">
      <c r="A109" t="s">
        <v>4032</v>
      </c>
      <c r="B109" t="s">
        <v>6752</v>
      </c>
      <c r="C109" t="s">
        <v>6753</v>
      </c>
      <c r="D109" t="s">
        <v>7201</v>
      </c>
      <c r="E109" t="s">
        <v>7568</v>
      </c>
      <c r="F109">
        <v>1</v>
      </c>
      <c r="G109" t="s">
        <v>7224</v>
      </c>
      <c r="L109" s="4"/>
      <c r="O109">
        <v>3000000001825336</v>
      </c>
      <c r="W109" t="str">
        <f>Tabla_Consulta_desde_Proyectos10[[#This Row],[PRYcodigo]]&amp;Tabla_Consulta_desde_Proyectos10[[#This Row],[PRYApath]]</f>
        <v>095-202-RDIG/0020/0004</v>
      </c>
      <c r="X109" t="str">
        <f>Tabla_Consulta_desde_Proyectos10[[#This Row],[PRYAcodigo]]&amp;" - "&amp;Tabla_Consulta_desde_Proyectos10[[#This Row],[PRYAdescripcion]]</f>
        <v>2 - TAREAS DE DESARROLLO DE DASHBOARD</v>
      </c>
      <c r="Y109" t="str">
        <f>SUBSTITUTE(IFERROR(VLOOKUP(LEFT(Tabla_Consulta_desde_Proyectos10[[#This Row],[Nivel1]],LEN(Tabla_Consulta_desde_Proyectos10[[#This Row],[Nivel1]])-5),Tabla_Consulta_desde_Proyectos10[[#All],[Nivel1]:[Actividad]],2,FALSE),""),"_","-")</f>
        <v>176-MCD - MEJORAS AL CORE Y DASHBOARD DE RECETA DIGITAL</v>
      </c>
      <c r="Z109" t="str">
        <f>IFERROR(VLOOKUP(Tabla_Consulta_desde_Proyectos10[[#This Row],[PRYRAfecha]],'Fechas Mes'!G:J,4,TRUE),"")</f>
        <v/>
      </c>
      <c r="AA109" t="e" cm="1">
        <f t="array" ref="AA109">INDEX('Fechas Mes'!F:F,MATCH(Tabla_Consulta_desde_Proyectos10[[#This Row],[Semana]],'Fechas Mes'!J:J,0),)</f>
        <v>#N/A</v>
      </c>
      <c r="AB109">
        <f>YEAR(Tabla_Consulta_desde_Proyectos10[[#This Row],[PRYRAfecha]])</f>
        <v>1900</v>
      </c>
      <c r="AC109" t="e">
        <f>VLOOKUP(Tabla_Consulta_desde_Proyectos10[[#This Row],[PRYRAfecha]],'Fechas Mes'!G:J,4,TRUE)</f>
        <v>#N/A</v>
      </c>
      <c r="AD109" t="str">
        <f>IFERROR(VLOOKUP(Tabla_Consulta_desde_Proyectos10[[#This Row],[PRYcodigo]],Catálogo!A:B,2,FALSE),"Otros")</f>
        <v>Otros</v>
      </c>
      <c r="AE109" t="str">
        <f>IF(LEN(Tabla_Consulta_desde_Proyectos10[[#This Row],[Semana]])&lt;13,"CI",RIGHT(Tabla_Consulta_desde_Proyectos10[[#This Row],[Semana]],4))</f>
        <v>CI</v>
      </c>
    </row>
    <row r="110" spans="1:31" hidden="1">
      <c r="A110" t="s">
        <v>4032</v>
      </c>
      <c r="B110" t="s">
        <v>6752</v>
      </c>
      <c r="C110" t="s">
        <v>6753</v>
      </c>
      <c r="D110" t="s">
        <v>7201</v>
      </c>
      <c r="E110" t="s">
        <v>7568</v>
      </c>
      <c r="F110">
        <v>1</v>
      </c>
      <c r="G110" t="s">
        <v>7224</v>
      </c>
      <c r="L110" s="4"/>
      <c r="O110">
        <v>3000000001825339</v>
      </c>
      <c r="W110" t="str">
        <f>Tabla_Consulta_desde_Proyectos10[[#This Row],[PRYcodigo]]&amp;Tabla_Consulta_desde_Proyectos10[[#This Row],[PRYApath]]</f>
        <v>095-202-RDIG/0020/0004</v>
      </c>
      <c r="X110" t="str">
        <f>Tabla_Consulta_desde_Proyectos10[[#This Row],[PRYAcodigo]]&amp;" - "&amp;Tabla_Consulta_desde_Proyectos10[[#This Row],[PRYAdescripcion]]</f>
        <v>2 - TAREAS DE DESARROLLO DE DASHBOARD</v>
      </c>
      <c r="Y110" t="str">
        <f>SUBSTITUTE(IFERROR(VLOOKUP(LEFT(Tabla_Consulta_desde_Proyectos10[[#This Row],[Nivel1]],LEN(Tabla_Consulta_desde_Proyectos10[[#This Row],[Nivel1]])-5),Tabla_Consulta_desde_Proyectos10[[#All],[Nivel1]:[Actividad]],2,FALSE),""),"_","-")</f>
        <v>176-MCD - MEJORAS AL CORE Y DASHBOARD DE RECETA DIGITAL</v>
      </c>
      <c r="Z110" t="str">
        <f>IFERROR(VLOOKUP(Tabla_Consulta_desde_Proyectos10[[#This Row],[PRYRAfecha]],'Fechas Mes'!G:J,4,TRUE),"")</f>
        <v/>
      </c>
      <c r="AA110" t="e" cm="1">
        <f t="array" ref="AA110">INDEX('Fechas Mes'!F:F,MATCH(Tabla_Consulta_desde_Proyectos10[[#This Row],[Semana]],'Fechas Mes'!J:J,0),)</f>
        <v>#N/A</v>
      </c>
      <c r="AB110">
        <f>YEAR(Tabla_Consulta_desde_Proyectos10[[#This Row],[PRYRAfecha]])</f>
        <v>1900</v>
      </c>
      <c r="AC110" t="e">
        <f>VLOOKUP(Tabla_Consulta_desde_Proyectos10[[#This Row],[PRYRAfecha]],'Fechas Mes'!G:J,4,TRUE)</f>
        <v>#N/A</v>
      </c>
      <c r="AD110" t="str">
        <f>IFERROR(VLOOKUP(Tabla_Consulta_desde_Proyectos10[[#This Row],[PRYcodigo]],Catálogo!A:B,2,FALSE),"Otros")</f>
        <v>Otros</v>
      </c>
      <c r="AE110" t="str">
        <f>IF(LEN(Tabla_Consulta_desde_Proyectos10[[#This Row],[Semana]])&lt;13,"CI",RIGHT(Tabla_Consulta_desde_Proyectos10[[#This Row],[Semana]],4))</f>
        <v>CI</v>
      </c>
    </row>
    <row r="111" spans="1:31" hidden="1">
      <c r="A111" t="s">
        <v>4032</v>
      </c>
      <c r="B111" t="s">
        <v>6752</v>
      </c>
      <c r="C111" t="s">
        <v>6753</v>
      </c>
      <c r="D111" t="s">
        <v>7201</v>
      </c>
      <c r="E111" t="s">
        <v>7568</v>
      </c>
      <c r="F111">
        <v>1</v>
      </c>
      <c r="G111" t="s">
        <v>7224</v>
      </c>
      <c r="L111" s="4"/>
      <c r="O111">
        <v>3000000001825343</v>
      </c>
      <c r="W111" t="str">
        <f>Tabla_Consulta_desde_Proyectos10[[#This Row],[PRYcodigo]]&amp;Tabla_Consulta_desde_Proyectos10[[#This Row],[PRYApath]]</f>
        <v>095-202-RDIG/0020/0004</v>
      </c>
      <c r="X111" t="str">
        <f>Tabla_Consulta_desde_Proyectos10[[#This Row],[PRYAcodigo]]&amp;" - "&amp;Tabla_Consulta_desde_Proyectos10[[#This Row],[PRYAdescripcion]]</f>
        <v>2 - TAREAS DE DESARROLLO DE DASHBOARD</v>
      </c>
      <c r="Y111" t="str">
        <f>SUBSTITUTE(IFERROR(VLOOKUP(LEFT(Tabla_Consulta_desde_Proyectos10[[#This Row],[Nivel1]],LEN(Tabla_Consulta_desde_Proyectos10[[#This Row],[Nivel1]])-5),Tabla_Consulta_desde_Proyectos10[[#All],[Nivel1]:[Actividad]],2,FALSE),""),"_","-")</f>
        <v>176-MCD - MEJORAS AL CORE Y DASHBOARD DE RECETA DIGITAL</v>
      </c>
      <c r="Z111" t="str">
        <f>IFERROR(VLOOKUP(Tabla_Consulta_desde_Proyectos10[[#This Row],[PRYRAfecha]],'Fechas Mes'!G:J,4,TRUE),"")</f>
        <v/>
      </c>
      <c r="AA111" t="e" cm="1">
        <f t="array" ref="AA111">INDEX('Fechas Mes'!F:F,MATCH(Tabla_Consulta_desde_Proyectos10[[#This Row],[Semana]],'Fechas Mes'!J:J,0),)</f>
        <v>#N/A</v>
      </c>
      <c r="AB111">
        <f>YEAR(Tabla_Consulta_desde_Proyectos10[[#This Row],[PRYRAfecha]])</f>
        <v>1900</v>
      </c>
      <c r="AC111" t="e">
        <f>VLOOKUP(Tabla_Consulta_desde_Proyectos10[[#This Row],[PRYRAfecha]],'Fechas Mes'!G:J,4,TRUE)</f>
        <v>#N/A</v>
      </c>
      <c r="AD111" t="str">
        <f>IFERROR(VLOOKUP(Tabla_Consulta_desde_Proyectos10[[#This Row],[PRYcodigo]],Catálogo!A:B,2,FALSE),"Otros")</f>
        <v>Otros</v>
      </c>
      <c r="AE111" t="str">
        <f>IF(LEN(Tabla_Consulta_desde_Proyectos10[[#This Row],[Semana]])&lt;13,"CI",RIGHT(Tabla_Consulta_desde_Proyectos10[[#This Row],[Semana]],4))</f>
        <v>CI</v>
      </c>
    </row>
    <row r="112" spans="1:31" hidden="1">
      <c r="A112" t="s">
        <v>4032</v>
      </c>
      <c r="B112" t="s">
        <v>6752</v>
      </c>
      <c r="C112" t="s">
        <v>6753</v>
      </c>
      <c r="D112" t="s">
        <v>7201</v>
      </c>
      <c r="E112" t="s">
        <v>7568</v>
      </c>
      <c r="F112">
        <v>1</v>
      </c>
      <c r="G112" t="s">
        <v>7224</v>
      </c>
      <c r="L112" s="4"/>
      <c r="O112">
        <v>3000000001825358</v>
      </c>
      <c r="W112" t="str">
        <f>Tabla_Consulta_desde_Proyectos10[[#This Row],[PRYcodigo]]&amp;Tabla_Consulta_desde_Proyectos10[[#This Row],[PRYApath]]</f>
        <v>095-202-RDIG/0020/0004</v>
      </c>
      <c r="X112" t="str">
        <f>Tabla_Consulta_desde_Proyectos10[[#This Row],[PRYAcodigo]]&amp;" - "&amp;Tabla_Consulta_desde_Proyectos10[[#This Row],[PRYAdescripcion]]</f>
        <v>2 - TAREAS DE DESARROLLO DE DASHBOARD</v>
      </c>
      <c r="Y112" t="str">
        <f>SUBSTITUTE(IFERROR(VLOOKUP(LEFT(Tabla_Consulta_desde_Proyectos10[[#This Row],[Nivel1]],LEN(Tabla_Consulta_desde_Proyectos10[[#This Row],[Nivel1]])-5),Tabla_Consulta_desde_Proyectos10[[#All],[Nivel1]:[Actividad]],2,FALSE),""),"_","-")</f>
        <v>176-MCD - MEJORAS AL CORE Y DASHBOARD DE RECETA DIGITAL</v>
      </c>
      <c r="Z112" t="str">
        <f>IFERROR(VLOOKUP(Tabla_Consulta_desde_Proyectos10[[#This Row],[PRYRAfecha]],'Fechas Mes'!G:J,4,TRUE),"")</f>
        <v/>
      </c>
      <c r="AA112" t="e" cm="1">
        <f t="array" ref="AA112">INDEX('Fechas Mes'!F:F,MATCH(Tabla_Consulta_desde_Proyectos10[[#This Row],[Semana]],'Fechas Mes'!J:J,0),)</f>
        <v>#N/A</v>
      </c>
      <c r="AB112">
        <f>YEAR(Tabla_Consulta_desde_Proyectos10[[#This Row],[PRYRAfecha]])</f>
        <v>1900</v>
      </c>
      <c r="AC112" t="e">
        <f>VLOOKUP(Tabla_Consulta_desde_Proyectos10[[#This Row],[PRYRAfecha]],'Fechas Mes'!G:J,4,TRUE)</f>
        <v>#N/A</v>
      </c>
      <c r="AD112" t="str">
        <f>IFERROR(VLOOKUP(Tabla_Consulta_desde_Proyectos10[[#This Row],[PRYcodigo]],Catálogo!A:B,2,FALSE),"Otros")</f>
        <v>Otros</v>
      </c>
      <c r="AE112" t="str">
        <f>IF(LEN(Tabla_Consulta_desde_Proyectos10[[#This Row],[Semana]])&lt;13,"CI",RIGHT(Tabla_Consulta_desde_Proyectos10[[#This Row],[Semana]],4))</f>
        <v>CI</v>
      </c>
    </row>
    <row r="113" spans="1:31" hidden="1">
      <c r="A113" t="s">
        <v>4032</v>
      </c>
      <c r="B113" t="s">
        <v>6752</v>
      </c>
      <c r="C113" t="s">
        <v>6753</v>
      </c>
      <c r="D113" t="s">
        <v>7201</v>
      </c>
      <c r="E113" t="s">
        <v>7568</v>
      </c>
      <c r="F113">
        <v>1</v>
      </c>
      <c r="G113" t="s">
        <v>7224</v>
      </c>
      <c r="L113" s="4"/>
      <c r="O113">
        <v>3000000001825359</v>
      </c>
      <c r="W113" t="str">
        <f>Tabla_Consulta_desde_Proyectos10[[#This Row],[PRYcodigo]]&amp;Tabla_Consulta_desde_Proyectos10[[#This Row],[PRYApath]]</f>
        <v>095-202-RDIG/0020/0004</v>
      </c>
      <c r="X113" t="str">
        <f>Tabla_Consulta_desde_Proyectos10[[#This Row],[PRYAcodigo]]&amp;" - "&amp;Tabla_Consulta_desde_Proyectos10[[#This Row],[PRYAdescripcion]]</f>
        <v>2 - TAREAS DE DESARROLLO DE DASHBOARD</v>
      </c>
      <c r="Y113" t="str">
        <f>SUBSTITUTE(IFERROR(VLOOKUP(LEFT(Tabla_Consulta_desde_Proyectos10[[#This Row],[Nivel1]],LEN(Tabla_Consulta_desde_Proyectos10[[#This Row],[Nivel1]])-5),Tabla_Consulta_desde_Proyectos10[[#All],[Nivel1]:[Actividad]],2,FALSE),""),"_","-")</f>
        <v>176-MCD - MEJORAS AL CORE Y DASHBOARD DE RECETA DIGITAL</v>
      </c>
      <c r="Z113" t="str">
        <f>IFERROR(VLOOKUP(Tabla_Consulta_desde_Proyectos10[[#This Row],[PRYRAfecha]],'Fechas Mes'!G:J,4,TRUE),"")</f>
        <v/>
      </c>
      <c r="AA113" t="e" cm="1">
        <f t="array" ref="AA113">INDEX('Fechas Mes'!F:F,MATCH(Tabla_Consulta_desde_Proyectos10[[#This Row],[Semana]],'Fechas Mes'!J:J,0),)</f>
        <v>#N/A</v>
      </c>
      <c r="AB113">
        <f>YEAR(Tabla_Consulta_desde_Proyectos10[[#This Row],[PRYRAfecha]])</f>
        <v>1900</v>
      </c>
      <c r="AC113" t="e">
        <f>VLOOKUP(Tabla_Consulta_desde_Proyectos10[[#This Row],[PRYRAfecha]],'Fechas Mes'!G:J,4,TRUE)</f>
        <v>#N/A</v>
      </c>
      <c r="AD113" t="str">
        <f>IFERROR(VLOOKUP(Tabla_Consulta_desde_Proyectos10[[#This Row],[PRYcodigo]],Catálogo!A:B,2,FALSE),"Otros")</f>
        <v>Otros</v>
      </c>
      <c r="AE113" t="str">
        <f>IF(LEN(Tabla_Consulta_desde_Proyectos10[[#This Row],[Semana]])&lt;13,"CI",RIGHT(Tabla_Consulta_desde_Proyectos10[[#This Row],[Semana]],4))</f>
        <v>CI</v>
      </c>
    </row>
    <row r="114" spans="1:31" hidden="1">
      <c r="A114" t="s">
        <v>4032</v>
      </c>
      <c r="B114" t="s">
        <v>6752</v>
      </c>
      <c r="C114" t="s">
        <v>6753</v>
      </c>
      <c r="D114" t="s">
        <v>7201</v>
      </c>
      <c r="E114" t="s">
        <v>7568</v>
      </c>
      <c r="F114">
        <v>1</v>
      </c>
      <c r="G114" t="s">
        <v>7224</v>
      </c>
      <c r="L114" s="4"/>
      <c r="O114">
        <v>3000000001825360</v>
      </c>
      <c r="W114" t="str">
        <f>Tabla_Consulta_desde_Proyectos10[[#This Row],[PRYcodigo]]&amp;Tabla_Consulta_desde_Proyectos10[[#This Row],[PRYApath]]</f>
        <v>095-202-RDIG/0020/0004</v>
      </c>
      <c r="X114" t="str">
        <f>Tabla_Consulta_desde_Proyectos10[[#This Row],[PRYAcodigo]]&amp;" - "&amp;Tabla_Consulta_desde_Proyectos10[[#This Row],[PRYAdescripcion]]</f>
        <v>2 - TAREAS DE DESARROLLO DE DASHBOARD</v>
      </c>
      <c r="Y114" t="str">
        <f>SUBSTITUTE(IFERROR(VLOOKUP(LEFT(Tabla_Consulta_desde_Proyectos10[[#This Row],[Nivel1]],LEN(Tabla_Consulta_desde_Proyectos10[[#This Row],[Nivel1]])-5),Tabla_Consulta_desde_Proyectos10[[#All],[Nivel1]:[Actividad]],2,FALSE),""),"_","-")</f>
        <v>176-MCD - MEJORAS AL CORE Y DASHBOARD DE RECETA DIGITAL</v>
      </c>
      <c r="Z114" t="str">
        <f>IFERROR(VLOOKUP(Tabla_Consulta_desde_Proyectos10[[#This Row],[PRYRAfecha]],'Fechas Mes'!G:J,4,TRUE),"")</f>
        <v/>
      </c>
      <c r="AA114" t="e" cm="1">
        <f t="array" ref="AA114">INDEX('Fechas Mes'!F:F,MATCH(Tabla_Consulta_desde_Proyectos10[[#This Row],[Semana]],'Fechas Mes'!J:J,0),)</f>
        <v>#N/A</v>
      </c>
      <c r="AB114">
        <f>YEAR(Tabla_Consulta_desde_Proyectos10[[#This Row],[PRYRAfecha]])</f>
        <v>1900</v>
      </c>
      <c r="AC114" t="e">
        <f>VLOOKUP(Tabla_Consulta_desde_Proyectos10[[#This Row],[PRYRAfecha]],'Fechas Mes'!G:J,4,TRUE)</f>
        <v>#N/A</v>
      </c>
      <c r="AD114" t="str">
        <f>IFERROR(VLOOKUP(Tabla_Consulta_desde_Proyectos10[[#This Row],[PRYcodigo]],Catálogo!A:B,2,FALSE),"Otros")</f>
        <v>Otros</v>
      </c>
      <c r="AE114" t="str">
        <f>IF(LEN(Tabla_Consulta_desde_Proyectos10[[#This Row],[Semana]])&lt;13,"CI",RIGHT(Tabla_Consulta_desde_Proyectos10[[#This Row],[Semana]],4))</f>
        <v>CI</v>
      </c>
    </row>
    <row r="115" spans="1:31" hidden="1">
      <c r="A115" t="s">
        <v>4032</v>
      </c>
      <c r="B115" t="s">
        <v>6752</v>
      </c>
      <c r="C115" t="s">
        <v>6753</v>
      </c>
      <c r="D115" t="s">
        <v>7201</v>
      </c>
      <c r="E115" t="s">
        <v>7568</v>
      </c>
      <c r="F115">
        <v>1</v>
      </c>
      <c r="G115" t="s">
        <v>7224</v>
      </c>
      <c r="L115" s="4"/>
      <c r="O115">
        <v>3000000001825361</v>
      </c>
      <c r="W115" t="str">
        <f>Tabla_Consulta_desde_Proyectos10[[#This Row],[PRYcodigo]]&amp;Tabla_Consulta_desde_Proyectos10[[#This Row],[PRYApath]]</f>
        <v>095-202-RDIG/0020/0004</v>
      </c>
      <c r="X115" t="str">
        <f>Tabla_Consulta_desde_Proyectos10[[#This Row],[PRYAcodigo]]&amp;" - "&amp;Tabla_Consulta_desde_Proyectos10[[#This Row],[PRYAdescripcion]]</f>
        <v>2 - TAREAS DE DESARROLLO DE DASHBOARD</v>
      </c>
      <c r="Y115" t="str">
        <f>SUBSTITUTE(IFERROR(VLOOKUP(LEFT(Tabla_Consulta_desde_Proyectos10[[#This Row],[Nivel1]],LEN(Tabla_Consulta_desde_Proyectos10[[#This Row],[Nivel1]])-5),Tabla_Consulta_desde_Proyectos10[[#All],[Nivel1]:[Actividad]],2,FALSE),""),"_","-")</f>
        <v>176-MCD - MEJORAS AL CORE Y DASHBOARD DE RECETA DIGITAL</v>
      </c>
      <c r="Z115" t="str">
        <f>IFERROR(VLOOKUP(Tabla_Consulta_desde_Proyectos10[[#This Row],[PRYRAfecha]],'Fechas Mes'!G:J,4,TRUE),"")</f>
        <v/>
      </c>
      <c r="AA115" t="e" cm="1">
        <f t="array" ref="AA115">INDEX('Fechas Mes'!F:F,MATCH(Tabla_Consulta_desde_Proyectos10[[#This Row],[Semana]],'Fechas Mes'!J:J,0),)</f>
        <v>#N/A</v>
      </c>
      <c r="AB115">
        <f>YEAR(Tabla_Consulta_desde_Proyectos10[[#This Row],[PRYRAfecha]])</f>
        <v>1900</v>
      </c>
      <c r="AC115" t="e">
        <f>VLOOKUP(Tabla_Consulta_desde_Proyectos10[[#This Row],[PRYRAfecha]],'Fechas Mes'!G:J,4,TRUE)</f>
        <v>#N/A</v>
      </c>
      <c r="AD115" t="str">
        <f>IFERROR(VLOOKUP(Tabla_Consulta_desde_Proyectos10[[#This Row],[PRYcodigo]],Catálogo!A:B,2,FALSE),"Otros")</f>
        <v>Otros</v>
      </c>
      <c r="AE115" t="str">
        <f>IF(LEN(Tabla_Consulta_desde_Proyectos10[[#This Row],[Semana]])&lt;13,"CI",RIGHT(Tabla_Consulta_desde_Proyectos10[[#This Row],[Semana]],4))</f>
        <v>CI</v>
      </c>
    </row>
    <row r="116" spans="1:31" hidden="1">
      <c r="A116" t="s">
        <v>4032</v>
      </c>
      <c r="B116" t="s">
        <v>6752</v>
      </c>
      <c r="C116" t="s">
        <v>6753</v>
      </c>
      <c r="D116" t="s">
        <v>7201</v>
      </c>
      <c r="E116" t="s">
        <v>7568</v>
      </c>
      <c r="F116">
        <v>1</v>
      </c>
      <c r="G116" t="s">
        <v>7224</v>
      </c>
      <c r="L116" s="4"/>
      <c r="O116">
        <v>3000000001825364</v>
      </c>
      <c r="W116" t="str">
        <f>Tabla_Consulta_desde_Proyectos10[[#This Row],[PRYcodigo]]&amp;Tabla_Consulta_desde_Proyectos10[[#This Row],[PRYApath]]</f>
        <v>095-202-RDIG/0020/0004</v>
      </c>
      <c r="X116" t="str">
        <f>Tabla_Consulta_desde_Proyectos10[[#This Row],[PRYAcodigo]]&amp;" - "&amp;Tabla_Consulta_desde_Proyectos10[[#This Row],[PRYAdescripcion]]</f>
        <v>2 - TAREAS DE DESARROLLO DE DASHBOARD</v>
      </c>
      <c r="Y116" t="str">
        <f>SUBSTITUTE(IFERROR(VLOOKUP(LEFT(Tabla_Consulta_desde_Proyectos10[[#This Row],[Nivel1]],LEN(Tabla_Consulta_desde_Proyectos10[[#This Row],[Nivel1]])-5),Tabla_Consulta_desde_Proyectos10[[#All],[Nivel1]:[Actividad]],2,FALSE),""),"_","-")</f>
        <v>176-MCD - MEJORAS AL CORE Y DASHBOARD DE RECETA DIGITAL</v>
      </c>
      <c r="Z116" t="str">
        <f>IFERROR(VLOOKUP(Tabla_Consulta_desde_Proyectos10[[#This Row],[PRYRAfecha]],'Fechas Mes'!G:J,4,TRUE),"")</f>
        <v/>
      </c>
      <c r="AA116" t="e" cm="1">
        <f t="array" ref="AA116">INDEX('Fechas Mes'!F:F,MATCH(Tabla_Consulta_desde_Proyectos10[[#This Row],[Semana]],'Fechas Mes'!J:J,0),)</f>
        <v>#N/A</v>
      </c>
      <c r="AB116">
        <f>YEAR(Tabla_Consulta_desde_Proyectos10[[#This Row],[PRYRAfecha]])</f>
        <v>1900</v>
      </c>
      <c r="AC116" t="e">
        <f>VLOOKUP(Tabla_Consulta_desde_Proyectos10[[#This Row],[PRYRAfecha]],'Fechas Mes'!G:J,4,TRUE)</f>
        <v>#N/A</v>
      </c>
      <c r="AD116" t="str">
        <f>IFERROR(VLOOKUP(Tabla_Consulta_desde_Proyectos10[[#This Row],[PRYcodigo]],Catálogo!A:B,2,FALSE),"Otros")</f>
        <v>Otros</v>
      </c>
      <c r="AE116" t="str">
        <f>IF(LEN(Tabla_Consulta_desde_Proyectos10[[#This Row],[Semana]])&lt;13,"CI",RIGHT(Tabla_Consulta_desde_Proyectos10[[#This Row],[Semana]],4))</f>
        <v>CI</v>
      </c>
    </row>
    <row r="117" spans="1:31" hidden="1">
      <c r="A117" t="s">
        <v>4032</v>
      </c>
      <c r="B117" t="s">
        <v>6752</v>
      </c>
      <c r="C117" t="s">
        <v>6753</v>
      </c>
      <c r="D117" t="s">
        <v>7201</v>
      </c>
      <c r="E117" t="s">
        <v>7568</v>
      </c>
      <c r="F117">
        <v>1</v>
      </c>
      <c r="G117" t="s">
        <v>7224</v>
      </c>
      <c r="L117" s="4"/>
      <c r="O117">
        <v>3000000001825369</v>
      </c>
      <c r="W117" t="str">
        <f>Tabla_Consulta_desde_Proyectos10[[#This Row],[PRYcodigo]]&amp;Tabla_Consulta_desde_Proyectos10[[#This Row],[PRYApath]]</f>
        <v>095-202-RDIG/0020/0004</v>
      </c>
      <c r="X117" t="str">
        <f>Tabla_Consulta_desde_Proyectos10[[#This Row],[PRYAcodigo]]&amp;" - "&amp;Tabla_Consulta_desde_Proyectos10[[#This Row],[PRYAdescripcion]]</f>
        <v>2 - TAREAS DE DESARROLLO DE DASHBOARD</v>
      </c>
      <c r="Y117" t="str">
        <f>SUBSTITUTE(IFERROR(VLOOKUP(LEFT(Tabla_Consulta_desde_Proyectos10[[#This Row],[Nivel1]],LEN(Tabla_Consulta_desde_Proyectos10[[#This Row],[Nivel1]])-5),Tabla_Consulta_desde_Proyectos10[[#All],[Nivel1]:[Actividad]],2,FALSE),""),"_","-")</f>
        <v>176-MCD - MEJORAS AL CORE Y DASHBOARD DE RECETA DIGITAL</v>
      </c>
      <c r="Z117" t="str">
        <f>IFERROR(VLOOKUP(Tabla_Consulta_desde_Proyectos10[[#This Row],[PRYRAfecha]],'Fechas Mes'!G:J,4,TRUE),"")</f>
        <v/>
      </c>
      <c r="AA117" t="e" cm="1">
        <f t="array" ref="AA117">INDEX('Fechas Mes'!F:F,MATCH(Tabla_Consulta_desde_Proyectos10[[#This Row],[Semana]],'Fechas Mes'!J:J,0),)</f>
        <v>#N/A</v>
      </c>
      <c r="AB117">
        <f>YEAR(Tabla_Consulta_desde_Proyectos10[[#This Row],[PRYRAfecha]])</f>
        <v>1900</v>
      </c>
      <c r="AC117" t="e">
        <f>VLOOKUP(Tabla_Consulta_desde_Proyectos10[[#This Row],[PRYRAfecha]],'Fechas Mes'!G:J,4,TRUE)</f>
        <v>#N/A</v>
      </c>
      <c r="AD117" t="str">
        <f>IFERROR(VLOOKUP(Tabla_Consulta_desde_Proyectos10[[#This Row],[PRYcodigo]],Catálogo!A:B,2,FALSE),"Otros")</f>
        <v>Otros</v>
      </c>
      <c r="AE117" t="str">
        <f>IF(LEN(Tabla_Consulta_desde_Proyectos10[[#This Row],[Semana]])&lt;13,"CI",RIGHT(Tabla_Consulta_desde_Proyectos10[[#This Row],[Semana]],4))</f>
        <v>CI</v>
      </c>
    </row>
    <row r="118" spans="1:31" hidden="1">
      <c r="A118" t="s">
        <v>4032</v>
      </c>
      <c r="B118" t="s">
        <v>6752</v>
      </c>
      <c r="C118" t="s">
        <v>6753</v>
      </c>
      <c r="D118" t="s">
        <v>7201</v>
      </c>
      <c r="E118" t="s">
        <v>7568</v>
      </c>
      <c r="F118">
        <v>1</v>
      </c>
      <c r="G118" t="s">
        <v>7224</v>
      </c>
      <c r="L118" s="4"/>
      <c r="O118">
        <v>3000000001825371</v>
      </c>
      <c r="W118" t="str">
        <f>Tabla_Consulta_desde_Proyectos10[[#This Row],[PRYcodigo]]&amp;Tabla_Consulta_desde_Proyectos10[[#This Row],[PRYApath]]</f>
        <v>095-202-RDIG/0020/0004</v>
      </c>
      <c r="X118" t="str">
        <f>Tabla_Consulta_desde_Proyectos10[[#This Row],[PRYAcodigo]]&amp;" - "&amp;Tabla_Consulta_desde_Proyectos10[[#This Row],[PRYAdescripcion]]</f>
        <v>2 - TAREAS DE DESARROLLO DE DASHBOARD</v>
      </c>
      <c r="Y118" t="str">
        <f>SUBSTITUTE(IFERROR(VLOOKUP(LEFT(Tabla_Consulta_desde_Proyectos10[[#This Row],[Nivel1]],LEN(Tabla_Consulta_desde_Proyectos10[[#This Row],[Nivel1]])-5),Tabla_Consulta_desde_Proyectos10[[#All],[Nivel1]:[Actividad]],2,FALSE),""),"_","-")</f>
        <v>176-MCD - MEJORAS AL CORE Y DASHBOARD DE RECETA DIGITAL</v>
      </c>
      <c r="Z118" t="str">
        <f>IFERROR(VLOOKUP(Tabla_Consulta_desde_Proyectos10[[#This Row],[PRYRAfecha]],'Fechas Mes'!G:J,4,TRUE),"")</f>
        <v/>
      </c>
      <c r="AA118" t="e" cm="1">
        <f t="array" ref="AA118">INDEX('Fechas Mes'!F:F,MATCH(Tabla_Consulta_desde_Proyectos10[[#This Row],[Semana]],'Fechas Mes'!J:J,0),)</f>
        <v>#N/A</v>
      </c>
      <c r="AB118">
        <f>YEAR(Tabla_Consulta_desde_Proyectos10[[#This Row],[PRYRAfecha]])</f>
        <v>1900</v>
      </c>
      <c r="AC118" t="e">
        <f>VLOOKUP(Tabla_Consulta_desde_Proyectos10[[#This Row],[PRYRAfecha]],'Fechas Mes'!G:J,4,TRUE)</f>
        <v>#N/A</v>
      </c>
      <c r="AD118" t="str">
        <f>IFERROR(VLOOKUP(Tabla_Consulta_desde_Proyectos10[[#This Row],[PRYcodigo]],Catálogo!A:B,2,FALSE),"Otros")</f>
        <v>Otros</v>
      </c>
      <c r="AE118" t="str">
        <f>IF(LEN(Tabla_Consulta_desde_Proyectos10[[#This Row],[Semana]])&lt;13,"CI",RIGHT(Tabla_Consulta_desde_Proyectos10[[#This Row],[Semana]],4))</f>
        <v>CI</v>
      </c>
    </row>
    <row r="119" spans="1:31" hidden="1">
      <c r="A119" t="s">
        <v>4032</v>
      </c>
      <c r="B119" t="s">
        <v>6752</v>
      </c>
      <c r="C119" t="s">
        <v>6753</v>
      </c>
      <c r="D119" t="s">
        <v>7201</v>
      </c>
      <c r="E119" t="s">
        <v>7568</v>
      </c>
      <c r="F119">
        <v>1</v>
      </c>
      <c r="G119" t="s">
        <v>7224</v>
      </c>
      <c r="L119" s="4"/>
      <c r="O119">
        <v>3000000001829192</v>
      </c>
      <c r="W119" t="str">
        <f>Tabla_Consulta_desde_Proyectos10[[#This Row],[PRYcodigo]]&amp;Tabla_Consulta_desde_Proyectos10[[#This Row],[PRYApath]]</f>
        <v>095-202-RDIG/0020/0004</v>
      </c>
      <c r="X119" t="str">
        <f>Tabla_Consulta_desde_Proyectos10[[#This Row],[PRYAcodigo]]&amp;" - "&amp;Tabla_Consulta_desde_Proyectos10[[#This Row],[PRYAdescripcion]]</f>
        <v>2 - TAREAS DE DESARROLLO DE DASHBOARD</v>
      </c>
      <c r="Y119" t="str">
        <f>SUBSTITUTE(IFERROR(VLOOKUP(LEFT(Tabla_Consulta_desde_Proyectos10[[#This Row],[Nivel1]],LEN(Tabla_Consulta_desde_Proyectos10[[#This Row],[Nivel1]])-5),Tabla_Consulta_desde_Proyectos10[[#All],[Nivel1]:[Actividad]],2,FALSE),""),"_","-")</f>
        <v>176-MCD - MEJORAS AL CORE Y DASHBOARD DE RECETA DIGITAL</v>
      </c>
      <c r="Z119" t="str">
        <f>IFERROR(VLOOKUP(Tabla_Consulta_desde_Proyectos10[[#This Row],[PRYRAfecha]],'Fechas Mes'!G:J,4,TRUE),"")</f>
        <v/>
      </c>
      <c r="AA119" t="e" cm="1">
        <f t="array" ref="AA119">INDEX('Fechas Mes'!F:F,MATCH(Tabla_Consulta_desde_Proyectos10[[#This Row],[Semana]],'Fechas Mes'!J:J,0),)</f>
        <v>#N/A</v>
      </c>
      <c r="AB119">
        <f>YEAR(Tabla_Consulta_desde_Proyectos10[[#This Row],[PRYRAfecha]])</f>
        <v>1900</v>
      </c>
      <c r="AC119" t="e">
        <f>VLOOKUP(Tabla_Consulta_desde_Proyectos10[[#This Row],[PRYRAfecha]],'Fechas Mes'!G:J,4,TRUE)</f>
        <v>#N/A</v>
      </c>
      <c r="AD119" t="str">
        <f>IFERROR(VLOOKUP(Tabla_Consulta_desde_Proyectos10[[#This Row],[PRYcodigo]],Catálogo!A:B,2,FALSE),"Otros")</f>
        <v>Otros</v>
      </c>
      <c r="AE119" t="str">
        <f>IF(LEN(Tabla_Consulta_desde_Proyectos10[[#This Row],[Semana]])&lt;13,"CI",RIGHT(Tabla_Consulta_desde_Proyectos10[[#This Row],[Semana]],4))</f>
        <v>CI</v>
      </c>
    </row>
    <row r="120" spans="1:31" hidden="1">
      <c r="A120" t="s">
        <v>4032</v>
      </c>
      <c r="B120" t="s">
        <v>6752</v>
      </c>
      <c r="C120" t="s">
        <v>6753</v>
      </c>
      <c r="D120" t="s">
        <v>7201</v>
      </c>
      <c r="E120" t="s">
        <v>7568</v>
      </c>
      <c r="F120">
        <v>1</v>
      </c>
      <c r="G120" t="s">
        <v>7224</v>
      </c>
      <c r="L120" s="4"/>
      <c r="O120">
        <v>3000000001829193</v>
      </c>
      <c r="W120" t="str">
        <f>Tabla_Consulta_desde_Proyectos10[[#This Row],[PRYcodigo]]&amp;Tabla_Consulta_desde_Proyectos10[[#This Row],[PRYApath]]</f>
        <v>095-202-RDIG/0020/0004</v>
      </c>
      <c r="X120" t="str">
        <f>Tabla_Consulta_desde_Proyectos10[[#This Row],[PRYAcodigo]]&amp;" - "&amp;Tabla_Consulta_desde_Proyectos10[[#This Row],[PRYAdescripcion]]</f>
        <v>2 - TAREAS DE DESARROLLO DE DASHBOARD</v>
      </c>
      <c r="Y120" t="str">
        <f>SUBSTITUTE(IFERROR(VLOOKUP(LEFT(Tabla_Consulta_desde_Proyectos10[[#This Row],[Nivel1]],LEN(Tabla_Consulta_desde_Proyectos10[[#This Row],[Nivel1]])-5),Tabla_Consulta_desde_Proyectos10[[#All],[Nivel1]:[Actividad]],2,FALSE),""),"_","-")</f>
        <v>176-MCD - MEJORAS AL CORE Y DASHBOARD DE RECETA DIGITAL</v>
      </c>
      <c r="Z120" t="str">
        <f>IFERROR(VLOOKUP(Tabla_Consulta_desde_Proyectos10[[#This Row],[PRYRAfecha]],'Fechas Mes'!G:J,4,TRUE),"")</f>
        <v/>
      </c>
      <c r="AA120" t="e" cm="1">
        <f t="array" ref="AA120">INDEX('Fechas Mes'!F:F,MATCH(Tabla_Consulta_desde_Proyectos10[[#This Row],[Semana]],'Fechas Mes'!J:J,0),)</f>
        <v>#N/A</v>
      </c>
      <c r="AB120">
        <f>YEAR(Tabla_Consulta_desde_Proyectos10[[#This Row],[PRYRAfecha]])</f>
        <v>1900</v>
      </c>
      <c r="AC120" t="e">
        <f>VLOOKUP(Tabla_Consulta_desde_Proyectos10[[#This Row],[PRYRAfecha]],'Fechas Mes'!G:J,4,TRUE)</f>
        <v>#N/A</v>
      </c>
      <c r="AD120" t="str">
        <f>IFERROR(VLOOKUP(Tabla_Consulta_desde_Proyectos10[[#This Row],[PRYcodigo]],Catálogo!A:B,2,FALSE),"Otros")</f>
        <v>Otros</v>
      </c>
      <c r="AE120" t="str">
        <f>IF(LEN(Tabla_Consulta_desde_Proyectos10[[#This Row],[Semana]])&lt;13,"CI",RIGHT(Tabla_Consulta_desde_Proyectos10[[#This Row],[Semana]],4))</f>
        <v>CI</v>
      </c>
    </row>
    <row r="121" spans="1:31" hidden="1">
      <c r="A121" t="s">
        <v>4032</v>
      </c>
      <c r="B121" t="s">
        <v>6752</v>
      </c>
      <c r="C121" t="s">
        <v>6753</v>
      </c>
      <c r="D121" t="s">
        <v>7201</v>
      </c>
      <c r="E121" t="s">
        <v>7568</v>
      </c>
      <c r="F121">
        <v>1</v>
      </c>
      <c r="G121" t="s">
        <v>7224</v>
      </c>
      <c r="L121" s="4"/>
      <c r="O121">
        <v>3000000001829195</v>
      </c>
      <c r="W121" t="str">
        <f>Tabla_Consulta_desde_Proyectos10[[#This Row],[PRYcodigo]]&amp;Tabla_Consulta_desde_Proyectos10[[#This Row],[PRYApath]]</f>
        <v>095-202-RDIG/0020/0004</v>
      </c>
      <c r="X121" t="str">
        <f>Tabla_Consulta_desde_Proyectos10[[#This Row],[PRYAcodigo]]&amp;" - "&amp;Tabla_Consulta_desde_Proyectos10[[#This Row],[PRYAdescripcion]]</f>
        <v>2 - TAREAS DE DESARROLLO DE DASHBOARD</v>
      </c>
      <c r="Y121" t="str">
        <f>SUBSTITUTE(IFERROR(VLOOKUP(LEFT(Tabla_Consulta_desde_Proyectos10[[#This Row],[Nivel1]],LEN(Tabla_Consulta_desde_Proyectos10[[#This Row],[Nivel1]])-5),Tabla_Consulta_desde_Proyectos10[[#All],[Nivel1]:[Actividad]],2,FALSE),""),"_","-")</f>
        <v>176-MCD - MEJORAS AL CORE Y DASHBOARD DE RECETA DIGITAL</v>
      </c>
      <c r="Z121" t="str">
        <f>IFERROR(VLOOKUP(Tabla_Consulta_desde_Proyectos10[[#This Row],[PRYRAfecha]],'Fechas Mes'!G:J,4,TRUE),"")</f>
        <v/>
      </c>
      <c r="AA121" t="e" cm="1">
        <f t="array" ref="AA121">INDEX('Fechas Mes'!F:F,MATCH(Tabla_Consulta_desde_Proyectos10[[#This Row],[Semana]],'Fechas Mes'!J:J,0),)</f>
        <v>#N/A</v>
      </c>
      <c r="AB121">
        <f>YEAR(Tabla_Consulta_desde_Proyectos10[[#This Row],[PRYRAfecha]])</f>
        <v>1900</v>
      </c>
      <c r="AC121" t="e">
        <f>VLOOKUP(Tabla_Consulta_desde_Proyectos10[[#This Row],[PRYRAfecha]],'Fechas Mes'!G:J,4,TRUE)</f>
        <v>#N/A</v>
      </c>
      <c r="AD121" t="str">
        <f>IFERROR(VLOOKUP(Tabla_Consulta_desde_Proyectos10[[#This Row],[PRYcodigo]],Catálogo!A:B,2,FALSE),"Otros")</f>
        <v>Otros</v>
      </c>
      <c r="AE121" t="str">
        <f>IF(LEN(Tabla_Consulta_desde_Proyectos10[[#This Row],[Semana]])&lt;13,"CI",RIGHT(Tabla_Consulta_desde_Proyectos10[[#This Row],[Semana]],4))</f>
        <v>CI</v>
      </c>
    </row>
    <row r="122" spans="1:31" hidden="1">
      <c r="A122" t="s">
        <v>4032</v>
      </c>
      <c r="B122" t="s">
        <v>6752</v>
      </c>
      <c r="C122" t="s">
        <v>6753</v>
      </c>
      <c r="D122" t="s">
        <v>7201</v>
      </c>
      <c r="E122" t="s">
        <v>7568</v>
      </c>
      <c r="F122">
        <v>1</v>
      </c>
      <c r="G122" t="s">
        <v>7224</v>
      </c>
      <c r="L122" s="4"/>
      <c r="O122">
        <v>3000000001829196</v>
      </c>
      <c r="W122" t="str">
        <f>Tabla_Consulta_desde_Proyectos10[[#This Row],[PRYcodigo]]&amp;Tabla_Consulta_desde_Proyectos10[[#This Row],[PRYApath]]</f>
        <v>095-202-RDIG/0020/0004</v>
      </c>
      <c r="X122" t="str">
        <f>Tabla_Consulta_desde_Proyectos10[[#This Row],[PRYAcodigo]]&amp;" - "&amp;Tabla_Consulta_desde_Proyectos10[[#This Row],[PRYAdescripcion]]</f>
        <v>2 - TAREAS DE DESARROLLO DE DASHBOARD</v>
      </c>
      <c r="Y122" t="str">
        <f>SUBSTITUTE(IFERROR(VLOOKUP(LEFT(Tabla_Consulta_desde_Proyectos10[[#This Row],[Nivel1]],LEN(Tabla_Consulta_desde_Proyectos10[[#This Row],[Nivel1]])-5),Tabla_Consulta_desde_Proyectos10[[#All],[Nivel1]:[Actividad]],2,FALSE),""),"_","-")</f>
        <v>176-MCD - MEJORAS AL CORE Y DASHBOARD DE RECETA DIGITAL</v>
      </c>
      <c r="Z122" t="str">
        <f>IFERROR(VLOOKUP(Tabla_Consulta_desde_Proyectos10[[#This Row],[PRYRAfecha]],'Fechas Mes'!G:J,4,TRUE),"")</f>
        <v/>
      </c>
      <c r="AA122" t="e" cm="1">
        <f t="array" ref="AA122">INDEX('Fechas Mes'!F:F,MATCH(Tabla_Consulta_desde_Proyectos10[[#This Row],[Semana]],'Fechas Mes'!J:J,0),)</f>
        <v>#N/A</v>
      </c>
      <c r="AB122">
        <f>YEAR(Tabla_Consulta_desde_Proyectos10[[#This Row],[PRYRAfecha]])</f>
        <v>1900</v>
      </c>
      <c r="AC122" t="e">
        <f>VLOOKUP(Tabla_Consulta_desde_Proyectos10[[#This Row],[PRYRAfecha]],'Fechas Mes'!G:J,4,TRUE)</f>
        <v>#N/A</v>
      </c>
      <c r="AD122" t="str">
        <f>IFERROR(VLOOKUP(Tabla_Consulta_desde_Proyectos10[[#This Row],[PRYcodigo]],Catálogo!A:B,2,FALSE),"Otros")</f>
        <v>Otros</v>
      </c>
      <c r="AE122" t="str">
        <f>IF(LEN(Tabla_Consulta_desde_Proyectos10[[#This Row],[Semana]])&lt;13,"CI",RIGHT(Tabla_Consulta_desde_Proyectos10[[#This Row],[Semana]],4))</f>
        <v>CI</v>
      </c>
    </row>
    <row r="123" spans="1:31" hidden="1">
      <c r="A123" t="s">
        <v>4032</v>
      </c>
      <c r="B123" t="s">
        <v>6752</v>
      </c>
      <c r="C123" t="s">
        <v>6753</v>
      </c>
      <c r="D123" t="s">
        <v>7201</v>
      </c>
      <c r="E123" t="s">
        <v>7568</v>
      </c>
      <c r="F123">
        <v>1</v>
      </c>
      <c r="G123" t="s">
        <v>7224</v>
      </c>
      <c r="L123" s="4"/>
      <c r="O123">
        <v>3000000001829197</v>
      </c>
      <c r="W123" t="str">
        <f>Tabla_Consulta_desde_Proyectos10[[#This Row],[PRYcodigo]]&amp;Tabla_Consulta_desde_Proyectos10[[#This Row],[PRYApath]]</f>
        <v>095-202-RDIG/0020/0004</v>
      </c>
      <c r="X123" t="str">
        <f>Tabla_Consulta_desde_Proyectos10[[#This Row],[PRYAcodigo]]&amp;" - "&amp;Tabla_Consulta_desde_Proyectos10[[#This Row],[PRYAdescripcion]]</f>
        <v>2 - TAREAS DE DESARROLLO DE DASHBOARD</v>
      </c>
      <c r="Y123" t="str">
        <f>SUBSTITUTE(IFERROR(VLOOKUP(LEFT(Tabla_Consulta_desde_Proyectos10[[#This Row],[Nivel1]],LEN(Tabla_Consulta_desde_Proyectos10[[#This Row],[Nivel1]])-5),Tabla_Consulta_desde_Proyectos10[[#All],[Nivel1]:[Actividad]],2,FALSE),""),"_","-")</f>
        <v>176-MCD - MEJORAS AL CORE Y DASHBOARD DE RECETA DIGITAL</v>
      </c>
      <c r="Z123" t="str">
        <f>IFERROR(VLOOKUP(Tabla_Consulta_desde_Proyectos10[[#This Row],[PRYRAfecha]],'Fechas Mes'!G:J,4,TRUE),"")</f>
        <v/>
      </c>
      <c r="AA123" t="e" cm="1">
        <f t="array" ref="AA123">INDEX('Fechas Mes'!F:F,MATCH(Tabla_Consulta_desde_Proyectos10[[#This Row],[Semana]],'Fechas Mes'!J:J,0),)</f>
        <v>#N/A</v>
      </c>
      <c r="AB123">
        <f>YEAR(Tabla_Consulta_desde_Proyectos10[[#This Row],[PRYRAfecha]])</f>
        <v>1900</v>
      </c>
      <c r="AC123" t="e">
        <f>VLOOKUP(Tabla_Consulta_desde_Proyectos10[[#This Row],[PRYRAfecha]],'Fechas Mes'!G:J,4,TRUE)</f>
        <v>#N/A</v>
      </c>
      <c r="AD123" t="str">
        <f>IFERROR(VLOOKUP(Tabla_Consulta_desde_Proyectos10[[#This Row],[PRYcodigo]],Catálogo!A:B,2,FALSE),"Otros")</f>
        <v>Otros</v>
      </c>
      <c r="AE123" t="str">
        <f>IF(LEN(Tabla_Consulta_desde_Proyectos10[[#This Row],[Semana]])&lt;13,"CI",RIGHT(Tabla_Consulta_desde_Proyectos10[[#This Row],[Semana]],4))</f>
        <v>CI</v>
      </c>
    </row>
    <row r="124" spans="1:31" hidden="1">
      <c r="A124" t="s">
        <v>4032</v>
      </c>
      <c r="B124" t="s">
        <v>6752</v>
      </c>
      <c r="C124" t="s">
        <v>6753</v>
      </c>
      <c r="D124" t="s">
        <v>7201</v>
      </c>
      <c r="E124" t="s">
        <v>7568</v>
      </c>
      <c r="F124">
        <v>1</v>
      </c>
      <c r="G124" t="s">
        <v>7224</v>
      </c>
      <c r="L124" s="4"/>
      <c r="O124">
        <v>3000000001829198</v>
      </c>
      <c r="W124" t="str">
        <f>Tabla_Consulta_desde_Proyectos10[[#This Row],[PRYcodigo]]&amp;Tabla_Consulta_desde_Proyectos10[[#This Row],[PRYApath]]</f>
        <v>095-202-RDIG/0020/0004</v>
      </c>
      <c r="X124" t="str">
        <f>Tabla_Consulta_desde_Proyectos10[[#This Row],[PRYAcodigo]]&amp;" - "&amp;Tabla_Consulta_desde_Proyectos10[[#This Row],[PRYAdescripcion]]</f>
        <v>2 - TAREAS DE DESARROLLO DE DASHBOARD</v>
      </c>
      <c r="Y124" t="str">
        <f>SUBSTITUTE(IFERROR(VLOOKUP(LEFT(Tabla_Consulta_desde_Proyectos10[[#This Row],[Nivel1]],LEN(Tabla_Consulta_desde_Proyectos10[[#This Row],[Nivel1]])-5),Tabla_Consulta_desde_Proyectos10[[#All],[Nivel1]:[Actividad]],2,FALSE),""),"_","-")</f>
        <v>176-MCD - MEJORAS AL CORE Y DASHBOARD DE RECETA DIGITAL</v>
      </c>
      <c r="Z124" t="str">
        <f>IFERROR(VLOOKUP(Tabla_Consulta_desde_Proyectos10[[#This Row],[PRYRAfecha]],'Fechas Mes'!G:J,4,TRUE),"")</f>
        <v/>
      </c>
      <c r="AA124" t="e" cm="1">
        <f t="array" ref="AA124">INDEX('Fechas Mes'!F:F,MATCH(Tabla_Consulta_desde_Proyectos10[[#This Row],[Semana]],'Fechas Mes'!J:J,0),)</f>
        <v>#N/A</v>
      </c>
      <c r="AB124">
        <f>YEAR(Tabla_Consulta_desde_Proyectos10[[#This Row],[PRYRAfecha]])</f>
        <v>1900</v>
      </c>
      <c r="AC124" t="e">
        <f>VLOOKUP(Tabla_Consulta_desde_Proyectos10[[#This Row],[PRYRAfecha]],'Fechas Mes'!G:J,4,TRUE)</f>
        <v>#N/A</v>
      </c>
      <c r="AD124" t="str">
        <f>IFERROR(VLOOKUP(Tabla_Consulta_desde_Proyectos10[[#This Row],[PRYcodigo]],Catálogo!A:B,2,FALSE),"Otros")</f>
        <v>Otros</v>
      </c>
      <c r="AE124" t="str">
        <f>IF(LEN(Tabla_Consulta_desde_Proyectos10[[#This Row],[Semana]])&lt;13,"CI",RIGHT(Tabla_Consulta_desde_Proyectos10[[#This Row],[Semana]],4))</f>
        <v>CI</v>
      </c>
    </row>
    <row r="125" spans="1:31" hidden="1">
      <c r="A125" t="s">
        <v>4032</v>
      </c>
      <c r="B125" t="s">
        <v>6752</v>
      </c>
      <c r="C125" t="s">
        <v>6753</v>
      </c>
      <c r="D125" t="s">
        <v>7201</v>
      </c>
      <c r="E125" t="s">
        <v>7568</v>
      </c>
      <c r="F125">
        <v>1</v>
      </c>
      <c r="G125" t="s">
        <v>7224</v>
      </c>
      <c r="L125" s="4"/>
      <c r="O125">
        <v>3000000001829199</v>
      </c>
      <c r="W125" t="str">
        <f>Tabla_Consulta_desde_Proyectos10[[#This Row],[PRYcodigo]]&amp;Tabla_Consulta_desde_Proyectos10[[#This Row],[PRYApath]]</f>
        <v>095-202-RDIG/0020/0004</v>
      </c>
      <c r="X125" t="str">
        <f>Tabla_Consulta_desde_Proyectos10[[#This Row],[PRYAcodigo]]&amp;" - "&amp;Tabla_Consulta_desde_Proyectos10[[#This Row],[PRYAdescripcion]]</f>
        <v>2 - TAREAS DE DESARROLLO DE DASHBOARD</v>
      </c>
      <c r="Y125" t="str">
        <f>SUBSTITUTE(IFERROR(VLOOKUP(LEFT(Tabla_Consulta_desde_Proyectos10[[#This Row],[Nivel1]],LEN(Tabla_Consulta_desde_Proyectos10[[#This Row],[Nivel1]])-5),Tabla_Consulta_desde_Proyectos10[[#All],[Nivel1]:[Actividad]],2,FALSE),""),"_","-")</f>
        <v>176-MCD - MEJORAS AL CORE Y DASHBOARD DE RECETA DIGITAL</v>
      </c>
      <c r="Z125" t="str">
        <f>IFERROR(VLOOKUP(Tabla_Consulta_desde_Proyectos10[[#This Row],[PRYRAfecha]],'Fechas Mes'!G:J,4,TRUE),"")</f>
        <v/>
      </c>
      <c r="AA125" t="e" cm="1">
        <f t="array" ref="AA125">INDEX('Fechas Mes'!F:F,MATCH(Tabla_Consulta_desde_Proyectos10[[#This Row],[Semana]],'Fechas Mes'!J:J,0),)</f>
        <v>#N/A</v>
      </c>
      <c r="AB125">
        <f>YEAR(Tabla_Consulta_desde_Proyectos10[[#This Row],[PRYRAfecha]])</f>
        <v>1900</v>
      </c>
      <c r="AC125" t="e">
        <f>VLOOKUP(Tabla_Consulta_desde_Proyectos10[[#This Row],[PRYRAfecha]],'Fechas Mes'!G:J,4,TRUE)</f>
        <v>#N/A</v>
      </c>
      <c r="AD125" t="str">
        <f>IFERROR(VLOOKUP(Tabla_Consulta_desde_Proyectos10[[#This Row],[PRYcodigo]],Catálogo!A:B,2,FALSE),"Otros")</f>
        <v>Otros</v>
      </c>
      <c r="AE125" t="str">
        <f>IF(LEN(Tabla_Consulta_desde_Proyectos10[[#This Row],[Semana]])&lt;13,"CI",RIGHT(Tabla_Consulta_desde_Proyectos10[[#This Row],[Semana]],4))</f>
        <v>CI</v>
      </c>
    </row>
    <row r="126" spans="1:31" hidden="1">
      <c r="A126" t="s">
        <v>4032</v>
      </c>
      <c r="B126" t="s">
        <v>6752</v>
      </c>
      <c r="C126" t="s">
        <v>6753</v>
      </c>
      <c r="D126" t="s">
        <v>7201</v>
      </c>
      <c r="E126" t="s">
        <v>7568</v>
      </c>
      <c r="F126">
        <v>1</v>
      </c>
      <c r="G126" t="s">
        <v>7224</v>
      </c>
      <c r="L126" s="4"/>
      <c r="O126">
        <v>3000000001829201</v>
      </c>
      <c r="W126" t="str">
        <f>Tabla_Consulta_desde_Proyectos10[[#This Row],[PRYcodigo]]&amp;Tabla_Consulta_desde_Proyectos10[[#This Row],[PRYApath]]</f>
        <v>095-202-RDIG/0020/0004</v>
      </c>
      <c r="X126" t="str">
        <f>Tabla_Consulta_desde_Proyectos10[[#This Row],[PRYAcodigo]]&amp;" - "&amp;Tabla_Consulta_desde_Proyectos10[[#This Row],[PRYAdescripcion]]</f>
        <v>2 - TAREAS DE DESARROLLO DE DASHBOARD</v>
      </c>
      <c r="Y126" t="str">
        <f>SUBSTITUTE(IFERROR(VLOOKUP(LEFT(Tabla_Consulta_desde_Proyectos10[[#This Row],[Nivel1]],LEN(Tabla_Consulta_desde_Proyectos10[[#This Row],[Nivel1]])-5),Tabla_Consulta_desde_Proyectos10[[#All],[Nivel1]:[Actividad]],2,FALSE),""),"_","-")</f>
        <v>176-MCD - MEJORAS AL CORE Y DASHBOARD DE RECETA DIGITAL</v>
      </c>
      <c r="Z126" t="str">
        <f>IFERROR(VLOOKUP(Tabla_Consulta_desde_Proyectos10[[#This Row],[PRYRAfecha]],'Fechas Mes'!G:J,4,TRUE),"")</f>
        <v/>
      </c>
      <c r="AA126" t="e" cm="1">
        <f t="array" ref="AA126">INDEX('Fechas Mes'!F:F,MATCH(Tabla_Consulta_desde_Proyectos10[[#This Row],[Semana]],'Fechas Mes'!J:J,0),)</f>
        <v>#N/A</v>
      </c>
      <c r="AB126">
        <f>YEAR(Tabla_Consulta_desde_Proyectos10[[#This Row],[PRYRAfecha]])</f>
        <v>1900</v>
      </c>
      <c r="AC126" t="e">
        <f>VLOOKUP(Tabla_Consulta_desde_Proyectos10[[#This Row],[PRYRAfecha]],'Fechas Mes'!G:J,4,TRUE)</f>
        <v>#N/A</v>
      </c>
      <c r="AD126" t="str">
        <f>IFERROR(VLOOKUP(Tabla_Consulta_desde_Proyectos10[[#This Row],[PRYcodigo]],Catálogo!A:B,2,FALSE),"Otros")</f>
        <v>Otros</v>
      </c>
      <c r="AE126" t="str">
        <f>IF(LEN(Tabla_Consulta_desde_Proyectos10[[#This Row],[Semana]])&lt;13,"CI",RIGHT(Tabla_Consulta_desde_Proyectos10[[#This Row],[Semana]],4))</f>
        <v>CI</v>
      </c>
    </row>
    <row r="127" spans="1:31" hidden="1">
      <c r="A127" t="s">
        <v>4032</v>
      </c>
      <c r="B127" t="s">
        <v>6752</v>
      </c>
      <c r="C127" t="s">
        <v>6753</v>
      </c>
      <c r="D127" t="s">
        <v>7201</v>
      </c>
      <c r="E127" t="s">
        <v>7568</v>
      </c>
      <c r="F127">
        <v>1</v>
      </c>
      <c r="G127" t="s">
        <v>7224</v>
      </c>
      <c r="L127" s="4"/>
      <c r="O127">
        <v>3000000001829203</v>
      </c>
      <c r="W127" t="str">
        <f>Tabla_Consulta_desde_Proyectos10[[#This Row],[PRYcodigo]]&amp;Tabla_Consulta_desde_Proyectos10[[#This Row],[PRYApath]]</f>
        <v>095-202-RDIG/0020/0004</v>
      </c>
      <c r="X127" t="str">
        <f>Tabla_Consulta_desde_Proyectos10[[#This Row],[PRYAcodigo]]&amp;" - "&amp;Tabla_Consulta_desde_Proyectos10[[#This Row],[PRYAdescripcion]]</f>
        <v>2 - TAREAS DE DESARROLLO DE DASHBOARD</v>
      </c>
      <c r="Y127" t="str">
        <f>SUBSTITUTE(IFERROR(VLOOKUP(LEFT(Tabla_Consulta_desde_Proyectos10[[#This Row],[Nivel1]],LEN(Tabla_Consulta_desde_Proyectos10[[#This Row],[Nivel1]])-5),Tabla_Consulta_desde_Proyectos10[[#All],[Nivel1]:[Actividad]],2,FALSE),""),"_","-")</f>
        <v>176-MCD - MEJORAS AL CORE Y DASHBOARD DE RECETA DIGITAL</v>
      </c>
      <c r="Z127" t="str">
        <f>IFERROR(VLOOKUP(Tabla_Consulta_desde_Proyectos10[[#This Row],[PRYRAfecha]],'Fechas Mes'!G:J,4,TRUE),"")</f>
        <v/>
      </c>
      <c r="AA127" t="e" cm="1">
        <f t="array" ref="AA127">INDEX('Fechas Mes'!F:F,MATCH(Tabla_Consulta_desde_Proyectos10[[#This Row],[Semana]],'Fechas Mes'!J:J,0),)</f>
        <v>#N/A</v>
      </c>
      <c r="AB127">
        <f>YEAR(Tabla_Consulta_desde_Proyectos10[[#This Row],[PRYRAfecha]])</f>
        <v>1900</v>
      </c>
      <c r="AC127" t="e">
        <f>VLOOKUP(Tabla_Consulta_desde_Proyectos10[[#This Row],[PRYRAfecha]],'Fechas Mes'!G:J,4,TRUE)</f>
        <v>#N/A</v>
      </c>
      <c r="AD127" t="str">
        <f>IFERROR(VLOOKUP(Tabla_Consulta_desde_Proyectos10[[#This Row],[PRYcodigo]],Catálogo!A:B,2,FALSE),"Otros")</f>
        <v>Otros</v>
      </c>
      <c r="AE127" t="str">
        <f>IF(LEN(Tabla_Consulta_desde_Proyectos10[[#This Row],[Semana]])&lt;13,"CI",RIGHT(Tabla_Consulta_desde_Proyectos10[[#This Row],[Semana]],4))</f>
        <v>CI</v>
      </c>
    </row>
    <row r="128" spans="1:31" hidden="1">
      <c r="A128" t="s">
        <v>4032</v>
      </c>
      <c r="B128" t="s">
        <v>6752</v>
      </c>
      <c r="C128" t="s">
        <v>6753</v>
      </c>
      <c r="D128" t="s">
        <v>7201</v>
      </c>
      <c r="E128" t="s">
        <v>7568</v>
      </c>
      <c r="F128">
        <v>1</v>
      </c>
      <c r="G128" t="s">
        <v>7224</v>
      </c>
      <c r="L128" s="4"/>
      <c r="O128">
        <v>3000000001829204</v>
      </c>
      <c r="W128" t="str">
        <f>Tabla_Consulta_desde_Proyectos10[[#This Row],[PRYcodigo]]&amp;Tabla_Consulta_desde_Proyectos10[[#This Row],[PRYApath]]</f>
        <v>095-202-RDIG/0020/0004</v>
      </c>
      <c r="X128" t="str">
        <f>Tabla_Consulta_desde_Proyectos10[[#This Row],[PRYAcodigo]]&amp;" - "&amp;Tabla_Consulta_desde_Proyectos10[[#This Row],[PRYAdescripcion]]</f>
        <v>2 - TAREAS DE DESARROLLO DE DASHBOARD</v>
      </c>
      <c r="Y128" t="str">
        <f>SUBSTITUTE(IFERROR(VLOOKUP(LEFT(Tabla_Consulta_desde_Proyectos10[[#This Row],[Nivel1]],LEN(Tabla_Consulta_desde_Proyectos10[[#This Row],[Nivel1]])-5),Tabla_Consulta_desde_Proyectos10[[#All],[Nivel1]:[Actividad]],2,FALSE),""),"_","-")</f>
        <v>176-MCD - MEJORAS AL CORE Y DASHBOARD DE RECETA DIGITAL</v>
      </c>
      <c r="Z128" t="str">
        <f>IFERROR(VLOOKUP(Tabla_Consulta_desde_Proyectos10[[#This Row],[PRYRAfecha]],'Fechas Mes'!G:J,4,TRUE),"")</f>
        <v/>
      </c>
      <c r="AA128" t="e" cm="1">
        <f t="array" ref="AA128">INDEX('Fechas Mes'!F:F,MATCH(Tabla_Consulta_desde_Proyectos10[[#This Row],[Semana]],'Fechas Mes'!J:J,0),)</f>
        <v>#N/A</v>
      </c>
      <c r="AB128">
        <f>YEAR(Tabla_Consulta_desde_Proyectos10[[#This Row],[PRYRAfecha]])</f>
        <v>1900</v>
      </c>
      <c r="AC128" t="e">
        <f>VLOOKUP(Tabla_Consulta_desde_Proyectos10[[#This Row],[PRYRAfecha]],'Fechas Mes'!G:J,4,TRUE)</f>
        <v>#N/A</v>
      </c>
      <c r="AD128" t="str">
        <f>IFERROR(VLOOKUP(Tabla_Consulta_desde_Proyectos10[[#This Row],[PRYcodigo]],Catálogo!A:B,2,FALSE),"Otros")</f>
        <v>Otros</v>
      </c>
      <c r="AE128" t="str">
        <f>IF(LEN(Tabla_Consulta_desde_Proyectos10[[#This Row],[Semana]])&lt;13,"CI",RIGHT(Tabla_Consulta_desde_Proyectos10[[#This Row],[Semana]],4))</f>
        <v>CI</v>
      </c>
    </row>
    <row r="129" spans="1:31" hidden="1">
      <c r="A129" t="s">
        <v>4032</v>
      </c>
      <c r="B129" t="s">
        <v>6752</v>
      </c>
      <c r="C129" t="s">
        <v>6753</v>
      </c>
      <c r="D129" t="s">
        <v>7201</v>
      </c>
      <c r="E129" t="s">
        <v>7568</v>
      </c>
      <c r="F129">
        <v>1</v>
      </c>
      <c r="G129" t="s">
        <v>7224</v>
      </c>
      <c r="L129" s="4"/>
      <c r="O129">
        <v>3000000001829207</v>
      </c>
      <c r="W129" t="str">
        <f>Tabla_Consulta_desde_Proyectos10[[#This Row],[PRYcodigo]]&amp;Tabla_Consulta_desde_Proyectos10[[#This Row],[PRYApath]]</f>
        <v>095-202-RDIG/0020/0004</v>
      </c>
      <c r="X129" t="str">
        <f>Tabla_Consulta_desde_Proyectos10[[#This Row],[PRYAcodigo]]&amp;" - "&amp;Tabla_Consulta_desde_Proyectos10[[#This Row],[PRYAdescripcion]]</f>
        <v>2 - TAREAS DE DESARROLLO DE DASHBOARD</v>
      </c>
      <c r="Y129" t="str">
        <f>SUBSTITUTE(IFERROR(VLOOKUP(LEFT(Tabla_Consulta_desde_Proyectos10[[#This Row],[Nivel1]],LEN(Tabla_Consulta_desde_Proyectos10[[#This Row],[Nivel1]])-5),Tabla_Consulta_desde_Proyectos10[[#All],[Nivel1]:[Actividad]],2,FALSE),""),"_","-")</f>
        <v>176-MCD - MEJORAS AL CORE Y DASHBOARD DE RECETA DIGITAL</v>
      </c>
      <c r="Z129" t="str">
        <f>IFERROR(VLOOKUP(Tabla_Consulta_desde_Proyectos10[[#This Row],[PRYRAfecha]],'Fechas Mes'!G:J,4,TRUE),"")</f>
        <v/>
      </c>
      <c r="AA129" t="e" cm="1">
        <f t="array" ref="AA129">INDEX('Fechas Mes'!F:F,MATCH(Tabla_Consulta_desde_Proyectos10[[#This Row],[Semana]],'Fechas Mes'!J:J,0),)</f>
        <v>#N/A</v>
      </c>
      <c r="AB129">
        <f>YEAR(Tabla_Consulta_desde_Proyectos10[[#This Row],[PRYRAfecha]])</f>
        <v>1900</v>
      </c>
      <c r="AC129" t="e">
        <f>VLOOKUP(Tabla_Consulta_desde_Proyectos10[[#This Row],[PRYRAfecha]],'Fechas Mes'!G:J,4,TRUE)</f>
        <v>#N/A</v>
      </c>
      <c r="AD129" t="str">
        <f>IFERROR(VLOOKUP(Tabla_Consulta_desde_Proyectos10[[#This Row],[PRYcodigo]],Catálogo!A:B,2,FALSE),"Otros")</f>
        <v>Otros</v>
      </c>
      <c r="AE129" t="str">
        <f>IF(LEN(Tabla_Consulta_desde_Proyectos10[[#This Row],[Semana]])&lt;13,"CI",RIGHT(Tabla_Consulta_desde_Proyectos10[[#This Row],[Semana]],4))</f>
        <v>CI</v>
      </c>
    </row>
    <row r="130" spans="1:31" hidden="1">
      <c r="A130" t="s">
        <v>4032</v>
      </c>
      <c r="B130" t="s">
        <v>6752</v>
      </c>
      <c r="C130" t="s">
        <v>6753</v>
      </c>
      <c r="D130" t="s">
        <v>7201</v>
      </c>
      <c r="E130" t="s">
        <v>7568</v>
      </c>
      <c r="F130">
        <v>1</v>
      </c>
      <c r="G130" t="s">
        <v>7224</v>
      </c>
      <c r="L130" s="4"/>
      <c r="O130">
        <v>3000000001829208</v>
      </c>
      <c r="W130" t="str">
        <f>Tabla_Consulta_desde_Proyectos10[[#This Row],[PRYcodigo]]&amp;Tabla_Consulta_desde_Proyectos10[[#This Row],[PRYApath]]</f>
        <v>095-202-RDIG/0020/0004</v>
      </c>
      <c r="X130" t="str">
        <f>Tabla_Consulta_desde_Proyectos10[[#This Row],[PRYAcodigo]]&amp;" - "&amp;Tabla_Consulta_desde_Proyectos10[[#This Row],[PRYAdescripcion]]</f>
        <v>2 - TAREAS DE DESARROLLO DE DASHBOARD</v>
      </c>
      <c r="Y130" t="str">
        <f>SUBSTITUTE(IFERROR(VLOOKUP(LEFT(Tabla_Consulta_desde_Proyectos10[[#This Row],[Nivel1]],LEN(Tabla_Consulta_desde_Proyectos10[[#This Row],[Nivel1]])-5),Tabla_Consulta_desde_Proyectos10[[#All],[Nivel1]:[Actividad]],2,FALSE),""),"_","-")</f>
        <v>176-MCD - MEJORAS AL CORE Y DASHBOARD DE RECETA DIGITAL</v>
      </c>
      <c r="Z130" t="str">
        <f>IFERROR(VLOOKUP(Tabla_Consulta_desde_Proyectos10[[#This Row],[PRYRAfecha]],'Fechas Mes'!G:J,4,TRUE),"")</f>
        <v/>
      </c>
      <c r="AA130" t="e" cm="1">
        <f t="array" ref="AA130">INDEX('Fechas Mes'!F:F,MATCH(Tabla_Consulta_desde_Proyectos10[[#This Row],[Semana]],'Fechas Mes'!J:J,0),)</f>
        <v>#N/A</v>
      </c>
      <c r="AB130">
        <f>YEAR(Tabla_Consulta_desde_Proyectos10[[#This Row],[PRYRAfecha]])</f>
        <v>1900</v>
      </c>
      <c r="AC130" t="e">
        <f>VLOOKUP(Tabla_Consulta_desde_Proyectos10[[#This Row],[PRYRAfecha]],'Fechas Mes'!G:J,4,TRUE)</f>
        <v>#N/A</v>
      </c>
      <c r="AD130" t="str">
        <f>IFERROR(VLOOKUP(Tabla_Consulta_desde_Proyectos10[[#This Row],[PRYcodigo]],Catálogo!A:B,2,FALSE),"Otros")</f>
        <v>Otros</v>
      </c>
      <c r="AE130" t="str">
        <f>IF(LEN(Tabla_Consulta_desde_Proyectos10[[#This Row],[Semana]])&lt;13,"CI",RIGHT(Tabla_Consulta_desde_Proyectos10[[#This Row],[Semana]],4))</f>
        <v>CI</v>
      </c>
    </row>
    <row r="131" spans="1:31" hidden="1">
      <c r="A131" t="s">
        <v>4032</v>
      </c>
      <c r="B131" t="s">
        <v>6752</v>
      </c>
      <c r="C131" t="s">
        <v>6753</v>
      </c>
      <c r="D131" t="s">
        <v>7201</v>
      </c>
      <c r="E131" t="s">
        <v>7568</v>
      </c>
      <c r="F131">
        <v>1</v>
      </c>
      <c r="G131" t="s">
        <v>7224</v>
      </c>
      <c r="L131" s="4"/>
      <c r="O131">
        <v>3000000001829211</v>
      </c>
      <c r="W131" t="str">
        <f>Tabla_Consulta_desde_Proyectos10[[#This Row],[PRYcodigo]]&amp;Tabla_Consulta_desde_Proyectos10[[#This Row],[PRYApath]]</f>
        <v>095-202-RDIG/0020/0004</v>
      </c>
      <c r="X131" t="str">
        <f>Tabla_Consulta_desde_Proyectos10[[#This Row],[PRYAcodigo]]&amp;" - "&amp;Tabla_Consulta_desde_Proyectos10[[#This Row],[PRYAdescripcion]]</f>
        <v>2 - TAREAS DE DESARROLLO DE DASHBOARD</v>
      </c>
      <c r="Y131" t="str">
        <f>SUBSTITUTE(IFERROR(VLOOKUP(LEFT(Tabla_Consulta_desde_Proyectos10[[#This Row],[Nivel1]],LEN(Tabla_Consulta_desde_Proyectos10[[#This Row],[Nivel1]])-5),Tabla_Consulta_desde_Proyectos10[[#All],[Nivel1]:[Actividad]],2,FALSE),""),"_","-")</f>
        <v>176-MCD - MEJORAS AL CORE Y DASHBOARD DE RECETA DIGITAL</v>
      </c>
      <c r="Z131" t="str">
        <f>IFERROR(VLOOKUP(Tabla_Consulta_desde_Proyectos10[[#This Row],[PRYRAfecha]],'Fechas Mes'!G:J,4,TRUE),"")</f>
        <v/>
      </c>
      <c r="AA131" t="e" cm="1">
        <f t="array" ref="AA131">INDEX('Fechas Mes'!F:F,MATCH(Tabla_Consulta_desde_Proyectos10[[#This Row],[Semana]],'Fechas Mes'!J:J,0),)</f>
        <v>#N/A</v>
      </c>
      <c r="AB131">
        <f>YEAR(Tabla_Consulta_desde_Proyectos10[[#This Row],[PRYRAfecha]])</f>
        <v>1900</v>
      </c>
      <c r="AC131" t="e">
        <f>VLOOKUP(Tabla_Consulta_desde_Proyectos10[[#This Row],[PRYRAfecha]],'Fechas Mes'!G:J,4,TRUE)</f>
        <v>#N/A</v>
      </c>
      <c r="AD131" t="str">
        <f>IFERROR(VLOOKUP(Tabla_Consulta_desde_Proyectos10[[#This Row],[PRYcodigo]],Catálogo!A:B,2,FALSE),"Otros")</f>
        <v>Otros</v>
      </c>
      <c r="AE131" t="str">
        <f>IF(LEN(Tabla_Consulta_desde_Proyectos10[[#This Row],[Semana]])&lt;13,"CI",RIGHT(Tabla_Consulta_desde_Proyectos10[[#This Row],[Semana]],4))</f>
        <v>CI</v>
      </c>
    </row>
    <row r="132" spans="1:31" hidden="1">
      <c r="A132" t="s">
        <v>4032</v>
      </c>
      <c r="B132" t="s">
        <v>6752</v>
      </c>
      <c r="C132" t="s">
        <v>6753</v>
      </c>
      <c r="D132" t="s">
        <v>7201</v>
      </c>
      <c r="E132" t="s">
        <v>7568</v>
      </c>
      <c r="F132">
        <v>1</v>
      </c>
      <c r="G132" t="s">
        <v>7224</v>
      </c>
      <c r="L132" s="4"/>
      <c r="O132">
        <v>3000000001832784</v>
      </c>
      <c r="W132" t="str">
        <f>Tabla_Consulta_desde_Proyectos10[[#This Row],[PRYcodigo]]&amp;Tabla_Consulta_desde_Proyectos10[[#This Row],[PRYApath]]</f>
        <v>095-202-RDIG/0020/0004</v>
      </c>
      <c r="X132" t="str">
        <f>Tabla_Consulta_desde_Proyectos10[[#This Row],[PRYAcodigo]]&amp;" - "&amp;Tabla_Consulta_desde_Proyectos10[[#This Row],[PRYAdescripcion]]</f>
        <v>2 - TAREAS DE DESARROLLO DE DASHBOARD</v>
      </c>
      <c r="Y132" t="str">
        <f>SUBSTITUTE(IFERROR(VLOOKUP(LEFT(Tabla_Consulta_desde_Proyectos10[[#This Row],[Nivel1]],LEN(Tabla_Consulta_desde_Proyectos10[[#This Row],[Nivel1]])-5),Tabla_Consulta_desde_Proyectos10[[#All],[Nivel1]:[Actividad]],2,FALSE),""),"_","-")</f>
        <v>176-MCD - MEJORAS AL CORE Y DASHBOARD DE RECETA DIGITAL</v>
      </c>
      <c r="Z132" t="str">
        <f>IFERROR(VLOOKUP(Tabla_Consulta_desde_Proyectos10[[#This Row],[PRYRAfecha]],'Fechas Mes'!G:J,4,TRUE),"")</f>
        <v/>
      </c>
      <c r="AA132" t="e" cm="1">
        <f t="array" ref="AA132">INDEX('Fechas Mes'!F:F,MATCH(Tabla_Consulta_desde_Proyectos10[[#This Row],[Semana]],'Fechas Mes'!J:J,0),)</f>
        <v>#N/A</v>
      </c>
      <c r="AB132">
        <f>YEAR(Tabla_Consulta_desde_Proyectos10[[#This Row],[PRYRAfecha]])</f>
        <v>1900</v>
      </c>
      <c r="AC132" t="e">
        <f>VLOOKUP(Tabla_Consulta_desde_Proyectos10[[#This Row],[PRYRAfecha]],'Fechas Mes'!G:J,4,TRUE)</f>
        <v>#N/A</v>
      </c>
      <c r="AD132" t="str">
        <f>IFERROR(VLOOKUP(Tabla_Consulta_desde_Proyectos10[[#This Row],[PRYcodigo]],Catálogo!A:B,2,FALSE),"Otros")</f>
        <v>Otros</v>
      </c>
      <c r="AE132" t="str">
        <f>IF(LEN(Tabla_Consulta_desde_Proyectos10[[#This Row],[Semana]])&lt;13,"CI",RIGHT(Tabla_Consulta_desde_Proyectos10[[#This Row],[Semana]],4))</f>
        <v>CI</v>
      </c>
    </row>
    <row r="133" spans="1:31" hidden="1">
      <c r="A133" t="s">
        <v>4032</v>
      </c>
      <c r="B133" t="s">
        <v>6752</v>
      </c>
      <c r="C133" t="s">
        <v>6753</v>
      </c>
      <c r="D133" t="s">
        <v>7201</v>
      </c>
      <c r="E133" t="s">
        <v>7568</v>
      </c>
      <c r="F133">
        <v>1</v>
      </c>
      <c r="G133" t="s">
        <v>7224</v>
      </c>
      <c r="L133" s="4"/>
      <c r="O133">
        <v>3000000001832814</v>
      </c>
      <c r="W133" t="str">
        <f>Tabla_Consulta_desde_Proyectos10[[#This Row],[PRYcodigo]]&amp;Tabla_Consulta_desde_Proyectos10[[#This Row],[PRYApath]]</f>
        <v>095-202-RDIG/0020/0004</v>
      </c>
      <c r="X133" t="str">
        <f>Tabla_Consulta_desde_Proyectos10[[#This Row],[PRYAcodigo]]&amp;" - "&amp;Tabla_Consulta_desde_Proyectos10[[#This Row],[PRYAdescripcion]]</f>
        <v>2 - TAREAS DE DESARROLLO DE DASHBOARD</v>
      </c>
      <c r="Y133" t="str">
        <f>SUBSTITUTE(IFERROR(VLOOKUP(LEFT(Tabla_Consulta_desde_Proyectos10[[#This Row],[Nivel1]],LEN(Tabla_Consulta_desde_Proyectos10[[#This Row],[Nivel1]])-5),Tabla_Consulta_desde_Proyectos10[[#All],[Nivel1]:[Actividad]],2,FALSE),""),"_","-")</f>
        <v>176-MCD - MEJORAS AL CORE Y DASHBOARD DE RECETA DIGITAL</v>
      </c>
      <c r="Z133" t="str">
        <f>IFERROR(VLOOKUP(Tabla_Consulta_desde_Proyectos10[[#This Row],[PRYRAfecha]],'Fechas Mes'!G:J,4,TRUE),"")</f>
        <v/>
      </c>
      <c r="AA133" t="e" cm="1">
        <f t="array" ref="AA133">INDEX('Fechas Mes'!F:F,MATCH(Tabla_Consulta_desde_Proyectos10[[#This Row],[Semana]],'Fechas Mes'!J:J,0),)</f>
        <v>#N/A</v>
      </c>
      <c r="AB133">
        <f>YEAR(Tabla_Consulta_desde_Proyectos10[[#This Row],[PRYRAfecha]])</f>
        <v>1900</v>
      </c>
      <c r="AC133" t="e">
        <f>VLOOKUP(Tabla_Consulta_desde_Proyectos10[[#This Row],[PRYRAfecha]],'Fechas Mes'!G:J,4,TRUE)</f>
        <v>#N/A</v>
      </c>
      <c r="AD133" t="str">
        <f>IFERROR(VLOOKUP(Tabla_Consulta_desde_Proyectos10[[#This Row],[PRYcodigo]],Catálogo!A:B,2,FALSE),"Otros")</f>
        <v>Otros</v>
      </c>
      <c r="AE133" t="str">
        <f>IF(LEN(Tabla_Consulta_desde_Proyectos10[[#This Row],[Semana]])&lt;13,"CI",RIGHT(Tabla_Consulta_desde_Proyectos10[[#This Row],[Semana]],4))</f>
        <v>CI</v>
      </c>
    </row>
    <row r="134" spans="1:31" hidden="1">
      <c r="A134" t="s">
        <v>4032</v>
      </c>
      <c r="B134" t="s">
        <v>6752</v>
      </c>
      <c r="C134" t="s">
        <v>6753</v>
      </c>
      <c r="D134" t="s">
        <v>7201</v>
      </c>
      <c r="E134" t="s">
        <v>7568</v>
      </c>
      <c r="F134">
        <v>1</v>
      </c>
      <c r="G134" t="s">
        <v>7224</v>
      </c>
      <c r="L134" s="4"/>
      <c r="O134">
        <v>3000000001836175</v>
      </c>
      <c r="W134" t="str">
        <f>Tabla_Consulta_desde_Proyectos10[[#This Row],[PRYcodigo]]&amp;Tabla_Consulta_desde_Proyectos10[[#This Row],[PRYApath]]</f>
        <v>095-202-RDIG/0020/0004</v>
      </c>
      <c r="X134" t="str">
        <f>Tabla_Consulta_desde_Proyectos10[[#This Row],[PRYAcodigo]]&amp;" - "&amp;Tabla_Consulta_desde_Proyectos10[[#This Row],[PRYAdescripcion]]</f>
        <v>2 - TAREAS DE DESARROLLO DE DASHBOARD</v>
      </c>
      <c r="Y134" t="str">
        <f>SUBSTITUTE(IFERROR(VLOOKUP(LEFT(Tabla_Consulta_desde_Proyectos10[[#This Row],[Nivel1]],LEN(Tabla_Consulta_desde_Proyectos10[[#This Row],[Nivel1]])-5),Tabla_Consulta_desde_Proyectos10[[#All],[Nivel1]:[Actividad]],2,FALSE),""),"_","-")</f>
        <v>176-MCD - MEJORAS AL CORE Y DASHBOARD DE RECETA DIGITAL</v>
      </c>
      <c r="Z134" t="str">
        <f>IFERROR(VLOOKUP(Tabla_Consulta_desde_Proyectos10[[#This Row],[PRYRAfecha]],'Fechas Mes'!G:J,4,TRUE),"")</f>
        <v/>
      </c>
      <c r="AA134" t="e" cm="1">
        <f t="array" ref="AA134">INDEX('Fechas Mes'!F:F,MATCH(Tabla_Consulta_desde_Proyectos10[[#This Row],[Semana]],'Fechas Mes'!J:J,0),)</f>
        <v>#N/A</v>
      </c>
      <c r="AB134">
        <f>YEAR(Tabla_Consulta_desde_Proyectos10[[#This Row],[PRYRAfecha]])</f>
        <v>1900</v>
      </c>
      <c r="AC134" t="e">
        <f>VLOOKUP(Tabla_Consulta_desde_Proyectos10[[#This Row],[PRYRAfecha]],'Fechas Mes'!G:J,4,TRUE)</f>
        <v>#N/A</v>
      </c>
      <c r="AD134" t="str">
        <f>IFERROR(VLOOKUP(Tabla_Consulta_desde_Proyectos10[[#This Row],[PRYcodigo]],Catálogo!A:B,2,FALSE),"Otros")</f>
        <v>Otros</v>
      </c>
      <c r="AE134" t="str">
        <f>IF(LEN(Tabla_Consulta_desde_Proyectos10[[#This Row],[Semana]])&lt;13,"CI",RIGHT(Tabla_Consulta_desde_Proyectos10[[#This Row],[Semana]],4))</f>
        <v>CI</v>
      </c>
    </row>
    <row r="135" spans="1:31" hidden="1">
      <c r="A135" t="s">
        <v>4032</v>
      </c>
      <c r="B135" t="s">
        <v>6752</v>
      </c>
      <c r="C135" t="s">
        <v>6753</v>
      </c>
      <c r="D135" t="s">
        <v>7201</v>
      </c>
      <c r="E135" t="s">
        <v>7568</v>
      </c>
      <c r="F135">
        <v>1</v>
      </c>
      <c r="G135" t="s">
        <v>7224</v>
      </c>
      <c r="L135" s="4"/>
      <c r="O135">
        <v>3000000001836176</v>
      </c>
      <c r="W135" t="str">
        <f>Tabla_Consulta_desde_Proyectos10[[#This Row],[PRYcodigo]]&amp;Tabla_Consulta_desde_Proyectos10[[#This Row],[PRYApath]]</f>
        <v>095-202-RDIG/0020/0004</v>
      </c>
      <c r="X135" t="str">
        <f>Tabla_Consulta_desde_Proyectos10[[#This Row],[PRYAcodigo]]&amp;" - "&amp;Tabla_Consulta_desde_Proyectos10[[#This Row],[PRYAdescripcion]]</f>
        <v>2 - TAREAS DE DESARROLLO DE DASHBOARD</v>
      </c>
      <c r="Y135" t="str">
        <f>SUBSTITUTE(IFERROR(VLOOKUP(LEFT(Tabla_Consulta_desde_Proyectos10[[#This Row],[Nivel1]],LEN(Tabla_Consulta_desde_Proyectos10[[#This Row],[Nivel1]])-5),Tabla_Consulta_desde_Proyectos10[[#All],[Nivel1]:[Actividad]],2,FALSE),""),"_","-")</f>
        <v>176-MCD - MEJORAS AL CORE Y DASHBOARD DE RECETA DIGITAL</v>
      </c>
      <c r="Z135" t="str">
        <f>IFERROR(VLOOKUP(Tabla_Consulta_desde_Proyectos10[[#This Row],[PRYRAfecha]],'Fechas Mes'!G:J,4,TRUE),"")</f>
        <v/>
      </c>
      <c r="AA135" t="e" cm="1">
        <f t="array" ref="AA135">INDEX('Fechas Mes'!F:F,MATCH(Tabla_Consulta_desde_Proyectos10[[#This Row],[Semana]],'Fechas Mes'!J:J,0),)</f>
        <v>#N/A</v>
      </c>
      <c r="AB135">
        <f>YEAR(Tabla_Consulta_desde_Proyectos10[[#This Row],[PRYRAfecha]])</f>
        <v>1900</v>
      </c>
      <c r="AC135" t="e">
        <f>VLOOKUP(Tabla_Consulta_desde_Proyectos10[[#This Row],[PRYRAfecha]],'Fechas Mes'!G:J,4,TRUE)</f>
        <v>#N/A</v>
      </c>
      <c r="AD135" t="str">
        <f>IFERROR(VLOOKUP(Tabla_Consulta_desde_Proyectos10[[#This Row],[PRYcodigo]],Catálogo!A:B,2,FALSE),"Otros")</f>
        <v>Otros</v>
      </c>
      <c r="AE135" t="str">
        <f>IF(LEN(Tabla_Consulta_desde_Proyectos10[[#This Row],[Semana]])&lt;13,"CI",RIGHT(Tabla_Consulta_desde_Proyectos10[[#This Row],[Semana]],4))</f>
        <v>CI</v>
      </c>
    </row>
    <row r="136" spans="1:31" hidden="1">
      <c r="A136" t="s">
        <v>4032</v>
      </c>
      <c r="B136" t="s">
        <v>6752</v>
      </c>
      <c r="C136" t="s">
        <v>6753</v>
      </c>
      <c r="D136" t="s">
        <v>7201</v>
      </c>
      <c r="E136" t="s">
        <v>7568</v>
      </c>
      <c r="F136">
        <v>1</v>
      </c>
      <c r="G136" t="s">
        <v>7224</v>
      </c>
      <c r="L136" s="4"/>
      <c r="O136">
        <v>3000000001836178</v>
      </c>
      <c r="W136" t="str">
        <f>Tabla_Consulta_desde_Proyectos10[[#This Row],[PRYcodigo]]&amp;Tabla_Consulta_desde_Proyectos10[[#This Row],[PRYApath]]</f>
        <v>095-202-RDIG/0020/0004</v>
      </c>
      <c r="X136" t="str">
        <f>Tabla_Consulta_desde_Proyectos10[[#This Row],[PRYAcodigo]]&amp;" - "&amp;Tabla_Consulta_desde_Proyectos10[[#This Row],[PRYAdescripcion]]</f>
        <v>2 - TAREAS DE DESARROLLO DE DASHBOARD</v>
      </c>
      <c r="Y136" t="str">
        <f>SUBSTITUTE(IFERROR(VLOOKUP(LEFT(Tabla_Consulta_desde_Proyectos10[[#This Row],[Nivel1]],LEN(Tabla_Consulta_desde_Proyectos10[[#This Row],[Nivel1]])-5),Tabla_Consulta_desde_Proyectos10[[#All],[Nivel1]:[Actividad]],2,FALSE),""),"_","-")</f>
        <v>176-MCD - MEJORAS AL CORE Y DASHBOARD DE RECETA DIGITAL</v>
      </c>
      <c r="Z136" t="str">
        <f>IFERROR(VLOOKUP(Tabla_Consulta_desde_Proyectos10[[#This Row],[PRYRAfecha]],'Fechas Mes'!G:J,4,TRUE),"")</f>
        <v/>
      </c>
      <c r="AA136" t="e" cm="1">
        <f t="array" ref="AA136">INDEX('Fechas Mes'!F:F,MATCH(Tabla_Consulta_desde_Proyectos10[[#This Row],[Semana]],'Fechas Mes'!J:J,0),)</f>
        <v>#N/A</v>
      </c>
      <c r="AB136">
        <f>YEAR(Tabla_Consulta_desde_Proyectos10[[#This Row],[PRYRAfecha]])</f>
        <v>1900</v>
      </c>
      <c r="AC136" t="e">
        <f>VLOOKUP(Tabla_Consulta_desde_Proyectos10[[#This Row],[PRYRAfecha]],'Fechas Mes'!G:J,4,TRUE)</f>
        <v>#N/A</v>
      </c>
      <c r="AD136" t="str">
        <f>IFERROR(VLOOKUP(Tabla_Consulta_desde_Proyectos10[[#This Row],[PRYcodigo]],Catálogo!A:B,2,FALSE),"Otros")</f>
        <v>Otros</v>
      </c>
      <c r="AE136" t="str">
        <f>IF(LEN(Tabla_Consulta_desde_Proyectos10[[#This Row],[Semana]])&lt;13,"CI",RIGHT(Tabla_Consulta_desde_Proyectos10[[#This Row],[Semana]],4))</f>
        <v>CI</v>
      </c>
    </row>
    <row r="137" spans="1:31" hidden="1">
      <c r="A137" t="s">
        <v>4032</v>
      </c>
      <c r="B137" t="s">
        <v>6752</v>
      </c>
      <c r="C137" t="s">
        <v>6753</v>
      </c>
      <c r="D137" t="s">
        <v>7201</v>
      </c>
      <c r="E137" t="s">
        <v>7568</v>
      </c>
      <c r="F137">
        <v>1</v>
      </c>
      <c r="G137" t="s">
        <v>7224</v>
      </c>
      <c r="L137" s="4"/>
      <c r="O137">
        <v>3000000001836179</v>
      </c>
      <c r="W137" t="str">
        <f>Tabla_Consulta_desde_Proyectos10[[#This Row],[PRYcodigo]]&amp;Tabla_Consulta_desde_Proyectos10[[#This Row],[PRYApath]]</f>
        <v>095-202-RDIG/0020/0004</v>
      </c>
      <c r="X137" t="str">
        <f>Tabla_Consulta_desde_Proyectos10[[#This Row],[PRYAcodigo]]&amp;" - "&amp;Tabla_Consulta_desde_Proyectos10[[#This Row],[PRYAdescripcion]]</f>
        <v>2 - TAREAS DE DESARROLLO DE DASHBOARD</v>
      </c>
      <c r="Y137" t="str">
        <f>SUBSTITUTE(IFERROR(VLOOKUP(LEFT(Tabla_Consulta_desde_Proyectos10[[#This Row],[Nivel1]],LEN(Tabla_Consulta_desde_Proyectos10[[#This Row],[Nivel1]])-5),Tabla_Consulta_desde_Proyectos10[[#All],[Nivel1]:[Actividad]],2,FALSE),""),"_","-")</f>
        <v>176-MCD - MEJORAS AL CORE Y DASHBOARD DE RECETA DIGITAL</v>
      </c>
      <c r="Z137" t="str">
        <f>IFERROR(VLOOKUP(Tabla_Consulta_desde_Proyectos10[[#This Row],[PRYRAfecha]],'Fechas Mes'!G:J,4,TRUE),"")</f>
        <v/>
      </c>
      <c r="AA137" t="e" cm="1">
        <f t="array" ref="AA137">INDEX('Fechas Mes'!F:F,MATCH(Tabla_Consulta_desde_Proyectos10[[#This Row],[Semana]],'Fechas Mes'!J:J,0),)</f>
        <v>#N/A</v>
      </c>
      <c r="AB137">
        <f>YEAR(Tabla_Consulta_desde_Proyectos10[[#This Row],[PRYRAfecha]])</f>
        <v>1900</v>
      </c>
      <c r="AC137" t="e">
        <f>VLOOKUP(Tabla_Consulta_desde_Proyectos10[[#This Row],[PRYRAfecha]],'Fechas Mes'!G:J,4,TRUE)</f>
        <v>#N/A</v>
      </c>
      <c r="AD137" t="str">
        <f>IFERROR(VLOOKUP(Tabla_Consulta_desde_Proyectos10[[#This Row],[PRYcodigo]],Catálogo!A:B,2,FALSE),"Otros")</f>
        <v>Otros</v>
      </c>
      <c r="AE137" t="str">
        <f>IF(LEN(Tabla_Consulta_desde_Proyectos10[[#This Row],[Semana]])&lt;13,"CI",RIGHT(Tabla_Consulta_desde_Proyectos10[[#This Row],[Semana]],4))</f>
        <v>CI</v>
      </c>
    </row>
    <row r="138" spans="1:31" hidden="1">
      <c r="A138" t="s">
        <v>4032</v>
      </c>
      <c r="B138" t="s">
        <v>6752</v>
      </c>
      <c r="C138" t="s">
        <v>6753</v>
      </c>
      <c r="D138" t="s">
        <v>7201</v>
      </c>
      <c r="E138" t="s">
        <v>7568</v>
      </c>
      <c r="F138">
        <v>1</v>
      </c>
      <c r="G138" t="s">
        <v>7224</v>
      </c>
      <c r="L138" s="4"/>
      <c r="O138">
        <v>3000000001836180</v>
      </c>
      <c r="W138" t="str">
        <f>Tabla_Consulta_desde_Proyectos10[[#This Row],[PRYcodigo]]&amp;Tabla_Consulta_desde_Proyectos10[[#This Row],[PRYApath]]</f>
        <v>095-202-RDIG/0020/0004</v>
      </c>
      <c r="X138" t="str">
        <f>Tabla_Consulta_desde_Proyectos10[[#This Row],[PRYAcodigo]]&amp;" - "&amp;Tabla_Consulta_desde_Proyectos10[[#This Row],[PRYAdescripcion]]</f>
        <v>2 - TAREAS DE DESARROLLO DE DASHBOARD</v>
      </c>
      <c r="Y138" t="str">
        <f>SUBSTITUTE(IFERROR(VLOOKUP(LEFT(Tabla_Consulta_desde_Proyectos10[[#This Row],[Nivel1]],LEN(Tabla_Consulta_desde_Proyectos10[[#This Row],[Nivel1]])-5),Tabla_Consulta_desde_Proyectos10[[#All],[Nivel1]:[Actividad]],2,FALSE),""),"_","-")</f>
        <v>176-MCD - MEJORAS AL CORE Y DASHBOARD DE RECETA DIGITAL</v>
      </c>
      <c r="Z138" t="str">
        <f>IFERROR(VLOOKUP(Tabla_Consulta_desde_Proyectos10[[#This Row],[PRYRAfecha]],'Fechas Mes'!G:J,4,TRUE),"")</f>
        <v/>
      </c>
      <c r="AA138" t="e" cm="1">
        <f t="array" ref="AA138">INDEX('Fechas Mes'!F:F,MATCH(Tabla_Consulta_desde_Proyectos10[[#This Row],[Semana]],'Fechas Mes'!J:J,0),)</f>
        <v>#N/A</v>
      </c>
      <c r="AB138">
        <f>YEAR(Tabla_Consulta_desde_Proyectos10[[#This Row],[PRYRAfecha]])</f>
        <v>1900</v>
      </c>
      <c r="AC138" t="e">
        <f>VLOOKUP(Tabla_Consulta_desde_Proyectos10[[#This Row],[PRYRAfecha]],'Fechas Mes'!G:J,4,TRUE)</f>
        <v>#N/A</v>
      </c>
      <c r="AD138" t="str">
        <f>IFERROR(VLOOKUP(Tabla_Consulta_desde_Proyectos10[[#This Row],[PRYcodigo]],Catálogo!A:B,2,FALSE),"Otros")</f>
        <v>Otros</v>
      </c>
      <c r="AE138" t="str">
        <f>IF(LEN(Tabla_Consulta_desde_Proyectos10[[#This Row],[Semana]])&lt;13,"CI",RIGHT(Tabla_Consulta_desde_Proyectos10[[#This Row],[Semana]],4))</f>
        <v>CI</v>
      </c>
    </row>
    <row r="139" spans="1:31">
      <c r="A139" t="s">
        <v>4032</v>
      </c>
      <c r="B139" t="s">
        <v>6752</v>
      </c>
      <c r="C139" t="s">
        <v>6753</v>
      </c>
      <c r="D139" t="s">
        <v>7199</v>
      </c>
      <c r="E139" t="s">
        <v>7569</v>
      </c>
      <c r="F139">
        <v>2</v>
      </c>
      <c r="G139" t="s">
        <v>7570</v>
      </c>
      <c r="H139" t="s">
        <v>790</v>
      </c>
      <c r="I139" t="s">
        <v>791</v>
      </c>
      <c r="J139" t="s">
        <v>919</v>
      </c>
      <c r="K139" t="s">
        <v>920</v>
      </c>
      <c r="L139" s="4">
        <v>46142</v>
      </c>
      <c r="M139" t="s">
        <v>7623</v>
      </c>
      <c r="N139">
        <v>0.5</v>
      </c>
      <c r="O139">
        <v>3000000001836179</v>
      </c>
      <c r="W139" t="str">
        <f>Tabla_Consulta_desde_Proyectos10[[#This Row],[PRYcodigo]]&amp;Tabla_Consulta_desde_Proyectos10[[#This Row],[PRYApath]]</f>
        <v>095-202-RDIG/0020/0004/0002</v>
      </c>
      <c r="X139" t="str">
        <f>Tabla_Consulta_desde_Proyectos10[[#This Row],[PRYAcodigo]]&amp;" - "&amp;Tabla_Consulta_desde_Proyectos10[[#This Row],[PRYAdescripcion]]</f>
        <v>1 - ANALISIS</v>
      </c>
      <c r="Y139" t="str">
        <f>SUBSTITUTE(IFERROR(VLOOKUP(LEFT(Tabla_Consulta_desde_Proyectos10[[#This Row],[Nivel1]],LEN(Tabla_Consulta_desde_Proyectos10[[#This Row],[Nivel1]])-5),Tabla_Consulta_desde_Proyectos10[[#All],[Nivel1]:[Actividad]],2,FALSE),""),"_","-")</f>
        <v>2 - TAREAS DE DESARROLLO DE DASHBOARD</v>
      </c>
      <c r="Z139" t="str">
        <f>IFERROR(VLOOKUP(Tabla_Consulta_desde_Proyectos10[[#This Row],[PRYRAfecha]],'Fechas Mes'!G:J,4,TRUE),"")</f>
        <v>Semana 48CIP2</v>
      </c>
      <c r="AA139" t="str" cm="1">
        <f t="array" ref="AA139">INDEX('Fechas Mes'!F:F,MATCH(Tabla_Consulta_desde_Proyectos10[[#This Row],[Semana]],'Fechas Mes'!J:J,0),)</f>
        <v>M12CIP2</v>
      </c>
      <c r="AB139">
        <f>YEAR(Tabla_Consulta_desde_Proyectos10[[#This Row],[PRYRAfecha]])</f>
        <v>2026</v>
      </c>
      <c r="AC139" t="str">
        <f>VLOOKUP(Tabla_Consulta_desde_Proyectos10[[#This Row],[PRYRAfecha]],'Fechas Mes'!G:J,4,TRUE)</f>
        <v>Semana 48CIP2</v>
      </c>
      <c r="AD139" t="str">
        <f>IFERROR(VLOOKUP(Tabla_Consulta_desde_Proyectos10[[#This Row],[PRYcodigo]],Catálogo!A:B,2,FALSE),"Otros")</f>
        <v>Otros</v>
      </c>
      <c r="AE139" t="str">
        <f>IF(LEN(Tabla_Consulta_desde_Proyectos10[[#This Row],[Semana]])&lt;13,"CI",RIGHT(Tabla_Consulta_desde_Proyectos10[[#This Row],[Semana]],4))</f>
        <v>CIP2</v>
      </c>
    </row>
    <row r="140" spans="1:31">
      <c r="A140" t="s">
        <v>4032</v>
      </c>
      <c r="B140" t="s">
        <v>6752</v>
      </c>
      <c r="C140" t="s">
        <v>6753</v>
      </c>
      <c r="D140" t="s">
        <v>7207</v>
      </c>
      <c r="E140" t="s">
        <v>7571</v>
      </c>
      <c r="F140">
        <v>2</v>
      </c>
      <c r="G140" t="s">
        <v>7572</v>
      </c>
      <c r="H140" t="s">
        <v>790</v>
      </c>
      <c r="I140" t="s">
        <v>791</v>
      </c>
      <c r="J140" t="s">
        <v>919</v>
      </c>
      <c r="K140" t="s">
        <v>920</v>
      </c>
      <c r="L140" s="4">
        <v>46118</v>
      </c>
      <c r="M140" t="s">
        <v>7624</v>
      </c>
      <c r="N140">
        <v>4</v>
      </c>
      <c r="O140">
        <v>3000000001825336</v>
      </c>
      <c r="W140" t="str">
        <f>Tabla_Consulta_desde_Proyectos10[[#This Row],[PRYcodigo]]&amp;Tabla_Consulta_desde_Proyectos10[[#This Row],[PRYApath]]</f>
        <v>095-202-RDIG/0020/0004/0006</v>
      </c>
      <c r="X140" t="str">
        <f>Tabla_Consulta_desde_Proyectos10[[#This Row],[PRYAcodigo]]&amp;" - "&amp;Tabla_Consulta_desde_Proyectos10[[#This Row],[PRYAdescripcion]]</f>
        <v>3 - CONFIGURACIÓN</v>
      </c>
      <c r="Y140" t="str">
        <f>SUBSTITUTE(IFERROR(VLOOKUP(LEFT(Tabla_Consulta_desde_Proyectos10[[#This Row],[Nivel1]],LEN(Tabla_Consulta_desde_Proyectos10[[#This Row],[Nivel1]])-5),Tabla_Consulta_desde_Proyectos10[[#All],[Nivel1]:[Actividad]],2,FALSE),""),"_","-")</f>
        <v>2 - TAREAS DE DESARROLLO DE DASHBOARD</v>
      </c>
      <c r="Z140" t="str">
        <f>IFERROR(VLOOKUP(Tabla_Consulta_desde_Proyectos10[[#This Row],[PRYRAfecha]],'Fechas Mes'!G:J,4,TRUE),"")</f>
        <v>Semana 48CIP2</v>
      </c>
      <c r="AA140" t="str" cm="1">
        <f t="array" ref="AA140">INDEX('Fechas Mes'!F:F,MATCH(Tabla_Consulta_desde_Proyectos10[[#This Row],[Semana]],'Fechas Mes'!J:J,0),)</f>
        <v>M12CIP2</v>
      </c>
      <c r="AB140">
        <f>YEAR(Tabla_Consulta_desde_Proyectos10[[#This Row],[PRYRAfecha]])</f>
        <v>2026</v>
      </c>
      <c r="AC140" t="str">
        <f>VLOOKUP(Tabla_Consulta_desde_Proyectos10[[#This Row],[PRYRAfecha]],'Fechas Mes'!G:J,4,TRUE)</f>
        <v>Semana 48CIP2</v>
      </c>
      <c r="AD140" t="str">
        <f>IFERROR(VLOOKUP(Tabla_Consulta_desde_Proyectos10[[#This Row],[PRYcodigo]],Catálogo!A:B,2,FALSE),"Otros")</f>
        <v>Otros</v>
      </c>
      <c r="AE140" t="str">
        <f>IF(LEN(Tabla_Consulta_desde_Proyectos10[[#This Row],[Semana]])&lt;13,"CI",RIGHT(Tabla_Consulta_desde_Proyectos10[[#This Row],[Semana]],4))</f>
        <v>CIP2</v>
      </c>
    </row>
    <row r="141" spans="1:31">
      <c r="A141" t="s">
        <v>4032</v>
      </c>
      <c r="B141" t="s">
        <v>6752</v>
      </c>
      <c r="C141" t="s">
        <v>6753</v>
      </c>
      <c r="D141" t="s">
        <v>7207</v>
      </c>
      <c r="E141" t="s">
        <v>7571</v>
      </c>
      <c r="F141">
        <v>2</v>
      </c>
      <c r="G141" t="s">
        <v>7572</v>
      </c>
      <c r="H141" t="s">
        <v>790</v>
      </c>
      <c r="I141" t="s">
        <v>791</v>
      </c>
      <c r="J141" t="s">
        <v>919</v>
      </c>
      <c r="K141" t="s">
        <v>920</v>
      </c>
      <c r="L141" s="4">
        <v>46119</v>
      </c>
      <c r="M141" t="s">
        <v>7625</v>
      </c>
      <c r="N141">
        <v>2</v>
      </c>
      <c r="O141">
        <v>3000000001825339</v>
      </c>
      <c r="W141" t="str">
        <f>Tabla_Consulta_desde_Proyectos10[[#This Row],[PRYcodigo]]&amp;Tabla_Consulta_desde_Proyectos10[[#This Row],[PRYApath]]</f>
        <v>095-202-RDIG/0020/0004/0006</v>
      </c>
      <c r="X141" t="str">
        <f>Tabla_Consulta_desde_Proyectos10[[#This Row],[PRYAcodigo]]&amp;" - "&amp;Tabla_Consulta_desde_Proyectos10[[#This Row],[PRYAdescripcion]]</f>
        <v>3 - CONFIGURACIÓN</v>
      </c>
      <c r="Y141" t="str">
        <f>SUBSTITUTE(IFERROR(VLOOKUP(LEFT(Tabla_Consulta_desde_Proyectos10[[#This Row],[Nivel1]],LEN(Tabla_Consulta_desde_Proyectos10[[#This Row],[Nivel1]])-5),Tabla_Consulta_desde_Proyectos10[[#All],[Nivel1]:[Actividad]],2,FALSE),""),"_","-")</f>
        <v>2 - TAREAS DE DESARROLLO DE DASHBOARD</v>
      </c>
      <c r="Z141" t="str">
        <f>IFERROR(VLOOKUP(Tabla_Consulta_desde_Proyectos10[[#This Row],[PRYRAfecha]],'Fechas Mes'!G:J,4,TRUE),"")</f>
        <v>Semana 48CIP2</v>
      </c>
      <c r="AA141" t="str" cm="1">
        <f t="array" ref="AA141">INDEX('Fechas Mes'!F:F,MATCH(Tabla_Consulta_desde_Proyectos10[[#This Row],[Semana]],'Fechas Mes'!J:J,0),)</f>
        <v>M12CIP2</v>
      </c>
      <c r="AB141">
        <f>YEAR(Tabla_Consulta_desde_Proyectos10[[#This Row],[PRYRAfecha]])</f>
        <v>2026</v>
      </c>
      <c r="AC141" t="str">
        <f>VLOOKUP(Tabla_Consulta_desde_Proyectos10[[#This Row],[PRYRAfecha]],'Fechas Mes'!G:J,4,TRUE)</f>
        <v>Semana 48CIP2</v>
      </c>
      <c r="AD141" t="str">
        <f>IFERROR(VLOOKUP(Tabla_Consulta_desde_Proyectos10[[#This Row],[PRYcodigo]],Catálogo!A:B,2,FALSE),"Otros")</f>
        <v>Otros</v>
      </c>
      <c r="AE141" t="str">
        <f>IF(LEN(Tabla_Consulta_desde_Proyectos10[[#This Row],[Semana]])&lt;13,"CI",RIGHT(Tabla_Consulta_desde_Proyectos10[[#This Row],[Semana]],4))</f>
        <v>CIP2</v>
      </c>
    </row>
    <row r="142" spans="1:31">
      <c r="A142" t="s">
        <v>4032</v>
      </c>
      <c r="B142" t="s">
        <v>6752</v>
      </c>
      <c r="C142" t="s">
        <v>6753</v>
      </c>
      <c r="D142" t="s">
        <v>7207</v>
      </c>
      <c r="E142" t="s">
        <v>7571</v>
      </c>
      <c r="F142">
        <v>2</v>
      </c>
      <c r="G142" t="s">
        <v>7572</v>
      </c>
      <c r="H142" t="s">
        <v>790</v>
      </c>
      <c r="I142" t="s">
        <v>791</v>
      </c>
      <c r="J142" t="s">
        <v>919</v>
      </c>
      <c r="K142" t="s">
        <v>920</v>
      </c>
      <c r="L142" s="4">
        <v>46119</v>
      </c>
      <c r="M142" t="s">
        <v>7626</v>
      </c>
      <c r="N142">
        <v>2</v>
      </c>
      <c r="O142">
        <v>3000000001825343</v>
      </c>
      <c r="W142" t="str">
        <f>Tabla_Consulta_desde_Proyectos10[[#This Row],[PRYcodigo]]&amp;Tabla_Consulta_desde_Proyectos10[[#This Row],[PRYApath]]</f>
        <v>095-202-RDIG/0020/0004/0006</v>
      </c>
      <c r="X142" t="str">
        <f>Tabla_Consulta_desde_Proyectos10[[#This Row],[PRYAcodigo]]&amp;" - "&amp;Tabla_Consulta_desde_Proyectos10[[#This Row],[PRYAdescripcion]]</f>
        <v>3 - CONFIGURACIÓN</v>
      </c>
      <c r="Y142" t="str">
        <f>SUBSTITUTE(IFERROR(VLOOKUP(LEFT(Tabla_Consulta_desde_Proyectos10[[#This Row],[Nivel1]],LEN(Tabla_Consulta_desde_Proyectos10[[#This Row],[Nivel1]])-5),Tabla_Consulta_desde_Proyectos10[[#All],[Nivel1]:[Actividad]],2,FALSE),""),"_","-")</f>
        <v>2 - TAREAS DE DESARROLLO DE DASHBOARD</v>
      </c>
      <c r="Z142" t="str">
        <f>IFERROR(VLOOKUP(Tabla_Consulta_desde_Proyectos10[[#This Row],[PRYRAfecha]],'Fechas Mes'!G:J,4,TRUE),"")</f>
        <v>Semana 48CIP2</v>
      </c>
      <c r="AA142" t="str" cm="1">
        <f t="array" ref="AA142">INDEX('Fechas Mes'!F:F,MATCH(Tabla_Consulta_desde_Proyectos10[[#This Row],[Semana]],'Fechas Mes'!J:J,0),)</f>
        <v>M12CIP2</v>
      </c>
      <c r="AB142">
        <f>YEAR(Tabla_Consulta_desde_Proyectos10[[#This Row],[PRYRAfecha]])</f>
        <v>2026</v>
      </c>
      <c r="AC142" t="str">
        <f>VLOOKUP(Tabla_Consulta_desde_Proyectos10[[#This Row],[PRYRAfecha]],'Fechas Mes'!G:J,4,TRUE)</f>
        <v>Semana 48CIP2</v>
      </c>
      <c r="AD142" t="str">
        <f>IFERROR(VLOOKUP(Tabla_Consulta_desde_Proyectos10[[#This Row],[PRYcodigo]],Catálogo!A:B,2,FALSE),"Otros")</f>
        <v>Otros</v>
      </c>
      <c r="AE142" t="str">
        <f>IF(LEN(Tabla_Consulta_desde_Proyectos10[[#This Row],[Semana]])&lt;13,"CI",RIGHT(Tabla_Consulta_desde_Proyectos10[[#This Row],[Semana]],4))</f>
        <v>CIP2</v>
      </c>
    </row>
    <row r="143" spans="1:31">
      <c r="A143" t="s">
        <v>4032</v>
      </c>
      <c r="B143" t="s">
        <v>6752</v>
      </c>
      <c r="C143" t="s">
        <v>6753</v>
      </c>
      <c r="D143" t="s">
        <v>7207</v>
      </c>
      <c r="E143" t="s">
        <v>7571</v>
      </c>
      <c r="F143">
        <v>2</v>
      </c>
      <c r="G143" t="s">
        <v>7572</v>
      </c>
      <c r="H143" t="s">
        <v>790</v>
      </c>
      <c r="I143" t="s">
        <v>791</v>
      </c>
      <c r="J143" t="s">
        <v>919</v>
      </c>
      <c r="K143" t="s">
        <v>920</v>
      </c>
      <c r="L143" s="4">
        <v>46120</v>
      </c>
      <c r="M143" t="s">
        <v>7627</v>
      </c>
      <c r="N143">
        <v>6</v>
      </c>
      <c r="O143">
        <v>3000000001825358</v>
      </c>
      <c r="W143" t="str">
        <f>Tabla_Consulta_desde_Proyectos10[[#This Row],[PRYcodigo]]&amp;Tabla_Consulta_desde_Proyectos10[[#This Row],[PRYApath]]</f>
        <v>095-202-RDIG/0020/0004/0006</v>
      </c>
      <c r="X143" t="str">
        <f>Tabla_Consulta_desde_Proyectos10[[#This Row],[PRYAcodigo]]&amp;" - "&amp;Tabla_Consulta_desde_Proyectos10[[#This Row],[PRYAdescripcion]]</f>
        <v>3 - CONFIGURACIÓN</v>
      </c>
      <c r="Y143" t="str">
        <f>SUBSTITUTE(IFERROR(VLOOKUP(LEFT(Tabla_Consulta_desde_Proyectos10[[#This Row],[Nivel1]],LEN(Tabla_Consulta_desde_Proyectos10[[#This Row],[Nivel1]])-5),Tabla_Consulta_desde_Proyectos10[[#All],[Nivel1]:[Actividad]],2,FALSE),""),"_","-")</f>
        <v>2 - TAREAS DE DESARROLLO DE DASHBOARD</v>
      </c>
      <c r="Z143" t="str">
        <f>IFERROR(VLOOKUP(Tabla_Consulta_desde_Proyectos10[[#This Row],[PRYRAfecha]],'Fechas Mes'!G:J,4,TRUE),"")</f>
        <v>Semana 48CIP2</v>
      </c>
      <c r="AA143" t="str" cm="1">
        <f t="array" ref="AA143">INDEX('Fechas Mes'!F:F,MATCH(Tabla_Consulta_desde_Proyectos10[[#This Row],[Semana]],'Fechas Mes'!J:J,0),)</f>
        <v>M12CIP2</v>
      </c>
      <c r="AB143">
        <f>YEAR(Tabla_Consulta_desde_Proyectos10[[#This Row],[PRYRAfecha]])</f>
        <v>2026</v>
      </c>
      <c r="AC143" t="str">
        <f>VLOOKUP(Tabla_Consulta_desde_Proyectos10[[#This Row],[PRYRAfecha]],'Fechas Mes'!G:J,4,TRUE)</f>
        <v>Semana 48CIP2</v>
      </c>
      <c r="AD143" t="str">
        <f>IFERROR(VLOOKUP(Tabla_Consulta_desde_Proyectos10[[#This Row],[PRYcodigo]],Catálogo!A:B,2,FALSE),"Otros")</f>
        <v>Otros</v>
      </c>
      <c r="AE143" t="str">
        <f>IF(LEN(Tabla_Consulta_desde_Proyectos10[[#This Row],[Semana]])&lt;13,"CI",RIGHT(Tabla_Consulta_desde_Proyectos10[[#This Row],[Semana]],4))</f>
        <v>CIP2</v>
      </c>
    </row>
    <row r="144" spans="1:31">
      <c r="A144" t="s">
        <v>4032</v>
      </c>
      <c r="B144" t="s">
        <v>6752</v>
      </c>
      <c r="C144" t="s">
        <v>6753</v>
      </c>
      <c r="D144" t="s">
        <v>7207</v>
      </c>
      <c r="E144" t="s">
        <v>7571</v>
      </c>
      <c r="F144">
        <v>2</v>
      </c>
      <c r="G144" t="s">
        <v>7572</v>
      </c>
      <c r="H144" t="s">
        <v>790</v>
      </c>
      <c r="I144" t="s">
        <v>791</v>
      </c>
      <c r="J144" t="s">
        <v>919</v>
      </c>
      <c r="K144" t="s">
        <v>920</v>
      </c>
      <c r="L144" s="4">
        <v>46121</v>
      </c>
      <c r="M144" t="s">
        <v>7628</v>
      </c>
      <c r="N144">
        <v>8</v>
      </c>
      <c r="O144">
        <v>3000000001825360</v>
      </c>
      <c r="W144" t="str">
        <f>Tabla_Consulta_desde_Proyectos10[[#This Row],[PRYcodigo]]&amp;Tabla_Consulta_desde_Proyectos10[[#This Row],[PRYApath]]</f>
        <v>095-202-RDIG/0020/0004/0006</v>
      </c>
      <c r="X144" t="str">
        <f>Tabla_Consulta_desde_Proyectos10[[#This Row],[PRYAcodigo]]&amp;" - "&amp;Tabla_Consulta_desde_Proyectos10[[#This Row],[PRYAdescripcion]]</f>
        <v>3 - CONFIGURACIÓN</v>
      </c>
      <c r="Y144" t="str">
        <f>SUBSTITUTE(IFERROR(VLOOKUP(LEFT(Tabla_Consulta_desde_Proyectos10[[#This Row],[Nivel1]],LEN(Tabla_Consulta_desde_Proyectos10[[#This Row],[Nivel1]])-5),Tabla_Consulta_desde_Proyectos10[[#All],[Nivel1]:[Actividad]],2,FALSE),""),"_","-")</f>
        <v>2 - TAREAS DE DESARROLLO DE DASHBOARD</v>
      </c>
      <c r="Z144" t="str">
        <f>IFERROR(VLOOKUP(Tabla_Consulta_desde_Proyectos10[[#This Row],[PRYRAfecha]],'Fechas Mes'!G:J,4,TRUE),"")</f>
        <v>Semana 48CIP2</v>
      </c>
      <c r="AA144" t="str" cm="1">
        <f t="array" ref="AA144">INDEX('Fechas Mes'!F:F,MATCH(Tabla_Consulta_desde_Proyectos10[[#This Row],[Semana]],'Fechas Mes'!J:J,0),)</f>
        <v>M12CIP2</v>
      </c>
      <c r="AB144">
        <f>YEAR(Tabla_Consulta_desde_Proyectos10[[#This Row],[PRYRAfecha]])</f>
        <v>2026</v>
      </c>
      <c r="AC144" t="str">
        <f>VLOOKUP(Tabla_Consulta_desde_Proyectos10[[#This Row],[PRYRAfecha]],'Fechas Mes'!G:J,4,TRUE)</f>
        <v>Semana 48CIP2</v>
      </c>
      <c r="AD144" t="str">
        <f>IFERROR(VLOOKUP(Tabla_Consulta_desde_Proyectos10[[#This Row],[PRYcodigo]],Catálogo!A:B,2,FALSE),"Otros")</f>
        <v>Otros</v>
      </c>
      <c r="AE144" t="str">
        <f>IF(LEN(Tabla_Consulta_desde_Proyectos10[[#This Row],[Semana]])&lt;13,"CI",RIGHT(Tabla_Consulta_desde_Proyectos10[[#This Row],[Semana]],4))</f>
        <v>CIP2</v>
      </c>
    </row>
    <row r="145" spans="1:31">
      <c r="A145" t="s">
        <v>4032</v>
      </c>
      <c r="B145" t="s">
        <v>6752</v>
      </c>
      <c r="C145" t="s">
        <v>6753</v>
      </c>
      <c r="D145" t="s">
        <v>7207</v>
      </c>
      <c r="E145" t="s">
        <v>7571</v>
      </c>
      <c r="F145">
        <v>2</v>
      </c>
      <c r="G145" t="s">
        <v>7572</v>
      </c>
      <c r="H145" t="s">
        <v>790</v>
      </c>
      <c r="I145" t="s">
        <v>791</v>
      </c>
      <c r="J145" t="s">
        <v>919</v>
      </c>
      <c r="K145" t="s">
        <v>920</v>
      </c>
      <c r="L145" s="4">
        <v>46125</v>
      </c>
      <c r="M145" t="s">
        <v>7629</v>
      </c>
      <c r="N145">
        <v>1</v>
      </c>
      <c r="O145">
        <v>3000000001829192</v>
      </c>
      <c r="W145" t="str">
        <f>Tabla_Consulta_desde_Proyectos10[[#This Row],[PRYcodigo]]&amp;Tabla_Consulta_desde_Proyectos10[[#This Row],[PRYApath]]</f>
        <v>095-202-RDIG/0020/0004/0006</v>
      </c>
      <c r="X145" t="str">
        <f>Tabla_Consulta_desde_Proyectos10[[#This Row],[PRYAcodigo]]&amp;" - "&amp;Tabla_Consulta_desde_Proyectos10[[#This Row],[PRYAdescripcion]]</f>
        <v>3 - CONFIGURACIÓN</v>
      </c>
      <c r="Y145" t="str">
        <f>SUBSTITUTE(IFERROR(VLOOKUP(LEFT(Tabla_Consulta_desde_Proyectos10[[#This Row],[Nivel1]],LEN(Tabla_Consulta_desde_Proyectos10[[#This Row],[Nivel1]])-5),Tabla_Consulta_desde_Proyectos10[[#All],[Nivel1]:[Actividad]],2,FALSE),""),"_","-")</f>
        <v>2 - TAREAS DE DESARROLLO DE DASHBOARD</v>
      </c>
      <c r="Z145" t="str">
        <f>IFERROR(VLOOKUP(Tabla_Consulta_desde_Proyectos10[[#This Row],[PRYRAfecha]],'Fechas Mes'!G:J,4,TRUE),"")</f>
        <v>Semana 48CIP2</v>
      </c>
      <c r="AA145" t="str" cm="1">
        <f t="array" ref="AA145">INDEX('Fechas Mes'!F:F,MATCH(Tabla_Consulta_desde_Proyectos10[[#This Row],[Semana]],'Fechas Mes'!J:J,0),)</f>
        <v>M12CIP2</v>
      </c>
      <c r="AB145">
        <f>YEAR(Tabla_Consulta_desde_Proyectos10[[#This Row],[PRYRAfecha]])</f>
        <v>2026</v>
      </c>
      <c r="AC145" t="str">
        <f>VLOOKUP(Tabla_Consulta_desde_Proyectos10[[#This Row],[PRYRAfecha]],'Fechas Mes'!G:J,4,TRUE)</f>
        <v>Semana 48CIP2</v>
      </c>
      <c r="AD145" t="str">
        <f>IFERROR(VLOOKUP(Tabla_Consulta_desde_Proyectos10[[#This Row],[PRYcodigo]],Catálogo!A:B,2,FALSE),"Otros")</f>
        <v>Otros</v>
      </c>
      <c r="AE145" t="str">
        <f>IF(LEN(Tabla_Consulta_desde_Proyectos10[[#This Row],[Semana]])&lt;13,"CI",RIGHT(Tabla_Consulta_desde_Proyectos10[[#This Row],[Semana]],4))</f>
        <v>CIP2</v>
      </c>
    </row>
    <row r="146" spans="1:31">
      <c r="A146" t="s">
        <v>4032</v>
      </c>
      <c r="B146" t="s">
        <v>6752</v>
      </c>
      <c r="C146" t="s">
        <v>6753</v>
      </c>
      <c r="D146" t="s">
        <v>7207</v>
      </c>
      <c r="E146" t="s">
        <v>7571</v>
      </c>
      <c r="F146">
        <v>2</v>
      </c>
      <c r="G146" t="s">
        <v>7572</v>
      </c>
      <c r="H146" t="s">
        <v>790</v>
      </c>
      <c r="I146" t="s">
        <v>791</v>
      </c>
      <c r="J146" t="s">
        <v>919</v>
      </c>
      <c r="K146" t="s">
        <v>920</v>
      </c>
      <c r="L146" s="4">
        <v>46125</v>
      </c>
      <c r="M146" t="s">
        <v>7630</v>
      </c>
      <c r="N146">
        <v>1</v>
      </c>
      <c r="O146">
        <v>3000000001829195</v>
      </c>
      <c r="W146" t="str">
        <f>Tabla_Consulta_desde_Proyectos10[[#This Row],[PRYcodigo]]&amp;Tabla_Consulta_desde_Proyectos10[[#This Row],[PRYApath]]</f>
        <v>095-202-RDIG/0020/0004/0006</v>
      </c>
      <c r="X146" t="str">
        <f>Tabla_Consulta_desde_Proyectos10[[#This Row],[PRYAcodigo]]&amp;" - "&amp;Tabla_Consulta_desde_Proyectos10[[#This Row],[PRYAdescripcion]]</f>
        <v>3 - CONFIGURACIÓN</v>
      </c>
      <c r="Y146" t="str">
        <f>SUBSTITUTE(IFERROR(VLOOKUP(LEFT(Tabla_Consulta_desde_Proyectos10[[#This Row],[Nivel1]],LEN(Tabla_Consulta_desde_Proyectos10[[#This Row],[Nivel1]])-5),Tabla_Consulta_desde_Proyectos10[[#All],[Nivel1]:[Actividad]],2,FALSE),""),"_","-")</f>
        <v>2 - TAREAS DE DESARROLLO DE DASHBOARD</v>
      </c>
      <c r="Z146" t="str">
        <f>IFERROR(VLOOKUP(Tabla_Consulta_desde_Proyectos10[[#This Row],[PRYRAfecha]],'Fechas Mes'!G:J,4,TRUE),"")</f>
        <v>Semana 48CIP2</v>
      </c>
      <c r="AA146" t="str" cm="1">
        <f t="array" ref="AA146">INDEX('Fechas Mes'!F:F,MATCH(Tabla_Consulta_desde_Proyectos10[[#This Row],[Semana]],'Fechas Mes'!J:J,0),)</f>
        <v>M12CIP2</v>
      </c>
      <c r="AB146">
        <f>YEAR(Tabla_Consulta_desde_Proyectos10[[#This Row],[PRYRAfecha]])</f>
        <v>2026</v>
      </c>
      <c r="AC146" t="str">
        <f>VLOOKUP(Tabla_Consulta_desde_Proyectos10[[#This Row],[PRYRAfecha]],'Fechas Mes'!G:J,4,TRUE)</f>
        <v>Semana 48CIP2</v>
      </c>
      <c r="AD146" t="str">
        <f>IFERROR(VLOOKUP(Tabla_Consulta_desde_Proyectos10[[#This Row],[PRYcodigo]],Catálogo!A:B,2,FALSE),"Otros")</f>
        <v>Otros</v>
      </c>
      <c r="AE146" t="str">
        <f>IF(LEN(Tabla_Consulta_desde_Proyectos10[[#This Row],[Semana]])&lt;13,"CI",RIGHT(Tabla_Consulta_desde_Proyectos10[[#This Row],[Semana]],4))</f>
        <v>CIP2</v>
      </c>
    </row>
    <row r="147" spans="1:31">
      <c r="A147" t="s">
        <v>4032</v>
      </c>
      <c r="B147" t="s">
        <v>6752</v>
      </c>
      <c r="C147" t="s">
        <v>6753</v>
      </c>
      <c r="D147" t="s">
        <v>7207</v>
      </c>
      <c r="E147" t="s">
        <v>7571</v>
      </c>
      <c r="F147">
        <v>2</v>
      </c>
      <c r="G147" t="s">
        <v>7572</v>
      </c>
      <c r="H147" t="s">
        <v>790</v>
      </c>
      <c r="I147" t="s">
        <v>791</v>
      </c>
      <c r="J147" t="s">
        <v>919</v>
      </c>
      <c r="K147" t="s">
        <v>920</v>
      </c>
      <c r="L147" s="4">
        <v>46128</v>
      </c>
      <c r="M147" t="s">
        <v>7631</v>
      </c>
      <c r="N147">
        <v>1</v>
      </c>
      <c r="O147">
        <v>3000000001829207</v>
      </c>
      <c r="W147" t="str">
        <f>Tabla_Consulta_desde_Proyectos10[[#This Row],[PRYcodigo]]&amp;Tabla_Consulta_desde_Proyectos10[[#This Row],[PRYApath]]</f>
        <v>095-202-RDIG/0020/0004/0006</v>
      </c>
      <c r="X147" t="str">
        <f>Tabla_Consulta_desde_Proyectos10[[#This Row],[PRYAcodigo]]&amp;" - "&amp;Tabla_Consulta_desde_Proyectos10[[#This Row],[PRYAdescripcion]]</f>
        <v>3 - CONFIGURACIÓN</v>
      </c>
      <c r="Y147" t="str">
        <f>SUBSTITUTE(IFERROR(VLOOKUP(LEFT(Tabla_Consulta_desde_Proyectos10[[#This Row],[Nivel1]],LEN(Tabla_Consulta_desde_Proyectos10[[#This Row],[Nivel1]])-5),Tabla_Consulta_desde_Proyectos10[[#All],[Nivel1]:[Actividad]],2,FALSE),""),"_","-")</f>
        <v>2 - TAREAS DE DESARROLLO DE DASHBOARD</v>
      </c>
      <c r="Z147" t="str">
        <f>IFERROR(VLOOKUP(Tabla_Consulta_desde_Proyectos10[[#This Row],[PRYRAfecha]],'Fechas Mes'!G:J,4,TRUE),"")</f>
        <v>Semana 48CIP2</v>
      </c>
      <c r="AA147" t="str" cm="1">
        <f t="array" ref="AA147">INDEX('Fechas Mes'!F:F,MATCH(Tabla_Consulta_desde_Proyectos10[[#This Row],[Semana]],'Fechas Mes'!J:J,0),)</f>
        <v>M12CIP2</v>
      </c>
      <c r="AB147">
        <f>YEAR(Tabla_Consulta_desde_Proyectos10[[#This Row],[PRYRAfecha]])</f>
        <v>2026</v>
      </c>
      <c r="AC147" t="str">
        <f>VLOOKUP(Tabla_Consulta_desde_Proyectos10[[#This Row],[PRYRAfecha]],'Fechas Mes'!G:J,4,TRUE)</f>
        <v>Semana 48CIP2</v>
      </c>
      <c r="AD147" t="str">
        <f>IFERROR(VLOOKUP(Tabla_Consulta_desde_Proyectos10[[#This Row],[PRYcodigo]],Catálogo!A:B,2,FALSE),"Otros")</f>
        <v>Otros</v>
      </c>
      <c r="AE147" t="str">
        <f>IF(LEN(Tabla_Consulta_desde_Proyectos10[[#This Row],[Semana]])&lt;13,"CI",RIGHT(Tabla_Consulta_desde_Proyectos10[[#This Row],[Semana]],4))</f>
        <v>CIP2</v>
      </c>
    </row>
    <row r="148" spans="1:31">
      <c r="A148" t="s">
        <v>4032</v>
      </c>
      <c r="B148" t="s">
        <v>6752</v>
      </c>
      <c r="C148" t="s">
        <v>6753</v>
      </c>
      <c r="D148" t="s">
        <v>7207</v>
      </c>
      <c r="E148" t="s">
        <v>7571</v>
      </c>
      <c r="F148">
        <v>2</v>
      </c>
      <c r="G148" t="s">
        <v>7572</v>
      </c>
      <c r="H148" t="s">
        <v>790</v>
      </c>
      <c r="I148" t="s">
        <v>791</v>
      </c>
      <c r="J148" t="s">
        <v>919</v>
      </c>
      <c r="K148" t="s">
        <v>920</v>
      </c>
      <c r="L148" s="4">
        <v>46139</v>
      </c>
      <c r="M148" t="s">
        <v>7632</v>
      </c>
      <c r="N148">
        <v>8</v>
      </c>
      <c r="O148">
        <v>3000000001836175</v>
      </c>
      <c r="W148" t="str">
        <f>Tabla_Consulta_desde_Proyectos10[[#This Row],[PRYcodigo]]&amp;Tabla_Consulta_desde_Proyectos10[[#This Row],[PRYApath]]</f>
        <v>095-202-RDIG/0020/0004/0006</v>
      </c>
      <c r="X148" t="str">
        <f>Tabla_Consulta_desde_Proyectos10[[#This Row],[PRYAcodigo]]&amp;" - "&amp;Tabla_Consulta_desde_Proyectos10[[#This Row],[PRYAdescripcion]]</f>
        <v>3 - CONFIGURACIÓN</v>
      </c>
      <c r="Y148" t="str">
        <f>SUBSTITUTE(IFERROR(VLOOKUP(LEFT(Tabla_Consulta_desde_Proyectos10[[#This Row],[Nivel1]],LEN(Tabla_Consulta_desde_Proyectos10[[#This Row],[Nivel1]])-5),Tabla_Consulta_desde_Proyectos10[[#All],[Nivel1]:[Actividad]],2,FALSE),""),"_","-")</f>
        <v>2 - TAREAS DE DESARROLLO DE DASHBOARD</v>
      </c>
      <c r="Z148" t="str">
        <f>IFERROR(VLOOKUP(Tabla_Consulta_desde_Proyectos10[[#This Row],[PRYRAfecha]],'Fechas Mes'!G:J,4,TRUE),"")</f>
        <v>Semana 48CIP2</v>
      </c>
      <c r="AA148" t="str" cm="1">
        <f t="array" ref="AA148">INDEX('Fechas Mes'!F:F,MATCH(Tabla_Consulta_desde_Proyectos10[[#This Row],[Semana]],'Fechas Mes'!J:J,0),)</f>
        <v>M12CIP2</v>
      </c>
      <c r="AB148">
        <f>YEAR(Tabla_Consulta_desde_Proyectos10[[#This Row],[PRYRAfecha]])</f>
        <v>2026</v>
      </c>
      <c r="AC148" t="str">
        <f>VLOOKUP(Tabla_Consulta_desde_Proyectos10[[#This Row],[PRYRAfecha]],'Fechas Mes'!G:J,4,TRUE)</f>
        <v>Semana 48CIP2</v>
      </c>
      <c r="AD148" t="str">
        <f>IFERROR(VLOOKUP(Tabla_Consulta_desde_Proyectos10[[#This Row],[PRYcodigo]],Catálogo!A:B,2,FALSE),"Otros")</f>
        <v>Otros</v>
      </c>
      <c r="AE148" t="str">
        <f>IF(LEN(Tabla_Consulta_desde_Proyectos10[[#This Row],[Semana]])&lt;13,"CI",RIGHT(Tabla_Consulta_desde_Proyectos10[[#This Row],[Semana]],4))</f>
        <v>CIP2</v>
      </c>
    </row>
    <row r="149" spans="1:31">
      <c r="A149" t="s">
        <v>4032</v>
      </c>
      <c r="B149" t="s">
        <v>6752</v>
      </c>
      <c r="C149" t="s">
        <v>6753</v>
      </c>
      <c r="D149" t="s">
        <v>7207</v>
      </c>
      <c r="E149" t="s">
        <v>7571</v>
      </c>
      <c r="F149">
        <v>2</v>
      </c>
      <c r="G149" t="s">
        <v>7572</v>
      </c>
      <c r="H149" t="s">
        <v>790</v>
      </c>
      <c r="I149" t="s">
        <v>791</v>
      </c>
      <c r="J149" t="s">
        <v>919</v>
      </c>
      <c r="K149" t="s">
        <v>920</v>
      </c>
      <c r="L149" s="4">
        <v>46140</v>
      </c>
      <c r="M149" t="s">
        <v>7633</v>
      </c>
      <c r="N149">
        <v>7</v>
      </c>
      <c r="O149">
        <v>3000000001836176</v>
      </c>
      <c r="W149" t="str">
        <f>Tabla_Consulta_desde_Proyectos10[[#This Row],[PRYcodigo]]&amp;Tabla_Consulta_desde_Proyectos10[[#This Row],[PRYApath]]</f>
        <v>095-202-RDIG/0020/0004/0006</v>
      </c>
      <c r="X149" t="str">
        <f>Tabla_Consulta_desde_Proyectos10[[#This Row],[PRYAcodigo]]&amp;" - "&amp;Tabla_Consulta_desde_Proyectos10[[#This Row],[PRYAdescripcion]]</f>
        <v>3 - CONFIGURACIÓN</v>
      </c>
      <c r="Y149" t="str">
        <f>SUBSTITUTE(IFERROR(VLOOKUP(LEFT(Tabla_Consulta_desde_Proyectos10[[#This Row],[Nivel1]],LEN(Tabla_Consulta_desde_Proyectos10[[#This Row],[Nivel1]])-5),Tabla_Consulta_desde_Proyectos10[[#All],[Nivel1]:[Actividad]],2,FALSE),""),"_","-")</f>
        <v>2 - TAREAS DE DESARROLLO DE DASHBOARD</v>
      </c>
      <c r="Z149" t="str">
        <f>IFERROR(VLOOKUP(Tabla_Consulta_desde_Proyectos10[[#This Row],[PRYRAfecha]],'Fechas Mes'!G:J,4,TRUE),"")</f>
        <v>Semana 48CIP2</v>
      </c>
      <c r="AA149" t="str" cm="1">
        <f t="array" ref="AA149">INDEX('Fechas Mes'!F:F,MATCH(Tabla_Consulta_desde_Proyectos10[[#This Row],[Semana]],'Fechas Mes'!J:J,0),)</f>
        <v>M12CIP2</v>
      </c>
      <c r="AB149">
        <f>YEAR(Tabla_Consulta_desde_Proyectos10[[#This Row],[PRYRAfecha]])</f>
        <v>2026</v>
      </c>
      <c r="AC149" t="str">
        <f>VLOOKUP(Tabla_Consulta_desde_Proyectos10[[#This Row],[PRYRAfecha]],'Fechas Mes'!G:J,4,TRUE)</f>
        <v>Semana 48CIP2</v>
      </c>
      <c r="AD149" t="str">
        <f>IFERROR(VLOOKUP(Tabla_Consulta_desde_Proyectos10[[#This Row],[PRYcodigo]],Catálogo!A:B,2,FALSE),"Otros")</f>
        <v>Otros</v>
      </c>
      <c r="AE149" t="str">
        <f>IF(LEN(Tabla_Consulta_desde_Proyectos10[[#This Row],[Semana]])&lt;13,"CI",RIGHT(Tabla_Consulta_desde_Proyectos10[[#This Row],[Semana]],4))</f>
        <v>CIP2</v>
      </c>
    </row>
    <row r="150" spans="1:31">
      <c r="A150" t="s">
        <v>4032</v>
      </c>
      <c r="B150" t="s">
        <v>6752</v>
      </c>
      <c r="C150" t="s">
        <v>6753</v>
      </c>
      <c r="D150" t="s">
        <v>7207</v>
      </c>
      <c r="E150" t="s">
        <v>7571</v>
      </c>
      <c r="F150">
        <v>2</v>
      </c>
      <c r="G150" t="s">
        <v>7572</v>
      </c>
      <c r="H150" t="s">
        <v>790</v>
      </c>
      <c r="I150" t="s">
        <v>791</v>
      </c>
      <c r="J150" t="s">
        <v>919</v>
      </c>
      <c r="K150" t="s">
        <v>920</v>
      </c>
      <c r="L150" s="4">
        <v>46141</v>
      </c>
      <c r="M150" t="s">
        <v>7634</v>
      </c>
      <c r="N150">
        <v>8</v>
      </c>
      <c r="O150">
        <v>3000000001836178</v>
      </c>
      <c r="W150" t="str">
        <f>Tabla_Consulta_desde_Proyectos10[[#This Row],[PRYcodigo]]&amp;Tabla_Consulta_desde_Proyectos10[[#This Row],[PRYApath]]</f>
        <v>095-202-RDIG/0020/0004/0006</v>
      </c>
      <c r="X150" t="str">
        <f>Tabla_Consulta_desde_Proyectos10[[#This Row],[PRYAcodigo]]&amp;" - "&amp;Tabla_Consulta_desde_Proyectos10[[#This Row],[PRYAdescripcion]]</f>
        <v>3 - CONFIGURACIÓN</v>
      </c>
      <c r="Y150" t="str">
        <f>SUBSTITUTE(IFERROR(VLOOKUP(LEFT(Tabla_Consulta_desde_Proyectos10[[#This Row],[Nivel1]],LEN(Tabla_Consulta_desde_Proyectos10[[#This Row],[Nivel1]])-5),Tabla_Consulta_desde_Proyectos10[[#All],[Nivel1]:[Actividad]],2,FALSE),""),"_","-")</f>
        <v>2 - TAREAS DE DESARROLLO DE DASHBOARD</v>
      </c>
      <c r="Z150" t="str">
        <f>IFERROR(VLOOKUP(Tabla_Consulta_desde_Proyectos10[[#This Row],[PRYRAfecha]],'Fechas Mes'!G:J,4,TRUE),"")</f>
        <v>Semana 48CIP2</v>
      </c>
      <c r="AA150" t="str" cm="1">
        <f t="array" ref="AA150">INDEX('Fechas Mes'!F:F,MATCH(Tabla_Consulta_desde_Proyectos10[[#This Row],[Semana]],'Fechas Mes'!J:J,0),)</f>
        <v>M12CIP2</v>
      </c>
      <c r="AB150">
        <f>YEAR(Tabla_Consulta_desde_Proyectos10[[#This Row],[PRYRAfecha]])</f>
        <v>2026</v>
      </c>
      <c r="AC150" t="str">
        <f>VLOOKUP(Tabla_Consulta_desde_Proyectos10[[#This Row],[PRYRAfecha]],'Fechas Mes'!G:J,4,TRUE)</f>
        <v>Semana 48CIP2</v>
      </c>
      <c r="AD150" t="str">
        <f>IFERROR(VLOOKUP(Tabla_Consulta_desde_Proyectos10[[#This Row],[PRYcodigo]],Catálogo!A:B,2,FALSE),"Otros")</f>
        <v>Otros</v>
      </c>
      <c r="AE150" t="str">
        <f>IF(LEN(Tabla_Consulta_desde_Proyectos10[[#This Row],[Semana]])&lt;13,"CI",RIGHT(Tabla_Consulta_desde_Proyectos10[[#This Row],[Semana]],4))</f>
        <v>CIP2</v>
      </c>
    </row>
    <row r="151" spans="1:31">
      <c r="A151" t="s">
        <v>4032</v>
      </c>
      <c r="B151" t="s">
        <v>6752</v>
      </c>
      <c r="C151" t="s">
        <v>6753</v>
      </c>
      <c r="D151" t="s">
        <v>7208</v>
      </c>
      <c r="E151" t="s">
        <v>7573</v>
      </c>
      <c r="F151">
        <v>2</v>
      </c>
      <c r="G151" t="s">
        <v>7574</v>
      </c>
      <c r="H151" t="s">
        <v>790</v>
      </c>
      <c r="I151" t="s">
        <v>791</v>
      </c>
      <c r="J151" t="s">
        <v>919</v>
      </c>
      <c r="K151" t="s">
        <v>920</v>
      </c>
      <c r="L151" s="4">
        <v>46113</v>
      </c>
      <c r="M151" t="s">
        <v>7635</v>
      </c>
      <c r="N151">
        <v>2</v>
      </c>
      <c r="O151">
        <v>3000000001822633</v>
      </c>
      <c r="W151" t="str">
        <f>Tabla_Consulta_desde_Proyectos10[[#This Row],[PRYcodigo]]&amp;Tabla_Consulta_desde_Proyectos10[[#This Row],[PRYApath]]</f>
        <v>095-202-RDIG/0020/0004/0008</v>
      </c>
      <c r="X151" t="str">
        <f>Tabla_Consulta_desde_Proyectos10[[#This Row],[PRYAcodigo]]&amp;" - "&amp;Tabla_Consulta_desde_Proyectos10[[#This Row],[PRYAdescripcion]]</f>
        <v>4 - PRUEBAS</v>
      </c>
      <c r="Y151" t="str">
        <f>SUBSTITUTE(IFERROR(VLOOKUP(LEFT(Tabla_Consulta_desde_Proyectos10[[#This Row],[Nivel1]],LEN(Tabla_Consulta_desde_Proyectos10[[#This Row],[Nivel1]])-5),Tabla_Consulta_desde_Proyectos10[[#All],[Nivel1]:[Actividad]],2,FALSE),""),"_","-")</f>
        <v>2 - TAREAS DE DESARROLLO DE DASHBOARD</v>
      </c>
      <c r="Z151" t="str">
        <f>IFERROR(VLOOKUP(Tabla_Consulta_desde_Proyectos10[[#This Row],[PRYRAfecha]],'Fechas Mes'!G:J,4,TRUE),"")</f>
        <v>Semana 48CIP2</v>
      </c>
      <c r="AA151" t="str" cm="1">
        <f t="array" ref="AA151">INDEX('Fechas Mes'!F:F,MATCH(Tabla_Consulta_desde_Proyectos10[[#This Row],[Semana]],'Fechas Mes'!J:J,0),)</f>
        <v>M12CIP2</v>
      </c>
      <c r="AB151">
        <f>YEAR(Tabla_Consulta_desde_Proyectos10[[#This Row],[PRYRAfecha]])</f>
        <v>2026</v>
      </c>
      <c r="AC151" t="str">
        <f>VLOOKUP(Tabla_Consulta_desde_Proyectos10[[#This Row],[PRYRAfecha]],'Fechas Mes'!G:J,4,TRUE)</f>
        <v>Semana 48CIP2</v>
      </c>
      <c r="AD151" t="str">
        <f>IFERROR(VLOOKUP(Tabla_Consulta_desde_Proyectos10[[#This Row],[PRYcodigo]],Catálogo!A:B,2,FALSE),"Otros")</f>
        <v>Otros</v>
      </c>
      <c r="AE151" t="str">
        <f>IF(LEN(Tabla_Consulta_desde_Proyectos10[[#This Row],[Semana]])&lt;13,"CI",RIGHT(Tabla_Consulta_desde_Proyectos10[[#This Row],[Semana]],4))</f>
        <v>CIP2</v>
      </c>
    </row>
    <row r="152" spans="1:31">
      <c r="A152" t="s">
        <v>4032</v>
      </c>
      <c r="B152" t="s">
        <v>6752</v>
      </c>
      <c r="C152" t="s">
        <v>6753</v>
      </c>
      <c r="D152" t="s">
        <v>7208</v>
      </c>
      <c r="E152" t="s">
        <v>7573</v>
      </c>
      <c r="F152">
        <v>2</v>
      </c>
      <c r="G152" t="s">
        <v>7574</v>
      </c>
      <c r="H152" t="s">
        <v>790</v>
      </c>
      <c r="I152" t="s">
        <v>791</v>
      </c>
      <c r="J152" t="s">
        <v>919</v>
      </c>
      <c r="K152" t="s">
        <v>920</v>
      </c>
      <c r="L152" s="4">
        <v>46120</v>
      </c>
      <c r="M152" t="s">
        <v>7636</v>
      </c>
      <c r="N152">
        <v>2</v>
      </c>
      <c r="O152">
        <v>3000000001825359</v>
      </c>
      <c r="W152" t="str">
        <f>Tabla_Consulta_desde_Proyectos10[[#This Row],[PRYcodigo]]&amp;Tabla_Consulta_desde_Proyectos10[[#This Row],[PRYApath]]</f>
        <v>095-202-RDIG/0020/0004/0008</v>
      </c>
      <c r="X152" t="str">
        <f>Tabla_Consulta_desde_Proyectos10[[#This Row],[PRYAcodigo]]&amp;" - "&amp;Tabla_Consulta_desde_Proyectos10[[#This Row],[PRYAdescripcion]]</f>
        <v>4 - PRUEBAS</v>
      </c>
      <c r="Y152" t="str">
        <f>SUBSTITUTE(IFERROR(VLOOKUP(LEFT(Tabla_Consulta_desde_Proyectos10[[#This Row],[Nivel1]],LEN(Tabla_Consulta_desde_Proyectos10[[#This Row],[Nivel1]])-5),Tabla_Consulta_desde_Proyectos10[[#All],[Nivel1]:[Actividad]],2,FALSE),""),"_","-")</f>
        <v>2 - TAREAS DE DESARROLLO DE DASHBOARD</v>
      </c>
      <c r="Z152" t="str">
        <f>IFERROR(VLOOKUP(Tabla_Consulta_desde_Proyectos10[[#This Row],[PRYRAfecha]],'Fechas Mes'!G:J,4,TRUE),"")</f>
        <v>Semana 48CIP2</v>
      </c>
      <c r="AA152" t="str" cm="1">
        <f t="array" ref="AA152">INDEX('Fechas Mes'!F:F,MATCH(Tabla_Consulta_desde_Proyectos10[[#This Row],[Semana]],'Fechas Mes'!J:J,0),)</f>
        <v>M12CIP2</v>
      </c>
      <c r="AB152">
        <f>YEAR(Tabla_Consulta_desde_Proyectos10[[#This Row],[PRYRAfecha]])</f>
        <v>2026</v>
      </c>
      <c r="AC152" t="str">
        <f>VLOOKUP(Tabla_Consulta_desde_Proyectos10[[#This Row],[PRYRAfecha]],'Fechas Mes'!G:J,4,TRUE)</f>
        <v>Semana 48CIP2</v>
      </c>
      <c r="AD152" t="str">
        <f>IFERROR(VLOOKUP(Tabla_Consulta_desde_Proyectos10[[#This Row],[PRYcodigo]],Catálogo!A:B,2,FALSE),"Otros")</f>
        <v>Otros</v>
      </c>
      <c r="AE152" t="str">
        <f>IF(LEN(Tabla_Consulta_desde_Proyectos10[[#This Row],[Semana]])&lt;13,"CI",RIGHT(Tabla_Consulta_desde_Proyectos10[[#This Row],[Semana]],4))</f>
        <v>CIP2</v>
      </c>
    </row>
    <row r="153" spans="1:31">
      <c r="A153" t="s">
        <v>4032</v>
      </c>
      <c r="B153" t="s">
        <v>6752</v>
      </c>
      <c r="C153" t="s">
        <v>6753</v>
      </c>
      <c r="D153" t="s">
        <v>7208</v>
      </c>
      <c r="E153" t="s">
        <v>7573</v>
      </c>
      <c r="F153">
        <v>2</v>
      </c>
      <c r="G153" t="s">
        <v>7574</v>
      </c>
      <c r="H153" t="s">
        <v>790</v>
      </c>
      <c r="I153" t="s">
        <v>791</v>
      </c>
      <c r="J153" t="s">
        <v>919</v>
      </c>
      <c r="K153" t="s">
        <v>920</v>
      </c>
      <c r="L153" s="4">
        <v>46122</v>
      </c>
      <c r="M153" t="s">
        <v>7637</v>
      </c>
      <c r="N153">
        <v>2</v>
      </c>
      <c r="O153">
        <v>3000000001825361</v>
      </c>
      <c r="W153" t="str">
        <f>Tabla_Consulta_desde_Proyectos10[[#This Row],[PRYcodigo]]&amp;Tabla_Consulta_desde_Proyectos10[[#This Row],[PRYApath]]</f>
        <v>095-202-RDIG/0020/0004/0008</v>
      </c>
      <c r="X153" t="str">
        <f>Tabla_Consulta_desde_Proyectos10[[#This Row],[PRYAcodigo]]&amp;" - "&amp;Tabla_Consulta_desde_Proyectos10[[#This Row],[PRYAdescripcion]]</f>
        <v>4 - PRUEBAS</v>
      </c>
      <c r="Y153" t="str">
        <f>SUBSTITUTE(IFERROR(VLOOKUP(LEFT(Tabla_Consulta_desde_Proyectos10[[#This Row],[Nivel1]],LEN(Tabla_Consulta_desde_Proyectos10[[#This Row],[Nivel1]])-5),Tabla_Consulta_desde_Proyectos10[[#All],[Nivel1]:[Actividad]],2,FALSE),""),"_","-")</f>
        <v>2 - TAREAS DE DESARROLLO DE DASHBOARD</v>
      </c>
      <c r="Z153" t="str">
        <f>IFERROR(VLOOKUP(Tabla_Consulta_desde_Proyectos10[[#This Row],[PRYRAfecha]],'Fechas Mes'!G:J,4,TRUE),"")</f>
        <v>Semana 48CIP2</v>
      </c>
      <c r="AA153" t="str" cm="1">
        <f t="array" ref="AA153">INDEX('Fechas Mes'!F:F,MATCH(Tabla_Consulta_desde_Proyectos10[[#This Row],[Semana]],'Fechas Mes'!J:J,0),)</f>
        <v>M12CIP2</v>
      </c>
      <c r="AB153">
        <f>YEAR(Tabla_Consulta_desde_Proyectos10[[#This Row],[PRYRAfecha]])</f>
        <v>2026</v>
      </c>
      <c r="AC153" t="str">
        <f>VLOOKUP(Tabla_Consulta_desde_Proyectos10[[#This Row],[PRYRAfecha]],'Fechas Mes'!G:J,4,TRUE)</f>
        <v>Semana 48CIP2</v>
      </c>
      <c r="AD153" t="str">
        <f>IFERROR(VLOOKUP(Tabla_Consulta_desde_Proyectos10[[#This Row],[PRYcodigo]],Catálogo!A:B,2,FALSE),"Otros")</f>
        <v>Otros</v>
      </c>
      <c r="AE153" t="str">
        <f>IF(LEN(Tabla_Consulta_desde_Proyectos10[[#This Row],[Semana]])&lt;13,"CI",RIGHT(Tabla_Consulta_desde_Proyectos10[[#This Row],[Semana]],4))</f>
        <v>CIP2</v>
      </c>
    </row>
    <row r="154" spans="1:31">
      <c r="A154" t="s">
        <v>4032</v>
      </c>
      <c r="B154" t="s">
        <v>6752</v>
      </c>
      <c r="C154" t="s">
        <v>6753</v>
      </c>
      <c r="D154" t="s">
        <v>7208</v>
      </c>
      <c r="E154" t="s">
        <v>7573</v>
      </c>
      <c r="F154">
        <v>2</v>
      </c>
      <c r="G154" t="s">
        <v>7574</v>
      </c>
      <c r="H154" t="s">
        <v>790</v>
      </c>
      <c r="I154" t="s">
        <v>791</v>
      </c>
      <c r="J154" t="s">
        <v>919</v>
      </c>
      <c r="K154" t="s">
        <v>920</v>
      </c>
      <c r="L154" s="4">
        <v>46122</v>
      </c>
      <c r="M154" t="s">
        <v>7638</v>
      </c>
      <c r="N154">
        <v>1</v>
      </c>
      <c r="O154">
        <v>3000000001825364</v>
      </c>
      <c r="W154" t="str">
        <f>Tabla_Consulta_desde_Proyectos10[[#This Row],[PRYcodigo]]&amp;Tabla_Consulta_desde_Proyectos10[[#This Row],[PRYApath]]</f>
        <v>095-202-RDIG/0020/0004/0008</v>
      </c>
      <c r="X154" t="str">
        <f>Tabla_Consulta_desde_Proyectos10[[#This Row],[PRYAcodigo]]&amp;" - "&amp;Tabla_Consulta_desde_Proyectos10[[#This Row],[PRYAdescripcion]]</f>
        <v>4 - PRUEBAS</v>
      </c>
      <c r="Y154" t="str">
        <f>SUBSTITUTE(IFERROR(VLOOKUP(LEFT(Tabla_Consulta_desde_Proyectos10[[#This Row],[Nivel1]],LEN(Tabla_Consulta_desde_Proyectos10[[#This Row],[Nivel1]])-5),Tabla_Consulta_desde_Proyectos10[[#All],[Nivel1]:[Actividad]],2,FALSE),""),"_","-")</f>
        <v>2 - TAREAS DE DESARROLLO DE DASHBOARD</v>
      </c>
      <c r="Z154" t="str">
        <f>IFERROR(VLOOKUP(Tabla_Consulta_desde_Proyectos10[[#This Row],[PRYRAfecha]],'Fechas Mes'!G:J,4,TRUE),"")</f>
        <v>Semana 48CIP2</v>
      </c>
      <c r="AA154" t="str" cm="1">
        <f t="array" ref="AA154">INDEX('Fechas Mes'!F:F,MATCH(Tabla_Consulta_desde_Proyectos10[[#This Row],[Semana]],'Fechas Mes'!J:J,0),)</f>
        <v>M12CIP2</v>
      </c>
      <c r="AB154">
        <f>YEAR(Tabla_Consulta_desde_Proyectos10[[#This Row],[PRYRAfecha]])</f>
        <v>2026</v>
      </c>
      <c r="AC154" t="str">
        <f>VLOOKUP(Tabla_Consulta_desde_Proyectos10[[#This Row],[PRYRAfecha]],'Fechas Mes'!G:J,4,TRUE)</f>
        <v>Semana 48CIP2</v>
      </c>
      <c r="AD154" t="str">
        <f>IFERROR(VLOOKUP(Tabla_Consulta_desde_Proyectos10[[#This Row],[PRYcodigo]],Catálogo!A:B,2,FALSE),"Otros")</f>
        <v>Otros</v>
      </c>
      <c r="AE154" t="str">
        <f>IF(LEN(Tabla_Consulta_desde_Proyectos10[[#This Row],[Semana]])&lt;13,"CI",RIGHT(Tabla_Consulta_desde_Proyectos10[[#This Row],[Semana]],4))</f>
        <v>CIP2</v>
      </c>
    </row>
    <row r="155" spans="1:31">
      <c r="A155" t="s">
        <v>4032</v>
      </c>
      <c r="B155" t="s">
        <v>6752</v>
      </c>
      <c r="C155" t="s">
        <v>6753</v>
      </c>
      <c r="D155" t="s">
        <v>7208</v>
      </c>
      <c r="E155" t="s">
        <v>7573</v>
      </c>
      <c r="F155">
        <v>2</v>
      </c>
      <c r="G155" t="s">
        <v>7574</v>
      </c>
      <c r="H155" t="s">
        <v>790</v>
      </c>
      <c r="I155" t="s">
        <v>791</v>
      </c>
      <c r="J155" t="s">
        <v>919</v>
      </c>
      <c r="K155" t="s">
        <v>920</v>
      </c>
      <c r="L155" s="4">
        <v>46122</v>
      </c>
      <c r="M155" t="s">
        <v>7639</v>
      </c>
      <c r="N155">
        <v>4</v>
      </c>
      <c r="O155">
        <v>3000000001825369</v>
      </c>
      <c r="W155" t="str">
        <f>Tabla_Consulta_desde_Proyectos10[[#This Row],[PRYcodigo]]&amp;Tabla_Consulta_desde_Proyectos10[[#This Row],[PRYApath]]</f>
        <v>095-202-RDIG/0020/0004/0008</v>
      </c>
      <c r="X155" t="str">
        <f>Tabla_Consulta_desde_Proyectos10[[#This Row],[PRYAcodigo]]&amp;" - "&amp;Tabla_Consulta_desde_Proyectos10[[#This Row],[PRYAdescripcion]]</f>
        <v>4 - PRUEBAS</v>
      </c>
      <c r="Y155" t="str">
        <f>SUBSTITUTE(IFERROR(VLOOKUP(LEFT(Tabla_Consulta_desde_Proyectos10[[#This Row],[Nivel1]],LEN(Tabla_Consulta_desde_Proyectos10[[#This Row],[Nivel1]])-5),Tabla_Consulta_desde_Proyectos10[[#All],[Nivel1]:[Actividad]],2,FALSE),""),"_","-")</f>
        <v>2 - TAREAS DE DESARROLLO DE DASHBOARD</v>
      </c>
      <c r="Z155" t="str">
        <f>IFERROR(VLOOKUP(Tabla_Consulta_desde_Proyectos10[[#This Row],[PRYRAfecha]],'Fechas Mes'!G:J,4,TRUE),"")</f>
        <v>Semana 48CIP2</v>
      </c>
      <c r="AA155" t="str" cm="1">
        <f t="array" ref="AA155">INDEX('Fechas Mes'!F:F,MATCH(Tabla_Consulta_desde_Proyectos10[[#This Row],[Semana]],'Fechas Mes'!J:J,0),)</f>
        <v>M12CIP2</v>
      </c>
      <c r="AB155">
        <f>YEAR(Tabla_Consulta_desde_Proyectos10[[#This Row],[PRYRAfecha]])</f>
        <v>2026</v>
      </c>
      <c r="AC155" t="str">
        <f>VLOOKUP(Tabla_Consulta_desde_Proyectos10[[#This Row],[PRYRAfecha]],'Fechas Mes'!G:J,4,TRUE)</f>
        <v>Semana 48CIP2</v>
      </c>
      <c r="AD155" t="str">
        <f>IFERROR(VLOOKUP(Tabla_Consulta_desde_Proyectos10[[#This Row],[PRYcodigo]],Catálogo!A:B,2,FALSE),"Otros")</f>
        <v>Otros</v>
      </c>
      <c r="AE155" t="str">
        <f>IF(LEN(Tabla_Consulta_desde_Proyectos10[[#This Row],[Semana]])&lt;13,"CI",RIGHT(Tabla_Consulta_desde_Proyectos10[[#This Row],[Semana]],4))</f>
        <v>CIP2</v>
      </c>
    </row>
    <row r="156" spans="1:31">
      <c r="A156" t="s">
        <v>4032</v>
      </c>
      <c r="B156" t="s">
        <v>6752</v>
      </c>
      <c r="C156" t="s">
        <v>6753</v>
      </c>
      <c r="D156" t="s">
        <v>7208</v>
      </c>
      <c r="E156" t="s">
        <v>7573</v>
      </c>
      <c r="F156">
        <v>2</v>
      </c>
      <c r="G156" t="s">
        <v>7574</v>
      </c>
      <c r="H156" t="s">
        <v>790</v>
      </c>
      <c r="I156" t="s">
        <v>791</v>
      </c>
      <c r="J156" t="s">
        <v>919</v>
      </c>
      <c r="K156" t="s">
        <v>920</v>
      </c>
      <c r="L156" s="4">
        <v>46122</v>
      </c>
      <c r="M156" t="s">
        <v>7640</v>
      </c>
      <c r="N156">
        <v>1</v>
      </c>
      <c r="O156">
        <v>3000000001825371</v>
      </c>
      <c r="W156" t="str">
        <f>Tabla_Consulta_desde_Proyectos10[[#This Row],[PRYcodigo]]&amp;Tabla_Consulta_desde_Proyectos10[[#This Row],[PRYApath]]</f>
        <v>095-202-RDIG/0020/0004/0008</v>
      </c>
      <c r="X156" t="str">
        <f>Tabla_Consulta_desde_Proyectos10[[#This Row],[PRYAcodigo]]&amp;" - "&amp;Tabla_Consulta_desde_Proyectos10[[#This Row],[PRYAdescripcion]]</f>
        <v>4 - PRUEBAS</v>
      </c>
      <c r="Y156" t="str">
        <f>SUBSTITUTE(IFERROR(VLOOKUP(LEFT(Tabla_Consulta_desde_Proyectos10[[#This Row],[Nivel1]],LEN(Tabla_Consulta_desde_Proyectos10[[#This Row],[Nivel1]])-5),Tabla_Consulta_desde_Proyectos10[[#All],[Nivel1]:[Actividad]],2,FALSE),""),"_","-")</f>
        <v>2 - TAREAS DE DESARROLLO DE DASHBOARD</v>
      </c>
      <c r="Z156" t="str">
        <f>IFERROR(VLOOKUP(Tabla_Consulta_desde_Proyectos10[[#This Row],[PRYRAfecha]],'Fechas Mes'!G:J,4,TRUE),"")</f>
        <v>Semana 48CIP2</v>
      </c>
      <c r="AA156" t="str" cm="1">
        <f t="array" ref="AA156">INDEX('Fechas Mes'!F:F,MATCH(Tabla_Consulta_desde_Proyectos10[[#This Row],[Semana]],'Fechas Mes'!J:J,0),)</f>
        <v>M12CIP2</v>
      </c>
      <c r="AB156">
        <f>YEAR(Tabla_Consulta_desde_Proyectos10[[#This Row],[PRYRAfecha]])</f>
        <v>2026</v>
      </c>
      <c r="AC156" t="str">
        <f>VLOOKUP(Tabla_Consulta_desde_Proyectos10[[#This Row],[PRYRAfecha]],'Fechas Mes'!G:J,4,TRUE)</f>
        <v>Semana 48CIP2</v>
      </c>
      <c r="AD156" t="str">
        <f>IFERROR(VLOOKUP(Tabla_Consulta_desde_Proyectos10[[#This Row],[PRYcodigo]],Catálogo!A:B,2,FALSE),"Otros")</f>
        <v>Otros</v>
      </c>
      <c r="AE156" t="str">
        <f>IF(LEN(Tabla_Consulta_desde_Proyectos10[[#This Row],[Semana]])&lt;13,"CI",RIGHT(Tabla_Consulta_desde_Proyectos10[[#This Row],[Semana]],4))</f>
        <v>CIP2</v>
      </c>
    </row>
    <row r="157" spans="1:31">
      <c r="A157" t="s">
        <v>4032</v>
      </c>
      <c r="B157" t="s">
        <v>6752</v>
      </c>
      <c r="C157" t="s">
        <v>6753</v>
      </c>
      <c r="D157" t="s">
        <v>7208</v>
      </c>
      <c r="E157" t="s">
        <v>7573</v>
      </c>
      <c r="F157">
        <v>2</v>
      </c>
      <c r="G157" t="s">
        <v>7574</v>
      </c>
      <c r="H157" t="s">
        <v>790</v>
      </c>
      <c r="I157" t="s">
        <v>791</v>
      </c>
      <c r="J157" t="s">
        <v>919</v>
      </c>
      <c r="K157" t="s">
        <v>920</v>
      </c>
      <c r="L157" s="4">
        <v>46125</v>
      </c>
      <c r="M157" t="s">
        <v>7641</v>
      </c>
      <c r="N157">
        <v>4</v>
      </c>
      <c r="O157">
        <v>3000000001829193</v>
      </c>
      <c r="W157" t="str">
        <f>Tabla_Consulta_desde_Proyectos10[[#This Row],[PRYcodigo]]&amp;Tabla_Consulta_desde_Proyectos10[[#This Row],[PRYApath]]</f>
        <v>095-202-RDIG/0020/0004/0008</v>
      </c>
      <c r="X157" t="str">
        <f>Tabla_Consulta_desde_Proyectos10[[#This Row],[PRYAcodigo]]&amp;" - "&amp;Tabla_Consulta_desde_Proyectos10[[#This Row],[PRYAdescripcion]]</f>
        <v>4 - PRUEBAS</v>
      </c>
      <c r="Y157" t="str">
        <f>SUBSTITUTE(IFERROR(VLOOKUP(LEFT(Tabla_Consulta_desde_Proyectos10[[#This Row],[Nivel1]],LEN(Tabla_Consulta_desde_Proyectos10[[#This Row],[Nivel1]])-5),Tabla_Consulta_desde_Proyectos10[[#All],[Nivel1]:[Actividad]],2,FALSE),""),"_","-")</f>
        <v>2 - TAREAS DE DESARROLLO DE DASHBOARD</v>
      </c>
      <c r="Z157" t="str">
        <f>IFERROR(VLOOKUP(Tabla_Consulta_desde_Proyectos10[[#This Row],[PRYRAfecha]],'Fechas Mes'!G:J,4,TRUE),"")</f>
        <v>Semana 48CIP2</v>
      </c>
      <c r="AA157" t="str" cm="1">
        <f t="array" ref="AA157">INDEX('Fechas Mes'!F:F,MATCH(Tabla_Consulta_desde_Proyectos10[[#This Row],[Semana]],'Fechas Mes'!J:J,0),)</f>
        <v>M12CIP2</v>
      </c>
      <c r="AB157">
        <f>YEAR(Tabla_Consulta_desde_Proyectos10[[#This Row],[PRYRAfecha]])</f>
        <v>2026</v>
      </c>
      <c r="AC157" t="str">
        <f>VLOOKUP(Tabla_Consulta_desde_Proyectos10[[#This Row],[PRYRAfecha]],'Fechas Mes'!G:J,4,TRUE)</f>
        <v>Semana 48CIP2</v>
      </c>
      <c r="AD157" t="str">
        <f>IFERROR(VLOOKUP(Tabla_Consulta_desde_Proyectos10[[#This Row],[PRYcodigo]],Catálogo!A:B,2,FALSE),"Otros")</f>
        <v>Otros</v>
      </c>
      <c r="AE157" t="str">
        <f>IF(LEN(Tabla_Consulta_desde_Proyectos10[[#This Row],[Semana]])&lt;13,"CI",RIGHT(Tabla_Consulta_desde_Proyectos10[[#This Row],[Semana]],4))</f>
        <v>CIP2</v>
      </c>
    </row>
    <row r="158" spans="1:31">
      <c r="A158" t="s">
        <v>4032</v>
      </c>
      <c r="B158" t="s">
        <v>6752</v>
      </c>
      <c r="C158" t="s">
        <v>6753</v>
      </c>
      <c r="D158" t="s">
        <v>7208</v>
      </c>
      <c r="E158" t="s">
        <v>7573</v>
      </c>
      <c r="F158">
        <v>2</v>
      </c>
      <c r="G158" t="s">
        <v>7574</v>
      </c>
      <c r="H158" t="s">
        <v>790</v>
      </c>
      <c r="I158" t="s">
        <v>791</v>
      </c>
      <c r="J158" t="s">
        <v>919</v>
      </c>
      <c r="K158" t="s">
        <v>920</v>
      </c>
      <c r="L158" s="4">
        <v>46125</v>
      </c>
      <c r="M158" t="s">
        <v>7642</v>
      </c>
      <c r="N158">
        <v>2</v>
      </c>
      <c r="O158">
        <v>3000000001829196</v>
      </c>
      <c r="W158" t="str">
        <f>Tabla_Consulta_desde_Proyectos10[[#This Row],[PRYcodigo]]&amp;Tabla_Consulta_desde_Proyectos10[[#This Row],[PRYApath]]</f>
        <v>095-202-RDIG/0020/0004/0008</v>
      </c>
      <c r="X158" t="str">
        <f>Tabla_Consulta_desde_Proyectos10[[#This Row],[PRYAcodigo]]&amp;" - "&amp;Tabla_Consulta_desde_Proyectos10[[#This Row],[PRYAdescripcion]]</f>
        <v>4 - PRUEBAS</v>
      </c>
      <c r="Y158" t="str">
        <f>SUBSTITUTE(IFERROR(VLOOKUP(LEFT(Tabla_Consulta_desde_Proyectos10[[#This Row],[Nivel1]],LEN(Tabla_Consulta_desde_Proyectos10[[#This Row],[Nivel1]])-5),Tabla_Consulta_desde_Proyectos10[[#All],[Nivel1]:[Actividad]],2,FALSE),""),"_","-")</f>
        <v>2 - TAREAS DE DESARROLLO DE DASHBOARD</v>
      </c>
      <c r="Z158" t="str">
        <f>IFERROR(VLOOKUP(Tabla_Consulta_desde_Proyectos10[[#This Row],[PRYRAfecha]],'Fechas Mes'!G:J,4,TRUE),"")</f>
        <v>Semana 48CIP2</v>
      </c>
      <c r="AA158" t="str" cm="1">
        <f t="array" ref="AA158">INDEX('Fechas Mes'!F:F,MATCH(Tabla_Consulta_desde_Proyectos10[[#This Row],[Semana]],'Fechas Mes'!J:J,0),)</f>
        <v>M12CIP2</v>
      </c>
      <c r="AB158">
        <f>YEAR(Tabla_Consulta_desde_Proyectos10[[#This Row],[PRYRAfecha]])</f>
        <v>2026</v>
      </c>
      <c r="AC158" t="str">
        <f>VLOOKUP(Tabla_Consulta_desde_Proyectos10[[#This Row],[PRYRAfecha]],'Fechas Mes'!G:J,4,TRUE)</f>
        <v>Semana 48CIP2</v>
      </c>
      <c r="AD158" t="str">
        <f>IFERROR(VLOOKUP(Tabla_Consulta_desde_Proyectos10[[#This Row],[PRYcodigo]],Catálogo!A:B,2,FALSE),"Otros")</f>
        <v>Otros</v>
      </c>
      <c r="AE158" t="str">
        <f>IF(LEN(Tabla_Consulta_desde_Proyectos10[[#This Row],[Semana]])&lt;13,"CI",RIGHT(Tabla_Consulta_desde_Proyectos10[[#This Row],[Semana]],4))</f>
        <v>CIP2</v>
      </c>
    </row>
    <row r="159" spans="1:31">
      <c r="A159" t="s">
        <v>4032</v>
      </c>
      <c r="B159" t="s">
        <v>6752</v>
      </c>
      <c r="C159" t="s">
        <v>6753</v>
      </c>
      <c r="D159" t="s">
        <v>7208</v>
      </c>
      <c r="E159" t="s">
        <v>7573</v>
      </c>
      <c r="F159">
        <v>2</v>
      </c>
      <c r="G159" t="s">
        <v>7574</v>
      </c>
      <c r="H159" t="s">
        <v>790</v>
      </c>
      <c r="I159" t="s">
        <v>791</v>
      </c>
      <c r="J159" t="s">
        <v>919</v>
      </c>
      <c r="K159" t="s">
        <v>920</v>
      </c>
      <c r="L159" s="4">
        <v>46126</v>
      </c>
      <c r="M159" t="s">
        <v>7643</v>
      </c>
      <c r="N159">
        <v>1</v>
      </c>
      <c r="O159">
        <v>3000000001829197</v>
      </c>
      <c r="W159" t="str">
        <f>Tabla_Consulta_desde_Proyectos10[[#This Row],[PRYcodigo]]&amp;Tabla_Consulta_desde_Proyectos10[[#This Row],[PRYApath]]</f>
        <v>095-202-RDIG/0020/0004/0008</v>
      </c>
      <c r="X159" t="str">
        <f>Tabla_Consulta_desde_Proyectos10[[#This Row],[PRYAcodigo]]&amp;" - "&amp;Tabla_Consulta_desde_Proyectos10[[#This Row],[PRYAdescripcion]]</f>
        <v>4 - PRUEBAS</v>
      </c>
      <c r="Y159" t="str">
        <f>SUBSTITUTE(IFERROR(VLOOKUP(LEFT(Tabla_Consulta_desde_Proyectos10[[#This Row],[Nivel1]],LEN(Tabla_Consulta_desde_Proyectos10[[#This Row],[Nivel1]])-5),Tabla_Consulta_desde_Proyectos10[[#All],[Nivel1]:[Actividad]],2,FALSE),""),"_","-")</f>
        <v>2 - TAREAS DE DESARROLLO DE DASHBOARD</v>
      </c>
      <c r="Z159" t="str">
        <f>IFERROR(VLOOKUP(Tabla_Consulta_desde_Proyectos10[[#This Row],[PRYRAfecha]],'Fechas Mes'!G:J,4,TRUE),"")</f>
        <v>Semana 48CIP2</v>
      </c>
      <c r="AA159" t="str" cm="1">
        <f t="array" ref="AA159">INDEX('Fechas Mes'!F:F,MATCH(Tabla_Consulta_desde_Proyectos10[[#This Row],[Semana]],'Fechas Mes'!J:J,0),)</f>
        <v>M12CIP2</v>
      </c>
      <c r="AB159">
        <f>YEAR(Tabla_Consulta_desde_Proyectos10[[#This Row],[PRYRAfecha]])</f>
        <v>2026</v>
      </c>
      <c r="AC159" t="str">
        <f>VLOOKUP(Tabla_Consulta_desde_Proyectos10[[#This Row],[PRYRAfecha]],'Fechas Mes'!G:J,4,TRUE)</f>
        <v>Semana 48CIP2</v>
      </c>
      <c r="AD159" t="str">
        <f>IFERROR(VLOOKUP(Tabla_Consulta_desde_Proyectos10[[#This Row],[PRYcodigo]],Catálogo!A:B,2,FALSE),"Otros")</f>
        <v>Otros</v>
      </c>
      <c r="AE159" t="str">
        <f>IF(LEN(Tabla_Consulta_desde_Proyectos10[[#This Row],[Semana]])&lt;13,"CI",RIGHT(Tabla_Consulta_desde_Proyectos10[[#This Row],[Semana]],4))</f>
        <v>CIP2</v>
      </c>
    </row>
    <row r="160" spans="1:31">
      <c r="A160" t="s">
        <v>4032</v>
      </c>
      <c r="B160" t="s">
        <v>6752</v>
      </c>
      <c r="C160" t="s">
        <v>6753</v>
      </c>
      <c r="D160" t="s">
        <v>7208</v>
      </c>
      <c r="E160" t="s">
        <v>7573</v>
      </c>
      <c r="F160">
        <v>2</v>
      </c>
      <c r="G160" t="s">
        <v>7574</v>
      </c>
      <c r="H160" t="s">
        <v>790</v>
      </c>
      <c r="I160" t="s">
        <v>791</v>
      </c>
      <c r="J160" t="s">
        <v>919</v>
      </c>
      <c r="K160" t="s">
        <v>920</v>
      </c>
      <c r="L160" s="4">
        <v>46126</v>
      </c>
      <c r="M160" t="s">
        <v>7644</v>
      </c>
      <c r="N160">
        <v>2</v>
      </c>
      <c r="O160">
        <v>3000000001829198</v>
      </c>
      <c r="W160" t="str">
        <f>Tabla_Consulta_desde_Proyectos10[[#This Row],[PRYcodigo]]&amp;Tabla_Consulta_desde_Proyectos10[[#This Row],[PRYApath]]</f>
        <v>095-202-RDIG/0020/0004/0008</v>
      </c>
      <c r="X160" t="str">
        <f>Tabla_Consulta_desde_Proyectos10[[#This Row],[PRYAcodigo]]&amp;" - "&amp;Tabla_Consulta_desde_Proyectos10[[#This Row],[PRYAdescripcion]]</f>
        <v>4 - PRUEBAS</v>
      </c>
      <c r="Y160" t="str">
        <f>SUBSTITUTE(IFERROR(VLOOKUP(LEFT(Tabla_Consulta_desde_Proyectos10[[#This Row],[Nivel1]],LEN(Tabla_Consulta_desde_Proyectos10[[#This Row],[Nivel1]])-5),Tabla_Consulta_desde_Proyectos10[[#All],[Nivel1]:[Actividad]],2,FALSE),""),"_","-")</f>
        <v>2 - TAREAS DE DESARROLLO DE DASHBOARD</v>
      </c>
      <c r="Z160" t="str">
        <f>IFERROR(VLOOKUP(Tabla_Consulta_desde_Proyectos10[[#This Row],[PRYRAfecha]],'Fechas Mes'!G:J,4,TRUE),"")</f>
        <v>Semana 48CIP2</v>
      </c>
      <c r="AA160" t="str" cm="1">
        <f t="array" ref="AA160">INDEX('Fechas Mes'!F:F,MATCH(Tabla_Consulta_desde_Proyectos10[[#This Row],[Semana]],'Fechas Mes'!J:J,0),)</f>
        <v>M12CIP2</v>
      </c>
      <c r="AB160">
        <f>YEAR(Tabla_Consulta_desde_Proyectos10[[#This Row],[PRYRAfecha]])</f>
        <v>2026</v>
      </c>
      <c r="AC160" t="str">
        <f>VLOOKUP(Tabla_Consulta_desde_Proyectos10[[#This Row],[PRYRAfecha]],'Fechas Mes'!G:J,4,TRUE)</f>
        <v>Semana 48CIP2</v>
      </c>
      <c r="AD160" t="str">
        <f>IFERROR(VLOOKUP(Tabla_Consulta_desde_Proyectos10[[#This Row],[PRYcodigo]],Catálogo!A:B,2,FALSE),"Otros")</f>
        <v>Otros</v>
      </c>
      <c r="AE160" t="str">
        <f>IF(LEN(Tabla_Consulta_desde_Proyectos10[[#This Row],[Semana]])&lt;13,"CI",RIGHT(Tabla_Consulta_desde_Proyectos10[[#This Row],[Semana]],4))</f>
        <v>CIP2</v>
      </c>
    </row>
    <row r="161" spans="1:31">
      <c r="A161" t="s">
        <v>4032</v>
      </c>
      <c r="B161" t="s">
        <v>6752</v>
      </c>
      <c r="C161" t="s">
        <v>6753</v>
      </c>
      <c r="D161" t="s">
        <v>7208</v>
      </c>
      <c r="E161" t="s">
        <v>7573</v>
      </c>
      <c r="F161">
        <v>2</v>
      </c>
      <c r="G161" t="s">
        <v>7574</v>
      </c>
      <c r="H161" t="s">
        <v>790</v>
      </c>
      <c r="I161" t="s">
        <v>791</v>
      </c>
      <c r="J161" t="s">
        <v>919</v>
      </c>
      <c r="K161" t="s">
        <v>920</v>
      </c>
      <c r="L161" s="4">
        <v>46126</v>
      </c>
      <c r="M161" t="s">
        <v>7645</v>
      </c>
      <c r="N161">
        <v>5</v>
      </c>
      <c r="O161">
        <v>3000000001829199</v>
      </c>
      <c r="W161" t="str">
        <f>Tabla_Consulta_desde_Proyectos10[[#This Row],[PRYcodigo]]&amp;Tabla_Consulta_desde_Proyectos10[[#This Row],[PRYApath]]</f>
        <v>095-202-RDIG/0020/0004/0008</v>
      </c>
      <c r="X161" t="str">
        <f>Tabla_Consulta_desde_Proyectos10[[#This Row],[PRYAcodigo]]&amp;" - "&amp;Tabla_Consulta_desde_Proyectos10[[#This Row],[PRYAdescripcion]]</f>
        <v>4 - PRUEBAS</v>
      </c>
      <c r="Y161" t="str">
        <f>SUBSTITUTE(IFERROR(VLOOKUP(LEFT(Tabla_Consulta_desde_Proyectos10[[#This Row],[Nivel1]],LEN(Tabla_Consulta_desde_Proyectos10[[#This Row],[Nivel1]])-5),Tabla_Consulta_desde_Proyectos10[[#All],[Nivel1]:[Actividad]],2,FALSE),""),"_","-")</f>
        <v>2 - TAREAS DE DESARROLLO DE DASHBOARD</v>
      </c>
      <c r="Z161" t="str">
        <f>IFERROR(VLOOKUP(Tabla_Consulta_desde_Proyectos10[[#This Row],[PRYRAfecha]],'Fechas Mes'!G:J,4,TRUE),"")</f>
        <v>Semana 48CIP2</v>
      </c>
      <c r="AA161" t="str" cm="1">
        <f t="array" ref="AA161">INDEX('Fechas Mes'!F:F,MATCH(Tabla_Consulta_desde_Proyectos10[[#This Row],[Semana]],'Fechas Mes'!J:J,0),)</f>
        <v>M12CIP2</v>
      </c>
      <c r="AB161">
        <f>YEAR(Tabla_Consulta_desde_Proyectos10[[#This Row],[PRYRAfecha]])</f>
        <v>2026</v>
      </c>
      <c r="AC161" t="str">
        <f>VLOOKUP(Tabla_Consulta_desde_Proyectos10[[#This Row],[PRYRAfecha]],'Fechas Mes'!G:J,4,TRUE)</f>
        <v>Semana 48CIP2</v>
      </c>
      <c r="AD161" t="str">
        <f>IFERROR(VLOOKUP(Tabla_Consulta_desde_Proyectos10[[#This Row],[PRYcodigo]],Catálogo!A:B,2,FALSE),"Otros")</f>
        <v>Otros</v>
      </c>
      <c r="AE161" t="str">
        <f>IF(LEN(Tabla_Consulta_desde_Proyectos10[[#This Row],[Semana]])&lt;13,"CI",RIGHT(Tabla_Consulta_desde_Proyectos10[[#This Row],[Semana]],4))</f>
        <v>CIP2</v>
      </c>
    </row>
    <row r="162" spans="1:31">
      <c r="A162" t="s">
        <v>4032</v>
      </c>
      <c r="B162" t="s">
        <v>6752</v>
      </c>
      <c r="C162" t="s">
        <v>6753</v>
      </c>
      <c r="D162" t="s">
        <v>7208</v>
      </c>
      <c r="E162" t="s">
        <v>7573</v>
      </c>
      <c r="F162">
        <v>2</v>
      </c>
      <c r="G162" t="s">
        <v>7574</v>
      </c>
      <c r="H162" t="s">
        <v>790</v>
      </c>
      <c r="I162" t="s">
        <v>791</v>
      </c>
      <c r="J162" t="s">
        <v>919</v>
      </c>
      <c r="K162" t="s">
        <v>920</v>
      </c>
      <c r="L162" s="4">
        <v>46127</v>
      </c>
      <c r="M162" t="s">
        <v>7646</v>
      </c>
      <c r="N162">
        <v>8</v>
      </c>
      <c r="O162">
        <v>3000000001829201</v>
      </c>
      <c r="W162" t="str">
        <f>Tabla_Consulta_desde_Proyectos10[[#This Row],[PRYcodigo]]&amp;Tabla_Consulta_desde_Proyectos10[[#This Row],[PRYApath]]</f>
        <v>095-202-RDIG/0020/0004/0008</v>
      </c>
      <c r="X162" t="str">
        <f>Tabla_Consulta_desde_Proyectos10[[#This Row],[PRYAcodigo]]&amp;" - "&amp;Tabla_Consulta_desde_Proyectos10[[#This Row],[PRYAdescripcion]]</f>
        <v>4 - PRUEBAS</v>
      </c>
      <c r="Y162" t="str">
        <f>SUBSTITUTE(IFERROR(VLOOKUP(LEFT(Tabla_Consulta_desde_Proyectos10[[#This Row],[Nivel1]],LEN(Tabla_Consulta_desde_Proyectos10[[#This Row],[Nivel1]])-5),Tabla_Consulta_desde_Proyectos10[[#All],[Nivel1]:[Actividad]],2,FALSE),""),"_","-")</f>
        <v>2 - TAREAS DE DESARROLLO DE DASHBOARD</v>
      </c>
      <c r="Z162" t="str">
        <f>IFERROR(VLOOKUP(Tabla_Consulta_desde_Proyectos10[[#This Row],[PRYRAfecha]],'Fechas Mes'!G:J,4,TRUE),"")</f>
        <v>Semana 48CIP2</v>
      </c>
      <c r="AA162" t="str" cm="1">
        <f t="array" ref="AA162">INDEX('Fechas Mes'!F:F,MATCH(Tabla_Consulta_desde_Proyectos10[[#This Row],[Semana]],'Fechas Mes'!J:J,0),)</f>
        <v>M12CIP2</v>
      </c>
      <c r="AB162">
        <f>YEAR(Tabla_Consulta_desde_Proyectos10[[#This Row],[PRYRAfecha]])</f>
        <v>2026</v>
      </c>
      <c r="AC162" t="str">
        <f>VLOOKUP(Tabla_Consulta_desde_Proyectos10[[#This Row],[PRYRAfecha]],'Fechas Mes'!G:J,4,TRUE)</f>
        <v>Semana 48CIP2</v>
      </c>
      <c r="AD162" t="str">
        <f>IFERROR(VLOOKUP(Tabla_Consulta_desde_Proyectos10[[#This Row],[PRYcodigo]],Catálogo!A:B,2,FALSE),"Otros")</f>
        <v>Otros</v>
      </c>
      <c r="AE162" t="str">
        <f>IF(LEN(Tabla_Consulta_desde_Proyectos10[[#This Row],[Semana]])&lt;13,"CI",RIGHT(Tabla_Consulta_desde_Proyectos10[[#This Row],[Semana]],4))</f>
        <v>CIP2</v>
      </c>
    </row>
    <row r="163" spans="1:31">
      <c r="A163" t="s">
        <v>4032</v>
      </c>
      <c r="B163" t="s">
        <v>6752</v>
      </c>
      <c r="C163" t="s">
        <v>6753</v>
      </c>
      <c r="D163" t="s">
        <v>7208</v>
      </c>
      <c r="E163" t="s">
        <v>7573</v>
      </c>
      <c r="F163">
        <v>2</v>
      </c>
      <c r="G163" t="s">
        <v>7574</v>
      </c>
      <c r="H163" t="s">
        <v>790</v>
      </c>
      <c r="I163" t="s">
        <v>791</v>
      </c>
      <c r="J163" t="s">
        <v>919</v>
      </c>
      <c r="K163" t="s">
        <v>920</v>
      </c>
      <c r="L163" s="4">
        <v>46128</v>
      </c>
      <c r="M163" t="s">
        <v>7647</v>
      </c>
      <c r="N163">
        <v>3</v>
      </c>
      <c r="O163">
        <v>3000000001829203</v>
      </c>
      <c r="W163" t="str">
        <f>Tabla_Consulta_desde_Proyectos10[[#This Row],[PRYcodigo]]&amp;Tabla_Consulta_desde_Proyectos10[[#This Row],[PRYApath]]</f>
        <v>095-202-RDIG/0020/0004/0008</v>
      </c>
      <c r="X163" t="str">
        <f>Tabla_Consulta_desde_Proyectos10[[#This Row],[PRYAcodigo]]&amp;" - "&amp;Tabla_Consulta_desde_Proyectos10[[#This Row],[PRYAdescripcion]]</f>
        <v>4 - PRUEBAS</v>
      </c>
      <c r="Y163" t="str">
        <f>SUBSTITUTE(IFERROR(VLOOKUP(LEFT(Tabla_Consulta_desde_Proyectos10[[#This Row],[Nivel1]],LEN(Tabla_Consulta_desde_Proyectos10[[#This Row],[Nivel1]])-5),Tabla_Consulta_desde_Proyectos10[[#All],[Nivel1]:[Actividad]],2,FALSE),""),"_","-")</f>
        <v>2 - TAREAS DE DESARROLLO DE DASHBOARD</v>
      </c>
      <c r="Z163" t="str">
        <f>IFERROR(VLOOKUP(Tabla_Consulta_desde_Proyectos10[[#This Row],[PRYRAfecha]],'Fechas Mes'!G:J,4,TRUE),"")</f>
        <v>Semana 48CIP2</v>
      </c>
      <c r="AA163" t="str" cm="1">
        <f t="array" ref="AA163">INDEX('Fechas Mes'!F:F,MATCH(Tabla_Consulta_desde_Proyectos10[[#This Row],[Semana]],'Fechas Mes'!J:J,0),)</f>
        <v>M12CIP2</v>
      </c>
      <c r="AB163">
        <f>YEAR(Tabla_Consulta_desde_Proyectos10[[#This Row],[PRYRAfecha]])</f>
        <v>2026</v>
      </c>
      <c r="AC163" t="str">
        <f>VLOOKUP(Tabla_Consulta_desde_Proyectos10[[#This Row],[PRYRAfecha]],'Fechas Mes'!G:J,4,TRUE)</f>
        <v>Semana 48CIP2</v>
      </c>
      <c r="AD163" t="str">
        <f>IFERROR(VLOOKUP(Tabla_Consulta_desde_Proyectos10[[#This Row],[PRYcodigo]],Catálogo!A:B,2,FALSE),"Otros")</f>
        <v>Otros</v>
      </c>
      <c r="AE163" t="str">
        <f>IF(LEN(Tabla_Consulta_desde_Proyectos10[[#This Row],[Semana]])&lt;13,"CI",RIGHT(Tabla_Consulta_desde_Proyectos10[[#This Row],[Semana]],4))</f>
        <v>CIP2</v>
      </c>
    </row>
    <row r="164" spans="1:31">
      <c r="A164" t="s">
        <v>4032</v>
      </c>
      <c r="B164" t="s">
        <v>6752</v>
      </c>
      <c r="C164" t="s">
        <v>6753</v>
      </c>
      <c r="D164" t="s">
        <v>7208</v>
      </c>
      <c r="E164" t="s">
        <v>7573</v>
      </c>
      <c r="F164">
        <v>2</v>
      </c>
      <c r="G164" t="s">
        <v>7574</v>
      </c>
      <c r="H164" t="s">
        <v>790</v>
      </c>
      <c r="I164" t="s">
        <v>791</v>
      </c>
      <c r="J164" t="s">
        <v>919</v>
      </c>
      <c r="K164" t="s">
        <v>920</v>
      </c>
      <c r="L164" s="4">
        <v>46128</v>
      </c>
      <c r="M164" t="s">
        <v>7648</v>
      </c>
      <c r="N164">
        <v>4</v>
      </c>
      <c r="O164">
        <v>3000000001829204</v>
      </c>
      <c r="W164" t="str">
        <f>Tabla_Consulta_desde_Proyectos10[[#This Row],[PRYcodigo]]&amp;Tabla_Consulta_desde_Proyectos10[[#This Row],[PRYApath]]</f>
        <v>095-202-RDIG/0020/0004/0008</v>
      </c>
      <c r="X164" t="str">
        <f>Tabla_Consulta_desde_Proyectos10[[#This Row],[PRYAcodigo]]&amp;" - "&amp;Tabla_Consulta_desde_Proyectos10[[#This Row],[PRYAdescripcion]]</f>
        <v>4 - PRUEBAS</v>
      </c>
      <c r="Y164" t="str">
        <f>SUBSTITUTE(IFERROR(VLOOKUP(LEFT(Tabla_Consulta_desde_Proyectos10[[#This Row],[Nivel1]],LEN(Tabla_Consulta_desde_Proyectos10[[#This Row],[Nivel1]])-5),Tabla_Consulta_desde_Proyectos10[[#All],[Nivel1]:[Actividad]],2,FALSE),""),"_","-")</f>
        <v>2 - TAREAS DE DESARROLLO DE DASHBOARD</v>
      </c>
      <c r="Z164" t="str">
        <f>IFERROR(VLOOKUP(Tabla_Consulta_desde_Proyectos10[[#This Row],[PRYRAfecha]],'Fechas Mes'!G:J,4,TRUE),"")</f>
        <v>Semana 48CIP2</v>
      </c>
      <c r="AA164" t="str" cm="1">
        <f t="array" ref="AA164">INDEX('Fechas Mes'!F:F,MATCH(Tabla_Consulta_desde_Proyectos10[[#This Row],[Semana]],'Fechas Mes'!J:J,0),)</f>
        <v>M12CIP2</v>
      </c>
      <c r="AB164">
        <f>YEAR(Tabla_Consulta_desde_Proyectos10[[#This Row],[PRYRAfecha]])</f>
        <v>2026</v>
      </c>
      <c r="AC164" t="str">
        <f>VLOOKUP(Tabla_Consulta_desde_Proyectos10[[#This Row],[PRYRAfecha]],'Fechas Mes'!G:J,4,TRUE)</f>
        <v>Semana 48CIP2</v>
      </c>
      <c r="AD164" t="str">
        <f>IFERROR(VLOOKUP(Tabla_Consulta_desde_Proyectos10[[#This Row],[PRYcodigo]],Catálogo!A:B,2,FALSE),"Otros")</f>
        <v>Otros</v>
      </c>
      <c r="AE164" t="str">
        <f>IF(LEN(Tabla_Consulta_desde_Proyectos10[[#This Row],[Semana]])&lt;13,"CI",RIGHT(Tabla_Consulta_desde_Proyectos10[[#This Row],[Semana]],4))</f>
        <v>CIP2</v>
      </c>
    </row>
    <row r="165" spans="1:31">
      <c r="A165" t="s">
        <v>4032</v>
      </c>
      <c r="B165" t="s">
        <v>6752</v>
      </c>
      <c r="C165" t="s">
        <v>6753</v>
      </c>
      <c r="D165" t="s">
        <v>7208</v>
      </c>
      <c r="E165" t="s">
        <v>7573</v>
      </c>
      <c r="F165">
        <v>2</v>
      </c>
      <c r="G165" t="s">
        <v>7574</v>
      </c>
      <c r="H165" t="s">
        <v>790</v>
      </c>
      <c r="I165" t="s">
        <v>791</v>
      </c>
      <c r="J165" t="s">
        <v>919</v>
      </c>
      <c r="K165" t="s">
        <v>920</v>
      </c>
      <c r="L165" s="4">
        <v>46129</v>
      </c>
      <c r="M165" t="s">
        <v>7649</v>
      </c>
      <c r="N165">
        <v>2</v>
      </c>
      <c r="O165">
        <v>3000000001829208</v>
      </c>
      <c r="W165" t="str">
        <f>Tabla_Consulta_desde_Proyectos10[[#This Row],[PRYcodigo]]&amp;Tabla_Consulta_desde_Proyectos10[[#This Row],[PRYApath]]</f>
        <v>095-202-RDIG/0020/0004/0008</v>
      </c>
      <c r="X165" t="str">
        <f>Tabla_Consulta_desde_Proyectos10[[#This Row],[PRYAcodigo]]&amp;" - "&amp;Tabla_Consulta_desde_Proyectos10[[#This Row],[PRYAdescripcion]]</f>
        <v>4 - PRUEBAS</v>
      </c>
      <c r="Y165" t="str">
        <f>SUBSTITUTE(IFERROR(VLOOKUP(LEFT(Tabla_Consulta_desde_Proyectos10[[#This Row],[Nivel1]],LEN(Tabla_Consulta_desde_Proyectos10[[#This Row],[Nivel1]])-5),Tabla_Consulta_desde_Proyectos10[[#All],[Nivel1]:[Actividad]],2,FALSE),""),"_","-")</f>
        <v>2 - TAREAS DE DESARROLLO DE DASHBOARD</v>
      </c>
      <c r="Z165" t="str">
        <f>IFERROR(VLOOKUP(Tabla_Consulta_desde_Proyectos10[[#This Row],[PRYRAfecha]],'Fechas Mes'!G:J,4,TRUE),"")</f>
        <v>Semana 48CIP2</v>
      </c>
      <c r="AA165" t="str" cm="1">
        <f t="array" ref="AA165">INDEX('Fechas Mes'!F:F,MATCH(Tabla_Consulta_desde_Proyectos10[[#This Row],[Semana]],'Fechas Mes'!J:J,0),)</f>
        <v>M12CIP2</v>
      </c>
      <c r="AB165">
        <f>YEAR(Tabla_Consulta_desde_Proyectos10[[#This Row],[PRYRAfecha]])</f>
        <v>2026</v>
      </c>
      <c r="AC165" t="str">
        <f>VLOOKUP(Tabla_Consulta_desde_Proyectos10[[#This Row],[PRYRAfecha]],'Fechas Mes'!G:J,4,TRUE)</f>
        <v>Semana 48CIP2</v>
      </c>
      <c r="AD165" t="str">
        <f>IFERROR(VLOOKUP(Tabla_Consulta_desde_Proyectos10[[#This Row],[PRYcodigo]],Catálogo!A:B,2,FALSE),"Otros")</f>
        <v>Otros</v>
      </c>
      <c r="AE165" t="str">
        <f>IF(LEN(Tabla_Consulta_desde_Proyectos10[[#This Row],[Semana]])&lt;13,"CI",RIGHT(Tabla_Consulta_desde_Proyectos10[[#This Row],[Semana]],4))</f>
        <v>CIP2</v>
      </c>
    </row>
    <row r="166" spans="1:31">
      <c r="A166" t="s">
        <v>4032</v>
      </c>
      <c r="B166" t="s">
        <v>6752</v>
      </c>
      <c r="C166" t="s">
        <v>6753</v>
      </c>
      <c r="D166" t="s">
        <v>7208</v>
      </c>
      <c r="E166" t="s">
        <v>7573</v>
      </c>
      <c r="F166">
        <v>2</v>
      </c>
      <c r="G166" t="s">
        <v>7574</v>
      </c>
      <c r="H166" t="s">
        <v>790</v>
      </c>
      <c r="I166" t="s">
        <v>791</v>
      </c>
      <c r="J166" t="s">
        <v>919</v>
      </c>
      <c r="K166" t="s">
        <v>920</v>
      </c>
      <c r="L166" s="4">
        <v>46129</v>
      </c>
      <c r="M166" t="s">
        <v>7650</v>
      </c>
      <c r="N166">
        <v>4</v>
      </c>
      <c r="O166">
        <v>3000000001829211</v>
      </c>
      <c r="W166" t="str">
        <f>Tabla_Consulta_desde_Proyectos10[[#This Row],[PRYcodigo]]&amp;Tabla_Consulta_desde_Proyectos10[[#This Row],[PRYApath]]</f>
        <v>095-202-RDIG/0020/0004/0008</v>
      </c>
      <c r="X166" t="str">
        <f>Tabla_Consulta_desde_Proyectos10[[#This Row],[PRYAcodigo]]&amp;" - "&amp;Tabla_Consulta_desde_Proyectos10[[#This Row],[PRYAdescripcion]]</f>
        <v>4 - PRUEBAS</v>
      </c>
      <c r="Y166" t="str">
        <f>SUBSTITUTE(IFERROR(VLOOKUP(LEFT(Tabla_Consulta_desde_Proyectos10[[#This Row],[Nivel1]],LEN(Tabla_Consulta_desde_Proyectos10[[#This Row],[Nivel1]])-5),Tabla_Consulta_desde_Proyectos10[[#All],[Nivel1]:[Actividad]],2,FALSE),""),"_","-")</f>
        <v>2 - TAREAS DE DESARROLLO DE DASHBOARD</v>
      </c>
      <c r="Z166" t="str">
        <f>IFERROR(VLOOKUP(Tabla_Consulta_desde_Proyectos10[[#This Row],[PRYRAfecha]],'Fechas Mes'!G:J,4,TRUE),"")</f>
        <v>Semana 48CIP2</v>
      </c>
      <c r="AA166" t="str" cm="1">
        <f t="array" ref="AA166">INDEX('Fechas Mes'!F:F,MATCH(Tabla_Consulta_desde_Proyectos10[[#This Row],[Semana]],'Fechas Mes'!J:J,0),)</f>
        <v>M12CIP2</v>
      </c>
      <c r="AB166">
        <f>YEAR(Tabla_Consulta_desde_Proyectos10[[#This Row],[PRYRAfecha]])</f>
        <v>2026</v>
      </c>
      <c r="AC166" t="str">
        <f>VLOOKUP(Tabla_Consulta_desde_Proyectos10[[#This Row],[PRYRAfecha]],'Fechas Mes'!G:J,4,TRUE)</f>
        <v>Semana 48CIP2</v>
      </c>
      <c r="AD166" t="str">
        <f>IFERROR(VLOOKUP(Tabla_Consulta_desde_Proyectos10[[#This Row],[PRYcodigo]],Catálogo!A:B,2,FALSE),"Otros")</f>
        <v>Otros</v>
      </c>
      <c r="AE166" t="str">
        <f>IF(LEN(Tabla_Consulta_desde_Proyectos10[[#This Row],[Semana]])&lt;13,"CI",RIGHT(Tabla_Consulta_desde_Proyectos10[[#This Row],[Semana]],4))</f>
        <v>CIP2</v>
      </c>
    </row>
    <row r="167" spans="1:31">
      <c r="A167" t="s">
        <v>4032</v>
      </c>
      <c r="B167" t="s">
        <v>6752</v>
      </c>
      <c r="C167" t="s">
        <v>6753</v>
      </c>
      <c r="D167" t="s">
        <v>7208</v>
      </c>
      <c r="E167" t="s">
        <v>7573</v>
      </c>
      <c r="F167">
        <v>2</v>
      </c>
      <c r="G167" t="s">
        <v>7574</v>
      </c>
      <c r="H167" t="s">
        <v>790</v>
      </c>
      <c r="I167" t="s">
        <v>791</v>
      </c>
      <c r="J167" t="s">
        <v>919</v>
      </c>
      <c r="K167" t="s">
        <v>920</v>
      </c>
      <c r="L167" s="4">
        <v>46132</v>
      </c>
      <c r="M167" t="s">
        <v>7651</v>
      </c>
      <c r="N167">
        <v>8</v>
      </c>
      <c r="O167">
        <v>3000000001832784</v>
      </c>
      <c r="W167" t="str">
        <f>Tabla_Consulta_desde_Proyectos10[[#This Row],[PRYcodigo]]&amp;Tabla_Consulta_desde_Proyectos10[[#This Row],[PRYApath]]</f>
        <v>095-202-RDIG/0020/0004/0008</v>
      </c>
      <c r="X167" t="str">
        <f>Tabla_Consulta_desde_Proyectos10[[#This Row],[PRYAcodigo]]&amp;" - "&amp;Tabla_Consulta_desde_Proyectos10[[#This Row],[PRYAdescripcion]]</f>
        <v>4 - PRUEBAS</v>
      </c>
      <c r="Y167" t="str">
        <f>SUBSTITUTE(IFERROR(VLOOKUP(LEFT(Tabla_Consulta_desde_Proyectos10[[#This Row],[Nivel1]],LEN(Tabla_Consulta_desde_Proyectos10[[#This Row],[Nivel1]])-5),Tabla_Consulta_desde_Proyectos10[[#All],[Nivel1]:[Actividad]],2,FALSE),""),"_","-")</f>
        <v>2 - TAREAS DE DESARROLLO DE DASHBOARD</v>
      </c>
      <c r="Z167" t="str">
        <f>IFERROR(VLOOKUP(Tabla_Consulta_desde_Proyectos10[[#This Row],[PRYRAfecha]],'Fechas Mes'!G:J,4,TRUE),"")</f>
        <v>Semana 48CIP2</v>
      </c>
      <c r="AA167" t="str" cm="1">
        <f t="array" ref="AA167">INDEX('Fechas Mes'!F:F,MATCH(Tabla_Consulta_desde_Proyectos10[[#This Row],[Semana]],'Fechas Mes'!J:J,0),)</f>
        <v>M12CIP2</v>
      </c>
      <c r="AB167">
        <f>YEAR(Tabla_Consulta_desde_Proyectos10[[#This Row],[PRYRAfecha]])</f>
        <v>2026</v>
      </c>
      <c r="AC167" t="str">
        <f>VLOOKUP(Tabla_Consulta_desde_Proyectos10[[#This Row],[PRYRAfecha]],'Fechas Mes'!G:J,4,TRUE)</f>
        <v>Semana 48CIP2</v>
      </c>
      <c r="AD167" t="str">
        <f>IFERROR(VLOOKUP(Tabla_Consulta_desde_Proyectos10[[#This Row],[PRYcodigo]],Catálogo!A:B,2,FALSE),"Otros")</f>
        <v>Otros</v>
      </c>
      <c r="AE167" t="str">
        <f>IF(LEN(Tabla_Consulta_desde_Proyectos10[[#This Row],[Semana]])&lt;13,"CI",RIGHT(Tabla_Consulta_desde_Proyectos10[[#This Row],[Semana]],4))</f>
        <v>CIP2</v>
      </c>
    </row>
    <row r="168" spans="1:31">
      <c r="A168" t="s">
        <v>4032</v>
      </c>
      <c r="B168" t="s">
        <v>6752</v>
      </c>
      <c r="C168" t="s">
        <v>6753</v>
      </c>
      <c r="D168" t="s">
        <v>7208</v>
      </c>
      <c r="E168" t="s">
        <v>7573</v>
      </c>
      <c r="F168">
        <v>2</v>
      </c>
      <c r="G168" t="s">
        <v>7574</v>
      </c>
      <c r="H168" t="s">
        <v>790</v>
      </c>
      <c r="I168" t="s">
        <v>791</v>
      </c>
      <c r="J168" t="s">
        <v>919</v>
      </c>
      <c r="K168" t="s">
        <v>920</v>
      </c>
      <c r="L168" s="4">
        <v>46134</v>
      </c>
      <c r="M168" t="s">
        <v>7652</v>
      </c>
      <c r="N168">
        <v>4</v>
      </c>
      <c r="O168">
        <v>3000000001832814</v>
      </c>
      <c r="W168" t="str">
        <f>Tabla_Consulta_desde_Proyectos10[[#This Row],[PRYcodigo]]&amp;Tabla_Consulta_desde_Proyectos10[[#This Row],[PRYApath]]</f>
        <v>095-202-RDIG/0020/0004/0008</v>
      </c>
      <c r="X168" t="str">
        <f>Tabla_Consulta_desde_Proyectos10[[#This Row],[PRYAcodigo]]&amp;" - "&amp;Tabla_Consulta_desde_Proyectos10[[#This Row],[PRYAdescripcion]]</f>
        <v>4 - PRUEBAS</v>
      </c>
      <c r="Y168" t="str">
        <f>SUBSTITUTE(IFERROR(VLOOKUP(LEFT(Tabla_Consulta_desde_Proyectos10[[#This Row],[Nivel1]],LEN(Tabla_Consulta_desde_Proyectos10[[#This Row],[Nivel1]])-5),Tabla_Consulta_desde_Proyectos10[[#All],[Nivel1]:[Actividad]],2,FALSE),""),"_","-")</f>
        <v>2 - TAREAS DE DESARROLLO DE DASHBOARD</v>
      </c>
      <c r="Z168" t="str">
        <f>IFERROR(VLOOKUP(Tabla_Consulta_desde_Proyectos10[[#This Row],[PRYRAfecha]],'Fechas Mes'!G:J,4,TRUE),"")</f>
        <v>Semana 48CIP2</v>
      </c>
      <c r="AA168" t="str" cm="1">
        <f t="array" ref="AA168">INDEX('Fechas Mes'!F:F,MATCH(Tabla_Consulta_desde_Proyectos10[[#This Row],[Semana]],'Fechas Mes'!J:J,0),)</f>
        <v>M12CIP2</v>
      </c>
      <c r="AB168">
        <f>YEAR(Tabla_Consulta_desde_Proyectos10[[#This Row],[PRYRAfecha]])</f>
        <v>2026</v>
      </c>
      <c r="AC168" t="str">
        <f>VLOOKUP(Tabla_Consulta_desde_Proyectos10[[#This Row],[PRYRAfecha]],'Fechas Mes'!G:J,4,TRUE)</f>
        <v>Semana 48CIP2</v>
      </c>
      <c r="AD168" t="str">
        <f>IFERROR(VLOOKUP(Tabla_Consulta_desde_Proyectos10[[#This Row],[PRYcodigo]],Catálogo!A:B,2,FALSE),"Otros")</f>
        <v>Otros</v>
      </c>
      <c r="AE168" t="str">
        <f>IF(LEN(Tabla_Consulta_desde_Proyectos10[[#This Row],[Semana]])&lt;13,"CI",RIGHT(Tabla_Consulta_desde_Proyectos10[[#This Row],[Semana]],4))</f>
        <v>CIP2</v>
      </c>
    </row>
    <row r="169" spans="1:31">
      <c r="A169" t="s">
        <v>4032</v>
      </c>
      <c r="B169" t="s">
        <v>6752</v>
      </c>
      <c r="C169" t="s">
        <v>6753</v>
      </c>
      <c r="D169" t="s">
        <v>7208</v>
      </c>
      <c r="E169" t="s">
        <v>7573</v>
      </c>
      <c r="F169">
        <v>2</v>
      </c>
      <c r="G169" t="s">
        <v>7574</v>
      </c>
      <c r="H169" t="s">
        <v>790</v>
      </c>
      <c r="I169" t="s">
        <v>791</v>
      </c>
      <c r="J169" t="s">
        <v>919</v>
      </c>
      <c r="K169" t="s">
        <v>920</v>
      </c>
      <c r="L169" s="4">
        <v>46142</v>
      </c>
      <c r="M169" t="s">
        <v>7653</v>
      </c>
      <c r="N169">
        <v>7</v>
      </c>
      <c r="O169">
        <v>3000000001836180</v>
      </c>
      <c r="W169" t="str">
        <f>Tabla_Consulta_desde_Proyectos10[[#This Row],[PRYcodigo]]&amp;Tabla_Consulta_desde_Proyectos10[[#This Row],[PRYApath]]</f>
        <v>095-202-RDIG/0020/0004/0008</v>
      </c>
      <c r="X169" t="str">
        <f>Tabla_Consulta_desde_Proyectos10[[#This Row],[PRYAcodigo]]&amp;" - "&amp;Tabla_Consulta_desde_Proyectos10[[#This Row],[PRYAdescripcion]]</f>
        <v>4 - PRUEBAS</v>
      </c>
      <c r="Y169" t="str">
        <f>SUBSTITUTE(IFERROR(VLOOKUP(LEFT(Tabla_Consulta_desde_Proyectos10[[#This Row],[Nivel1]],LEN(Tabla_Consulta_desde_Proyectos10[[#This Row],[Nivel1]])-5),Tabla_Consulta_desde_Proyectos10[[#All],[Nivel1]:[Actividad]],2,FALSE),""),"_","-")</f>
        <v>2 - TAREAS DE DESARROLLO DE DASHBOARD</v>
      </c>
      <c r="Z169" t="str">
        <f>IFERROR(VLOOKUP(Tabla_Consulta_desde_Proyectos10[[#This Row],[PRYRAfecha]],'Fechas Mes'!G:J,4,TRUE),"")</f>
        <v>Semana 48CIP2</v>
      </c>
      <c r="AA169" t="str" cm="1">
        <f t="array" ref="AA169">INDEX('Fechas Mes'!F:F,MATCH(Tabla_Consulta_desde_Proyectos10[[#This Row],[Semana]],'Fechas Mes'!J:J,0),)</f>
        <v>M12CIP2</v>
      </c>
      <c r="AB169">
        <f>YEAR(Tabla_Consulta_desde_Proyectos10[[#This Row],[PRYRAfecha]])</f>
        <v>2026</v>
      </c>
      <c r="AC169" t="str">
        <f>VLOOKUP(Tabla_Consulta_desde_Proyectos10[[#This Row],[PRYRAfecha]],'Fechas Mes'!G:J,4,TRUE)</f>
        <v>Semana 48CIP2</v>
      </c>
      <c r="AD169" t="str">
        <f>IFERROR(VLOOKUP(Tabla_Consulta_desde_Proyectos10[[#This Row],[PRYcodigo]],Catálogo!A:B,2,FALSE),"Otros")</f>
        <v>Otros</v>
      </c>
      <c r="AE169" t="str">
        <f>IF(LEN(Tabla_Consulta_desde_Proyectos10[[#This Row],[Semana]])&lt;13,"CI",RIGHT(Tabla_Consulta_desde_Proyectos10[[#This Row],[Semana]],4))</f>
        <v>CIP2</v>
      </c>
    </row>
    <row r="170" spans="1:31">
      <c r="A170" t="s">
        <v>4032</v>
      </c>
      <c r="B170" t="s">
        <v>6752</v>
      </c>
      <c r="C170" t="s">
        <v>6753</v>
      </c>
      <c r="D170" t="s">
        <v>7208</v>
      </c>
      <c r="E170" t="s">
        <v>7575</v>
      </c>
      <c r="F170">
        <v>1</v>
      </c>
      <c r="G170" t="s">
        <v>7654</v>
      </c>
      <c r="H170" t="s">
        <v>790</v>
      </c>
      <c r="I170" t="s">
        <v>791</v>
      </c>
      <c r="J170" t="s">
        <v>919</v>
      </c>
      <c r="K170" t="s">
        <v>920</v>
      </c>
      <c r="L170" s="4">
        <v>46129</v>
      </c>
      <c r="M170" t="s">
        <v>7655</v>
      </c>
      <c r="N170">
        <v>2</v>
      </c>
      <c r="O170">
        <v>3000000001829212</v>
      </c>
      <c r="W170" t="str">
        <f>Tabla_Consulta_desde_Proyectos10[[#This Row],[PRYcodigo]]&amp;Tabla_Consulta_desde_Proyectos10[[#This Row],[PRYApath]]</f>
        <v>095-202-RDIG/0020/0008</v>
      </c>
      <c r="X170" t="str">
        <f>Tabla_Consulta_desde_Proyectos10[[#This Row],[PRYAcodigo]]&amp;" - "&amp;Tabla_Consulta_desde_Proyectos10[[#This Row],[PRYAdescripcion]]</f>
        <v>4 - REUNIONES INTERNAS</v>
      </c>
      <c r="Y170" t="str">
        <f>SUBSTITUTE(IFERROR(VLOOKUP(LEFT(Tabla_Consulta_desde_Proyectos10[[#This Row],[Nivel1]],LEN(Tabla_Consulta_desde_Proyectos10[[#This Row],[Nivel1]])-5),Tabla_Consulta_desde_Proyectos10[[#All],[Nivel1]:[Actividad]],2,FALSE),""),"_","-")</f>
        <v>176-MCD - MEJORAS AL CORE Y DASHBOARD DE RECETA DIGITAL</v>
      </c>
      <c r="Z170" t="str">
        <f>IFERROR(VLOOKUP(Tabla_Consulta_desde_Proyectos10[[#This Row],[PRYRAfecha]],'Fechas Mes'!G:J,4,TRUE),"")</f>
        <v>Semana 48CIP2</v>
      </c>
      <c r="AA170" t="str" cm="1">
        <f t="array" ref="AA170">INDEX('Fechas Mes'!F:F,MATCH(Tabla_Consulta_desde_Proyectos10[[#This Row],[Semana]],'Fechas Mes'!J:J,0),)</f>
        <v>M12CIP2</v>
      </c>
      <c r="AB170">
        <f>YEAR(Tabla_Consulta_desde_Proyectos10[[#This Row],[PRYRAfecha]])</f>
        <v>2026</v>
      </c>
      <c r="AC170" t="str">
        <f>VLOOKUP(Tabla_Consulta_desde_Proyectos10[[#This Row],[PRYRAfecha]],'Fechas Mes'!G:J,4,TRUE)</f>
        <v>Semana 48CIP2</v>
      </c>
      <c r="AD170" t="str">
        <f>IFERROR(VLOOKUP(Tabla_Consulta_desde_Proyectos10[[#This Row],[PRYcodigo]],Catálogo!A:B,2,FALSE),"Otros")</f>
        <v>Otros</v>
      </c>
      <c r="AE170" t="str">
        <f>IF(LEN(Tabla_Consulta_desde_Proyectos10[[#This Row],[Semana]])&lt;13,"CI",RIGHT(Tabla_Consulta_desde_Proyectos10[[#This Row],[Semana]],4))</f>
        <v>CIP2</v>
      </c>
    </row>
    <row r="171" spans="1:31">
      <c r="A171" t="s">
        <v>4032</v>
      </c>
      <c r="B171" t="s">
        <v>6752</v>
      </c>
      <c r="C171" t="s">
        <v>6753</v>
      </c>
      <c r="D171" t="s">
        <v>7208</v>
      </c>
      <c r="E171" t="s">
        <v>7575</v>
      </c>
      <c r="F171">
        <v>1</v>
      </c>
      <c r="G171" t="s">
        <v>7654</v>
      </c>
      <c r="H171" t="s">
        <v>790</v>
      </c>
      <c r="I171" t="s">
        <v>791</v>
      </c>
      <c r="J171" t="s">
        <v>919</v>
      </c>
      <c r="K171" t="s">
        <v>920</v>
      </c>
      <c r="L171" s="4">
        <v>46136</v>
      </c>
      <c r="M171" t="s">
        <v>7656</v>
      </c>
      <c r="N171">
        <v>2</v>
      </c>
      <c r="O171">
        <v>3000000001832820</v>
      </c>
      <c r="W171" t="str">
        <f>Tabla_Consulta_desde_Proyectos10[[#This Row],[PRYcodigo]]&amp;Tabla_Consulta_desde_Proyectos10[[#This Row],[PRYApath]]</f>
        <v>095-202-RDIG/0020/0008</v>
      </c>
      <c r="X171" t="str">
        <f>Tabla_Consulta_desde_Proyectos10[[#This Row],[PRYAcodigo]]&amp;" - "&amp;Tabla_Consulta_desde_Proyectos10[[#This Row],[PRYAdescripcion]]</f>
        <v>4 - REUNIONES INTERNAS</v>
      </c>
      <c r="Y171" t="str">
        <f>SUBSTITUTE(IFERROR(VLOOKUP(LEFT(Tabla_Consulta_desde_Proyectos10[[#This Row],[Nivel1]],LEN(Tabla_Consulta_desde_Proyectos10[[#This Row],[Nivel1]])-5),Tabla_Consulta_desde_Proyectos10[[#All],[Nivel1]:[Actividad]],2,FALSE),""),"_","-")</f>
        <v>176-MCD - MEJORAS AL CORE Y DASHBOARD DE RECETA DIGITAL</v>
      </c>
      <c r="Z171" t="str">
        <f>IFERROR(VLOOKUP(Tabla_Consulta_desde_Proyectos10[[#This Row],[PRYRAfecha]],'Fechas Mes'!G:J,4,TRUE),"")</f>
        <v>Semana 48CIP2</v>
      </c>
      <c r="AA171" t="str" cm="1">
        <f t="array" ref="AA171">INDEX('Fechas Mes'!F:F,MATCH(Tabla_Consulta_desde_Proyectos10[[#This Row],[Semana]],'Fechas Mes'!J:J,0),)</f>
        <v>M12CIP2</v>
      </c>
      <c r="AB171">
        <f>YEAR(Tabla_Consulta_desde_Proyectos10[[#This Row],[PRYRAfecha]])</f>
        <v>2026</v>
      </c>
      <c r="AC171" t="str">
        <f>VLOOKUP(Tabla_Consulta_desde_Proyectos10[[#This Row],[PRYRAfecha]],'Fechas Mes'!G:J,4,TRUE)</f>
        <v>Semana 48CIP2</v>
      </c>
      <c r="AD171" t="str">
        <f>IFERROR(VLOOKUP(Tabla_Consulta_desde_Proyectos10[[#This Row],[PRYcodigo]],Catálogo!A:B,2,FALSE),"Otros")</f>
        <v>Otros</v>
      </c>
      <c r="AE171" t="str">
        <f>IF(LEN(Tabla_Consulta_desde_Proyectos10[[#This Row],[Semana]])&lt;13,"CI",RIGHT(Tabla_Consulta_desde_Proyectos10[[#This Row],[Semana]],4))</f>
        <v>CIP2</v>
      </c>
    </row>
    <row r="172" spans="1:31">
      <c r="A172" t="s">
        <v>4032</v>
      </c>
      <c r="B172" t="s">
        <v>6752</v>
      </c>
      <c r="C172" t="s">
        <v>6753</v>
      </c>
      <c r="D172" t="s">
        <v>7208</v>
      </c>
      <c r="E172" t="s">
        <v>7575</v>
      </c>
      <c r="F172">
        <v>1</v>
      </c>
      <c r="G172" t="s">
        <v>7654</v>
      </c>
      <c r="H172" t="s">
        <v>790</v>
      </c>
      <c r="I172" t="s">
        <v>791</v>
      </c>
      <c r="J172" t="s">
        <v>919</v>
      </c>
      <c r="K172" t="s">
        <v>920</v>
      </c>
      <c r="L172" s="4">
        <v>46142</v>
      </c>
      <c r="M172" t="s">
        <v>7657</v>
      </c>
      <c r="N172">
        <v>0.5</v>
      </c>
      <c r="O172">
        <v>3000000001836181</v>
      </c>
      <c r="W172" t="str">
        <f>Tabla_Consulta_desde_Proyectos10[[#This Row],[PRYcodigo]]&amp;Tabla_Consulta_desde_Proyectos10[[#This Row],[PRYApath]]</f>
        <v>095-202-RDIG/0020/0008</v>
      </c>
      <c r="X172" t="str">
        <f>Tabla_Consulta_desde_Proyectos10[[#This Row],[PRYAcodigo]]&amp;" - "&amp;Tabla_Consulta_desde_Proyectos10[[#This Row],[PRYAdescripcion]]</f>
        <v>4 - REUNIONES INTERNAS</v>
      </c>
      <c r="Y172" t="str">
        <f>SUBSTITUTE(IFERROR(VLOOKUP(LEFT(Tabla_Consulta_desde_Proyectos10[[#This Row],[Nivel1]],LEN(Tabla_Consulta_desde_Proyectos10[[#This Row],[Nivel1]])-5),Tabla_Consulta_desde_Proyectos10[[#All],[Nivel1]:[Actividad]],2,FALSE),""),"_","-")</f>
        <v>176-MCD - MEJORAS AL CORE Y DASHBOARD DE RECETA DIGITAL</v>
      </c>
      <c r="Z172" t="str">
        <f>IFERROR(VLOOKUP(Tabla_Consulta_desde_Proyectos10[[#This Row],[PRYRAfecha]],'Fechas Mes'!G:J,4,TRUE),"")</f>
        <v>Semana 48CIP2</v>
      </c>
      <c r="AA172" t="str" cm="1">
        <f t="array" ref="AA172">INDEX('Fechas Mes'!F:F,MATCH(Tabla_Consulta_desde_Proyectos10[[#This Row],[Semana]],'Fechas Mes'!J:J,0),)</f>
        <v>M12CIP2</v>
      </c>
      <c r="AB172">
        <f>YEAR(Tabla_Consulta_desde_Proyectos10[[#This Row],[PRYRAfecha]])</f>
        <v>2026</v>
      </c>
      <c r="AC172" t="str">
        <f>VLOOKUP(Tabla_Consulta_desde_Proyectos10[[#This Row],[PRYRAfecha]],'Fechas Mes'!G:J,4,TRUE)</f>
        <v>Semana 48CIP2</v>
      </c>
      <c r="AD172" t="str">
        <f>IFERROR(VLOOKUP(Tabla_Consulta_desde_Proyectos10[[#This Row],[PRYcodigo]],Catálogo!A:B,2,FALSE),"Otros")</f>
        <v>Otros</v>
      </c>
      <c r="AE172" t="str">
        <f>IF(LEN(Tabla_Consulta_desde_Proyectos10[[#This Row],[Semana]])&lt;13,"CI",RIGHT(Tabla_Consulta_desde_Proyectos10[[#This Row],[Semana]],4))</f>
        <v>CIP2</v>
      </c>
    </row>
    <row r="173" spans="1:31" hidden="1">
      <c r="A173" t="s">
        <v>4032</v>
      </c>
      <c r="B173" t="s">
        <v>5576</v>
      </c>
      <c r="C173" t="s">
        <v>5577</v>
      </c>
      <c r="D173" t="s">
        <v>7562</v>
      </c>
      <c r="E173" t="s">
        <v>7563</v>
      </c>
      <c r="F173">
        <v>0</v>
      </c>
      <c r="G173" t="s">
        <v>7564</v>
      </c>
      <c r="L173" s="4"/>
      <c r="O173">
        <v>3000000001836847</v>
      </c>
      <c r="P173" t="s">
        <v>7041</v>
      </c>
      <c r="Q173" t="s">
        <v>7658</v>
      </c>
      <c r="W173" t="str">
        <f>Tabla_Consulta_desde_Proyectos10[[#This Row],[PRYcodigo]]&amp;Tabla_Consulta_desde_Proyectos10[[#This Row],[PRYApath]]</f>
        <v>095-400-INS-REG/0012</v>
      </c>
      <c r="X173" t="str">
        <f>Tabla_Consulta_desde_Proyectos10[[#This Row],[PRYAcodigo]]&amp;" - "&amp;Tabla_Consulta_desde_Proyectos10[[#This Row],[PRYAdescripcion]]</f>
        <v>350_SWAT_INSPE - DESARROLLO DEL EQUIPO SWAT</v>
      </c>
      <c r="Y173" t="str">
        <f>SUBSTITUTE(IFERROR(VLOOKUP(LEFT(Tabla_Consulta_desde_Proyectos10[[#This Row],[Nivel1]],LEN(Tabla_Consulta_desde_Proyectos10[[#This Row],[Nivel1]])-5),Tabla_Consulta_desde_Proyectos10[[#All],[Nivel1]:[Actividad]],2,FALSE),""),"_","-")</f>
        <v/>
      </c>
      <c r="Z173" t="str">
        <f>IFERROR(VLOOKUP(Tabla_Consulta_desde_Proyectos10[[#This Row],[PRYRAfecha]],'Fechas Mes'!G:J,4,TRUE),"")</f>
        <v/>
      </c>
      <c r="AA173" t="e" cm="1">
        <f t="array" ref="AA173">INDEX('Fechas Mes'!F:F,MATCH(Tabla_Consulta_desde_Proyectos10[[#This Row],[Semana]],'Fechas Mes'!J:J,0),)</f>
        <v>#N/A</v>
      </c>
      <c r="AB173">
        <f>YEAR(Tabla_Consulta_desde_Proyectos10[[#This Row],[PRYRAfecha]])</f>
        <v>1900</v>
      </c>
      <c r="AC173" t="e">
        <f>VLOOKUP(Tabla_Consulta_desde_Proyectos10[[#This Row],[PRYRAfecha]],'Fechas Mes'!G:J,4,TRUE)</f>
        <v>#N/A</v>
      </c>
      <c r="AD173" t="str">
        <f>IFERROR(VLOOKUP(Tabla_Consulta_desde_Proyectos10[[#This Row],[PRYcodigo]],Catálogo!A:B,2,FALSE),"Otros")</f>
        <v>Otros</v>
      </c>
      <c r="AE173" t="str">
        <f>IF(LEN(Tabla_Consulta_desde_Proyectos10[[#This Row],[Semana]])&lt;13,"CI",RIGHT(Tabla_Consulta_desde_Proyectos10[[#This Row],[Semana]],4))</f>
        <v>CI</v>
      </c>
    </row>
    <row r="174" spans="1:31">
      <c r="A174" t="s">
        <v>4032</v>
      </c>
      <c r="B174" t="s">
        <v>5576</v>
      </c>
      <c r="C174" t="s">
        <v>5577</v>
      </c>
      <c r="D174" t="s">
        <v>7659</v>
      </c>
      <c r="E174" t="s">
        <v>317</v>
      </c>
      <c r="F174">
        <v>1</v>
      </c>
      <c r="G174" t="s">
        <v>7660</v>
      </c>
      <c r="H174" t="s">
        <v>7103</v>
      </c>
      <c r="I174" t="s">
        <v>7104</v>
      </c>
      <c r="J174" t="s">
        <v>1905</v>
      </c>
      <c r="K174" t="s">
        <v>1906</v>
      </c>
      <c r="L174" s="4">
        <v>46139</v>
      </c>
      <c r="M174" t="s">
        <v>7661</v>
      </c>
      <c r="N174">
        <v>8</v>
      </c>
      <c r="O174">
        <v>3000000001836847</v>
      </c>
      <c r="P174" t="s">
        <v>7041</v>
      </c>
      <c r="Q174" t="s">
        <v>7658</v>
      </c>
      <c r="W174" t="str">
        <f>Tabla_Consulta_desde_Proyectos10[[#This Row],[PRYcodigo]]&amp;Tabla_Consulta_desde_Proyectos10[[#This Row],[PRYApath]]</f>
        <v>095-400-INS-REG/0012/0020</v>
      </c>
      <c r="X174" t="str">
        <f>Tabla_Consulta_desde_Proyectos10[[#This Row],[PRYAcodigo]]&amp;" - "&amp;Tabla_Consulta_desde_Proyectos10[[#This Row],[PRYAdescripcion]]</f>
        <v>10 - DESARROLLO</v>
      </c>
      <c r="Y174" t="str">
        <f>SUBSTITUTE(IFERROR(VLOOKUP(LEFT(Tabla_Consulta_desde_Proyectos10[[#This Row],[Nivel1]],LEN(Tabla_Consulta_desde_Proyectos10[[#This Row],[Nivel1]])-5),Tabla_Consulta_desde_Proyectos10[[#All],[Nivel1]:[Actividad]],2,FALSE),""),"_","-")</f>
        <v>350-SWAT-INSPE - DESARROLLO DEL EQUIPO SWAT</v>
      </c>
      <c r="Z174" t="str">
        <f>IFERROR(VLOOKUP(Tabla_Consulta_desde_Proyectos10[[#This Row],[PRYRAfecha]],'Fechas Mes'!G:J,4,TRUE),"")</f>
        <v>Semana 48CIP2</v>
      </c>
      <c r="AA174" t="str" cm="1">
        <f t="array" ref="AA174">INDEX('Fechas Mes'!F:F,MATCH(Tabla_Consulta_desde_Proyectos10[[#This Row],[Semana]],'Fechas Mes'!J:J,0),)</f>
        <v>M12CIP2</v>
      </c>
      <c r="AB174">
        <f>YEAR(Tabla_Consulta_desde_Proyectos10[[#This Row],[PRYRAfecha]])</f>
        <v>2026</v>
      </c>
      <c r="AC174" t="str">
        <f>VLOOKUP(Tabla_Consulta_desde_Proyectos10[[#This Row],[PRYRAfecha]],'Fechas Mes'!G:J,4,TRUE)</f>
        <v>Semana 48CIP2</v>
      </c>
      <c r="AD174" t="str">
        <f>IFERROR(VLOOKUP(Tabla_Consulta_desde_Proyectos10[[#This Row],[PRYcodigo]],Catálogo!A:B,2,FALSE),"Otros")</f>
        <v>Otros</v>
      </c>
      <c r="AE174" t="str">
        <f>IF(LEN(Tabla_Consulta_desde_Proyectos10[[#This Row],[Semana]])&lt;13,"CI",RIGHT(Tabla_Consulta_desde_Proyectos10[[#This Row],[Semana]],4))</f>
        <v>CIP2</v>
      </c>
    </row>
    <row r="175" spans="1:31" hidden="1">
      <c r="A175" t="s">
        <v>4032</v>
      </c>
      <c r="B175" t="s">
        <v>5344</v>
      </c>
      <c r="C175" t="s">
        <v>5345</v>
      </c>
      <c r="D175" t="s">
        <v>7205</v>
      </c>
      <c r="E175" t="s">
        <v>7206</v>
      </c>
      <c r="F175">
        <v>0</v>
      </c>
      <c r="G175" t="s">
        <v>7549</v>
      </c>
      <c r="L175" s="4"/>
      <c r="O175">
        <v>3000000001825094</v>
      </c>
      <c r="W175" t="str">
        <f>Tabla_Consulta_desde_Proyectos10[[#This Row],[PRYcodigo]]&amp;Tabla_Consulta_desde_Proyectos10[[#This Row],[PRYApath]]</f>
        <v>151-400-RGT2.0/0010</v>
      </c>
      <c r="X175" t="str">
        <f>Tabla_Consulta_desde_Proyectos10[[#This Row],[PRYAcodigo]]&amp;" - "&amp;Tabla_Consulta_desde_Proyectos10[[#This Row],[PRYAdescripcion]]</f>
        <v>600_QA -  Tareas asociadas a Equipo QA Corporativo</v>
      </c>
      <c r="Y175" t="str">
        <f>SUBSTITUTE(IFERROR(VLOOKUP(LEFT(Tabla_Consulta_desde_Proyectos10[[#This Row],[Nivel1]],LEN(Tabla_Consulta_desde_Proyectos10[[#This Row],[Nivel1]])-5),Tabla_Consulta_desde_Proyectos10[[#All],[Nivel1]:[Actividad]],2,FALSE),""),"_","-")</f>
        <v/>
      </c>
      <c r="Z175" t="str">
        <f>IFERROR(VLOOKUP(Tabla_Consulta_desde_Proyectos10[[#This Row],[PRYRAfecha]],'Fechas Mes'!G:J,4,TRUE),"")</f>
        <v/>
      </c>
      <c r="AA175" t="e" cm="1">
        <f t="array" ref="AA175">INDEX('Fechas Mes'!F:F,MATCH(Tabla_Consulta_desde_Proyectos10[[#This Row],[Semana]],'Fechas Mes'!J:J,0),)</f>
        <v>#N/A</v>
      </c>
      <c r="AB175">
        <f>YEAR(Tabla_Consulta_desde_Proyectos10[[#This Row],[PRYRAfecha]])</f>
        <v>1900</v>
      </c>
      <c r="AC175" t="e">
        <f>VLOOKUP(Tabla_Consulta_desde_Proyectos10[[#This Row],[PRYRAfecha]],'Fechas Mes'!G:J,4,TRUE)</f>
        <v>#N/A</v>
      </c>
      <c r="AD175" t="str">
        <f>IFERROR(VLOOKUP(Tabla_Consulta_desde_Proyectos10[[#This Row],[PRYcodigo]],Catálogo!A:B,2,FALSE),"Otros")</f>
        <v>Otros</v>
      </c>
      <c r="AE175" t="str">
        <f>IF(LEN(Tabla_Consulta_desde_Proyectos10[[#This Row],[Semana]])&lt;13,"CI",RIGHT(Tabla_Consulta_desde_Proyectos10[[#This Row],[Semana]],4))</f>
        <v>CI</v>
      </c>
    </row>
    <row r="176" spans="1:31" hidden="1">
      <c r="A176" t="s">
        <v>4032</v>
      </c>
      <c r="B176" t="s">
        <v>5344</v>
      </c>
      <c r="C176" t="s">
        <v>5345</v>
      </c>
      <c r="D176" t="s">
        <v>7205</v>
      </c>
      <c r="E176" t="s">
        <v>7206</v>
      </c>
      <c r="F176">
        <v>0</v>
      </c>
      <c r="G176" t="s">
        <v>7549</v>
      </c>
      <c r="L176" s="4"/>
      <c r="O176">
        <v>3000000001836079</v>
      </c>
      <c r="W176" t="str">
        <f>Tabla_Consulta_desde_Proyectos10[[#This Row],[PRYcodigo]]&amp;Tabla_Consulta_desde_Proyectos10[[#This Row],[PRYApath]]</f>
        <v>151-400-RGT2.0/0010</v>
      </c>
      <c r="X176" t="str">
        <f>Tabla_Consulta_desde_Proyectos10[[#This Row],[PRYAcodigo]]&amp;" - "&amp;Tabla_Consulta_desde_Proyectos10[[#This Row],[PRYAdescripcion]]</f>
        <v>600_QA -  Tareas asociadas a Equipo QA Corporativo</v>
      </c>
      <c r="Y176" t="str">
        <f>SUBSTITUTE(IFERROR(VLOOKUP(LEFT(Tabla_Consulta_desde_Proyectos10[[#This Row],[Nivel1]],LEN(Tabla_Consulta_desde_Proyectos10[[#This Row],[Nivel1]])-5),Tabla_Consulta_desde_Proyectos10[[#All],[Nivel1]:[Actividad]],2,FALSE),""),"_","-")</f>
        <v/>
      </c>
      <c r="Z176" t="str">
        <f>IFERROR(VLOOKUP(Tabla_Consulta_desde_Proyectos10[[#This Row],[PRYRAfecha]],'Fechas Mes'!G:J,4,TRUE),"")</f>
        <v/>
      </c>
      <c r="AA176" t="e" cm="1">
        <f t="array" ref="AA176">INDEX('Fechas Mes'!F:F,MATCH(Tabla_Consulta_desde_Proyectos10[[#This Row],[Semana]],'Fechas Mes'!J:J,0),)</f>
        <v>#N/A</v>
      </c>
      <c r="AB176">
        <f>YEAR(Tabla_Consulta_desde_Proyectos10[[#This Row],[PRYRAfecha]])</f>
        <v>1900</v>
      </c>
      <c r="AC176" t="e">
        <f>VLOOKUP(Tabla_Consulta_desde_Proyectos10[[#This Row],[PRYRAfecha]],'Fechas Mes'!G:J,4,TRUE)</f>
        <v>#N/A</v>
      </c>
      <c r="AD176" t="str">
        <f>IFERROR(VLOOKUP(Tabla_Consulta_desde_Proyectos10[[#This Row],[PRYcodigo]],Catálogo!A:B,2,FALSE),"Otros")</f>
        <v>Otros</v>
      </c>
      <c r="AE176" t="str">
        <f>IF(LEN(Tabla_Consulta_desde_Proyectos10[[#This Row],[Semana]])&lt;13,"CI",RIGHT(Tabla_Consulta_desde_Proyectos10[[#This Row],[Semana]],4))</f>
        <v>CI</v>
      </c>
    </row>
    <row r="177" spans="1:31">
      <c r="A177" t="s">
        <v>4032</v>
      </c>
      <c r="B177" t="s">
        <v>5344</v>
      </c>
      <c r="C177" t="s">
        <v>5345</v>
      </c>
      <c r="D177" t="s">
        <v>7201</v>
      </c>
      <c r="E177" t="s">
        <v>7554</v>
      </c>
      <c r="F177">
        <v>1</v>
      </c>
      <c r="G177" t="s">
        <v>7555</v>
      </c>
      <c r="H177" t="s">
        <v>780</v>
      </c>
      <c r="I177" t="s">
        <v>781</v>
      </c>
      <c r="J177" t="s">
        <v>4716</v>
      </c>
      <c r="K177" t="s">
        <v>4717</v>
      </c>
      <c r="L177" s="4">
        <v>46142</v>
      </c>
      <c r="M177" t="s">
        <v>7662</v>
      </c>
      <c r="N177">
        <v>4</v>
      </c>
      <c r="O177">
        <v>3000000001836079</v>
      </c>
      <c r="W177" t="str">
        <f>Tabla_Consulta_desde_Proyectos10[[#This Row],[PRYcodigo]]&amp;Tabla_Consulta_desde_Proyectos10[[#This Row],[PRYApath]]</f>
        <v>151-400-RGT2.0/0010/0004</v>
      </c>
      <c r="X177" t="str">
        <f>Tabla_Consulta_desde_Proyectos10[[#This Row],[PRYAcodigo]]&amp;" - "&amp;Tabla_Consulta_desde_Proyectos10[[#This Row],[PRYAdescripcion]]</f>
        <v>2 - Estimación de Ejecución de Pruebas</v>
      </c>
      <c r="Y177" t="str">
        <f>SUBSTITUTE(IFERROR(VLOOKUP(LEFT(Tabla_Consulta_desde_Proyectos10[[#This Row],[Nivel1]],LEN(Tabla_Consulta_desde_Proyectos10[[#This Row],[Nivel1]])-5),Tabla_Consulta_desde_Proyectos10[[#All],[Nivel1]:[Actividad]],2,FALSE),""),"_","-")</f>
        <v>600-QA -  Tareas asociadas a Equipo QA Corporativo</v>
      </c>
      <c r="Z177" t="str">
        <f>IFERROR(VLOOKUP(Tabla_Consulta_desde_Proyectos10[[#This Row],[PRYRAfecha]],'Fechas Mes'!G:J,4,TRUE),"")</f>
        <v>Semana 48CIP2</v>
      </c>
      <c r="AA177" t="str" cm="1">
        <f t="array" ref="AA177">INDEX('Fechas Mes'!F:F,MATCH(Tabla_Consulta_desde_Proyectos10[[#This Row],[Semana]],'Fechas Mes'!J:J,0),)</f>
        <v>M12CIP2</v>
      </c>
      <c r="AB177">
        <f>YEAR(Tabla_Consulta_desde_Proyectos10[[#This Row],[PRYRAfecha]])</f>
        <v>2026</v>
      </c>
      <c r="AC177" t="str">
        <f>VLOOKUP(Tabla_Consulta_desde_Proyectos10[[#This Row],[PRYRAfecha]],'Fechas Mes'!G:J,4,TRUE)</f>
        <v>Semana 48CIP2</v>
      </c>
      <c r="AD177" t="str">
        <f>IFERROR(VLOOKUP(Tabla_Consulta_desde_Proyectos10[[#This Row],[PRYcodigo]],Catálogo!A:B,2,FALSE),"Otros")</f>
        <v>Otros</v>
      </c>
      <c r="AE177" t="str">
        <f>IF(LEN(Tabla_Consulta_desde_Proyectos10[[#This Row],[Semana]])&lt;13,"CI",RIGHT(Tabla_Consulta_desde_Proyectos10[[#This Row],[Semana]],4))</f>
        <v>CIP2</v>
      </c>
    </row>
    <row r="178" spans="1:31">
      <c r="A178" t="s">
        <v>4032</v>
      </c>
      <c r="B178" t="s">
        <v>5344</v>
      </c>
      <c r="C178" t="s">
        <v>5345</v>
      </c>
      <c r="D178" t="s">
        <v>7208</v>
      </c>
      <c r="E178" t="s">
        <v>7209</v>
      </c>
      <c r="F178">
        <v>1</v>
      </c>
      <c r="G178" t="s">
        <v>7550</v>
      </c>
      <c r="H178" t="s">
        <v>780</v>
      </c>
      <c r="I178" t="s">
        <v>781</v>
      </c>
      <c r="J178" t="s">
        <v>4716</v>
      </c>
      <c r="K178" t="s">
        <v>4717</v>
      </c>
      <c r="L178" s="4">
        <v>46119</v>
      </c>
      <c r="M178" t="s">
        <v>7663</v>
      </c>
      <c r="N178">
        <v>2</v>
      </c>
      <c r="O178">
        <v>3000000001825094</v>
      </c>
      <c r="W178" t="str">
        <f>Tabla_Consulta_desde_Proyectos10[[#This Row],[PRYcodigo]]&amp;Tabla_Consulta_desde_Proyectos10[[#This Row],[PRYApath]]</f>
        <v>151-400-RGT2.0/0010/0008</v>
      </c>
      <c r="X178" t="str">
        <f>Tabla_Consulta_desde_Proyectos10[[#This Row],[PRYAcodigo]]&amp;" - "&amp;Tabla_Consulta_desde_Proyectos10[[#This Row],[PRYAdescripcion]]</f>
        <v>4 - Ejecución de Protocolo de Pruebas</v>
      </c>
      <c r="Y178" t="str">
        <f>SUBSTITUTE(IFERROR(VLOOKUP(LEFT(Tabla_Consulta_desde_Proyectos10[[#This Row],[Nivel1]],LEN(Tabla_Consulta_desde_Proyectos10[[#This Row],[Nivel1]])-5),Tabla_Consulta_desde_Proyectos10[[#All],[Nivel1]:[Actividad]],2,FALSE),""),"_","-")</f>
        <v>600-QA -  Tareas asociadas a Equipo QA Corporativo</v>
      </c>
      <c r="Z178" t="str">
        <f>IFERROR(VLOOKUP(Tabla_Consulta_desde_Proyectos10[[#This Row],[PRYRAfecha]],'Fechas Mes'!G:J,4,TRUE),"")</f>
        <v>Semana 48CIP2</v>
      </c>
      <c r="AA178" t="str" cm="1">
        <f t="array" ref="AA178">INDEX('Fechas Mes'!F:F,MATCH(Tabla_Consulta_desde_Proyectos10[[#This Row],[Semana]],'Fechas Mes'!J:J,0),)</f>
        <v>M12CIP2</v>
      </c>
      <c r="AB178">
        <f>YEAR(Tabla_Consulta_desde_Proyectos10[[#This Row],[PRYRAfecha]])</f>
        <v>2026</v>
      </c>
      <c r="AC178" t="str">
        <f>VLOOKUP(Tabla_Consulta_desde_Proyectos10[[#This Row],[PRYRAfecha]],'Fechas Mes'!G:J,4,TRUE)</f>
        <v>Semana 48CIP2</v>
      </c>
      <c r="AD178" t="str">
        <f>IFERROR(VLOOKUP(Tabla_Consulta_desde_Proyectos10[[#This Row],[PRYcodigo]],Catálogo!A:B,2,FALSE),"Otros")</f>
        <v>Otros</v>
      </c>
      <c r="AE178" t="str">
        <f>IF(LEN(Tabla_Consulta_desde_Proyectos10[[#This Row],[Semana]])&lt;13,"CI",RIGHT(Tabla_Consulta_desde_Proyectos10[[#This Row],[Semana]],4))</f>
        <v>CIP2</v>
      </c>
    </row>
    <row r="179" spans="1:31" hidden="1">
      <c r="A179" t="s">
        <v>4032</v>
      </c>
      <c r="B179" t="s">
        <v>5344</v>
      </c>
      <c r="C179" t="s">
        <v>5345</v>
      </c>
      <c r="D179" t="s">
        <v>7220</v>
      </c>
      <c r="E179" t="s">
        <v>7195</v>
      </c>
      <c r="F179">
        <v>0</v>
      </c>
      <c r="G179" t="s">
        <v>7221</v>
      </c>
      <c r="L179" s="4"/>
      <c r="O179">
        <v>3000000001822243</v>
      </c>
      <c r="P179" t="s">
        <v>6782</v>
      </c>
      <c r="Q179" t="s">
        <v>7210</v>
      </c>
      <c r="W179" t="str">
        <f>Tabla_Consulta_desde_Proyectos10[[#This Row],[PRYcodigo]]&amp;Tabla_Consulta_desde_Proyectos10[[#This Row],[PRYApath]]</f>
        <v>151-400-RGT2.0/0020</v>
      </c>
      <c r="X179" t="str">
        <f>Tabla_Consulta_desde_Proyectos10[[#This Row],[PRYAcodigo]]&amp;" - "&amp;Tabla_Consulta_desde_Proyectos10[[#This Row],[PRYAdescripcion]]</f>
        <v>500.1_RM - ACTIVIDADES DEL EQUIPO DE RELEASE MANAGMENT</v>
      </c>
      <c r="Y179" t="str">
        <f>SUBSTITUTE(IFERROR(VLOOKUP(LEFT(Tabla_Consulta_desde_Proyectos10[[#This Row],[Nivel1]],LEN(Tabla_Consulta_desde_Proyectos10[[#This Row],[Nivel1]])-5),Tabla_Consulta_desde_Proyectos10[[#All],[Nivel1]:[Actividad]],2,FALSE),""),"_","-")</f>
        <v/>
      </c>
      <c r="Z179" t="str">
        <f>IFERROR(VLOOKUP(Tabla_Consulta_desde_Proyectos10[[#This Row],[PRYRAfecha]],'Fechas Mes'!G:J,4,TRUE),"")</f>
        <v/>
      </c>
      <c r="AA179" t="e" cm="1">
        <f t="array" ref="AA179">INDEX('Fechas Mes'!F:F,MATCH(Tabla_Consulta_desde_Proyectos10[[#This Row],[Semana]],'Fechas Mes'!J:J,0),)</f>
        <v>#N/A</v>
      </c>
      <c r="AB179">
        <f>YEAR(Tabla_Consulta_desde_Proyectos10[[#This Row],[PRYRAfecha]])</f>
        <v>1900</v>
      </c>
      <c r="AC179" t="e">
        <f>VLOOKUP(Tabla_Consulta_desde_Proyectos10[[#This Row],[PRYRAfecha]],'Fechas Mes'!G:J,4,TRUE)</f>
        <v>#N/A</v>
      </c>
      <c r="AD179" t="str">
        <f>IFERROR(VLOOKUP(Tabla_Consulta_desde_Proyectos10[[#This Row],[PRYcodigo]],Catálogo!A:B,2,FALSE),"Otros")</f>
        <v>Otros</v>
      </c>
      <c r="AE179" t="str">
        <f>IF(LEN(Tabla_Consulta_desde_Proyectos10[[#This Row],[Semana]])&lt;13,"CI",RIGHT(Tabla_Consulta_desde_Proyectos10[[#This Row],[Semana]],4))</f>
        <v>CI</v>
      </c>
    </row>
    <row r="180" spans="1:31" hidden="1">
      <c r="A180" t="s">
        <v>4032</v>
      </c>
      <c r="B180" t="s">
        <v>5344</v>
      </c>
      <c r="C180" t="s">
        <v>5345</v>
      </c>
      <c r="D180" t="s">
        <v>7220</v>
      </c>
      <c r="E180" t="s">
        <v>7195</v>
      </c>
      <c r="F180">
        <v>0</v>
      </c>
      <c r="G180" t="s">
        <v>7221</v>
      </c>
      <c r="L180" s="4"/>
      <c r="O180">
        <v>3000000001822246</v>
      </c>
      <c r="P180" t="s">
        <v>6782</v>
      </c>
      <c r="Q180" t="s">
        <v>7212</v>
      </c>
      <c r="W180" t="str">
        <f>Tabla_Consulta_desde_Proyectos10[[#This Row],[PRYcodigo]]&amp;Tabla_Consulta_desde_Proyectos10[[#This Row],[PRYApath]]</f>
        <v>151-400-RGT2.0/0020</v>
      </c>
      <c r="X180" t="str">
        <f>Tabla_Consulta_desde_Proyectos10[[#This Row],[PRYAcodigo]]&amp;" - "&amp;Tabla_Consulta_desde_Proyectos10[[#This Row],[PRYAdescripcion]]</f>
        <v>500.1_RM - ACTIVIDADES DEL EQUIPO DE RELEASE MANAGMENT</v>
      </c>
      <c r="Y180" t="str">
        <f>SUBSTITUTE(IFERROR(VLOOKUP(LEFT(Tabla_Consulta_desde_Proyectos10[[#This Row],[Nivel1]],LEN(Tabla_Consulta_desde_Proyectos10[[#This Row],[Nivel1]])-5),Tabla_Consulta_desde_Proyectos10[[#All],[Nivel1]:[Actividad]],2,FALSE),""),"_","-")</f>
        <v/>
      </c>
      <c r="Z180" t="str">
        <f>IFERROR(VLOOKUP(Tabla_Consulta_desde_Proyectos10[[#This Row],[PRYRAfecha]],'Fechas Mes'!G:J,4,TRUE),"")</f>
        <v/>
      </c>
      <c r="AA180" t="e" cm="1">
        <f t="array" ref="AA180">INDEX('Fechas Mes'!F:F,MATCH(Tabla_Consulta_desde_Proyectos10[[#This Row],[Semana]],'Fechas Mes'!J:J,0),)</f>
        <v>#N/A</v>
      </c>
      <c r="AB180">
        <f>YEAR(Tabla_Consulta_desde_Proyectos10[[#This Row],[PRYRAfecha]])</f>
        <v>1900</v>
      </c>
      <c r="AC180" t="e">
        <f>VLOOKUP(Tabla_Consulta_desde_Proyectos10[[#This Row],[PRYRAfecha]],'Fechas Mes'!G:J,4,TRUE)</f>
        <v>#N/A</v>
      </c>
      <c r="AD180" t="str">
        <f>IFERROR(VLOOKUP(Tabla_Consulta_desde_Proyectos10[[#This Row],[PRYcodigo]],Catálogo!A:B,2,FALSE),"Otros")</f>
        <v>Otros</v>
      </c>
      <c r="AE180" t="str">
        <f>IF(LEN(Tabla_Consulta_desde_Proyectos10[[#This Row],[Semana]])&lt;13,"CI",RIGHT(Tabla_Consulta_desde_Proyectos10[[#This Row],[Semana]],4))</f>
        <v>CI</v>
      </c>
    </row>
    <row r="181" spans="1:31" hidden="1">
      <c r="A181" t="s">
        <v>4032</v>
      </c>
      <c r="B181" t="s">
        <v>5344</v>
      </c>
      <c r="C181" t="s">
        <v>5345</v>
      </c>
      <c r="D181" t="s">
        <v>7220</v>
      </c>
      <c r="E181" t="s">
        <v>7195</v>
      </c>
      <c r="F181">
        <v>0</v>
      </c>
      <c r="G181" t="s">
        <v>7221</v>
      </c>
      <c r="L181" s="4"/>
      <c r="O181">
        <v>3000000001823086</v>
      </c>
      <c r="P181" t="s">
        <v>6784</v>
      </c>
      <c r="Q181" t="s">
        <v>7213</v>
      </c>
      <c r="W181" t="str">
        <f>Tabla_Consulta_desde_Proyectos10[[#This Row],[PRYcodigo]]&amp;Tabla_Consulta_desde_Proyectos10[[#This Row],[PRYApath]]</f>
        <v>151-400-RGT2.0/0020</v>
      </c>
      <c r="X181" t="str">
        <f>Tabla_Consulta_desde_Proyectos10[[#This Row],[PRYAcodigo]]&amp;" - "&amp;Tabla_Consulta_desde_Proyectos10[[#This Row],[PRYAdescripcion]]</f>
        <v>500.1_RM - ACTIVIDADES DEL EQUIPO DE RELEASE MANAGMENT</v>
      </c>
      <c r="Y181" t="str">
        <f>SUBSTITUTE(IFERROR(VLOOKUP(LEFT(Tabla_Consulta_desde_Proyectos10[[#This Row],[Nivel1]],LEN(Tabla_Consulta_desde_Proyectos10[[#This Row],[Nivel1]])-5),Tabla_Consulta_desde_Proyectos10[[#All],[Nivel1]:[Actividad]],2,FALSE),""),"_","-")</f>
        <v/>
      </c>
      <c r="Z181" t="str">
        <f>IFERROR(VLOOKUP(Tabla_Consulta_desde_Proyectos10[[#This Row],[PRYRAfecha]],'Fechas Mes'!G:J,4,TRUE),"")</f>
        <v/>
      </c>
      <c r="AA181" t="e" cm="1">
        <f t="array" ref="AA181">INDEX('Fechas Mes'!F:F,MATCH(Tabla_Consulta_desde_Proyectos10[[#This Row],[Semana]],'Fechas Mes'!J:J,0),)</f>
        <v>#N/A</v>
      </c>
      <c r="AB181">
        <f>YEAR(Tabla_Consulta_desde_Proyectos10[[#This Row],[PRYRAfecha]])</f>
        <v>1900</v>
      </c>
      <c r="AC181" t="e">
        <f>VLOOKUP(Tabla_Consulta_desde_Proyectos10[[#This Row],[PRYRAfecha]],'Fechas Mes'!G:J,4,TRUE)</f>
        <v>#N/A</v>
      </c>
      <c r="AD181" t="str">
        <f>IFERROR(VLOOKUP(Tabla_Consulta_desde_Proyectos10[[#This Row],[PRYcodigo]],Catálogo!A:B,2,FALSE),"Otros")</f>
        <v>Otros</v>
      </c>
      <c r="AE181" t="str">
        <f>IF(LEN(Tabla_Consulta_desde_Proyectos10[[#This Row],[Semana]])&lt;13,"CI",RIGHT(Tabla_Consulta_desde_Proyectos10[[#This Row],[Semana]],4))</f>
        <v>CI</v>
      </c>
    </row>
    <row r="182" spans="1:31" hidden="1">
      <c r="A182" t="s">
        <v>4032</v>
      </c>
      <c r="B182" t="s">
        <v>5344</v>
      </c>
      <c r="C182" t="s">
        <v>5345</v>
      </c>
      <c r="D182" t="s">
        <v>7220</v>
      </c>
      <c r="E182" t="s">
        <v>7195</v>
      </c>
      <c r="F182">
        <v>0</v>
      </c>
      <c r="G182" t="s">
        <v>7221</v>
      </c>
      <c r="L182" s="4"/>
      <c r="O182">
        <v>3000000001823357</v>
      </c>
      <c r="P182" t="s">
        <v>6782</v>
      </c>
      <c r="Q182" t="s">
        <v>7210</v>
      </c>
      <c r="W182" t="str">
        <f>Tabla_Consulta_desde_Proyectos10[[#This Row],[PRYcodigo]]&amp;Tabla_Consulta_desde_Proyectos10[[#This Row],[PRYApath]]</f>
        <v>151-400-RGT2.0/0020</v>
      </c>
      <c r="X182" t="str">
        <f>Tabla_Consulta_desde_Proyectos10[[#This Row],[PRYAcodigo]]&amp;" - "&amp;Tabla_Consulta_desde_Proyectos10[[#This Row],[PRYAdescripcion]]</f>
        <v>500.1_RM - ACTIVIDADES DEL EQUIPO DE RELEASE MANAGMENT</v>
      </c>
      <c r="Y182" t="str">
        <f>SUBSTITUTE(IFERROR(VLOOKUP(LEFT(Tabla_Consulta_desde_Proyectos10[[#This Row],[Nivel1]],LEN(Tabla_Consulta_desde_Proyectos10[[#This Row],[Nivel1]])-5),Tabla_Consulta_desde_Proyectos10[[#All],[Nivel1]:[Actividad]],2,FALSE),""),"_","-")</f>
        <v/>
      </c>
      <c r="Z182" t="str">
        <f>IFERROR(VLOOKUP(Tabla_Consulta_desde_Proyectos10[[#This Row],[PRYRAfecha]],'Fechas Mes'!G:J,4,TRUE),"")</f>
        <v/>
      </c>
      <c r="AA182" t="e" cm="1">
        <f t="array" ref="AA182">INDEX('Fechas Mes'!F:F,MATCH(Tabla_Consulta_desde_Proyectos10[[#This Row],[Semana]],'Fechas Mes'!J:J,0),)</f>
        <v>#N/A</v>
      </c>
      <c r="AB182">
        <f>YEAR(Tabla_Consulta_desde_Proyectos10[[#This Row],[PRYRAfecha]])</f>
        <v>1900</v>
      </c>
      <c r="AC182" t="e">
        <f>VLOOKUP(Tabla_Consulta_desde_Proyectos10[[#This Row],[PRYRAfecha]],'Fechas Mes'!G:J,4,TRUE)</f>
        <v>#N/A</v>
      </c>
      <c r="AD182" t="str">
        <f>IFERROR(VLOOKUP(Tabla_Consulta_desde_Proyectos10[[#This Row],[PRYcodigo]],Catálogo!A:B,2,FALSE),"Otros")</f>
        <v>Otros</v>
      </c>
      <c r="AE182" t="str">
        <f>IF(LEN(Tabla_Consulta_desde_Proyectos10[[#This Row],[Semana]])&lt;13,"CI",RIGHT(Tabla_Consulta_desde_Proyectos10[[#This Row],[Semana]],4))</f>
        <v>CI</v>
      </c>
    </row>
    <row r="183" spans="1:31" hidden="1">
      <c r="A183" t="s">
        <v>4032</v>
      </c>
      <c r="B183" t="s">
        <v>5344</v>
      </c>
      <c r="C183" t="s">
        <v>5345</v>
      </c>
      <c r="D183" t="s">
        <v>7220</v>
      </c>
      <c r="E183" t="s">
        <v>7195</v>
      </c>
      <c r="F183">
        <v>0</v>
      </c>
      <c r="G183" t="s">
        <v>7221</v>
      </c>
      <c r="L183" s="4"/>
      <c r="O183">
        <v>3000000001823482</v>
      </c>
      <c r="P183" t="s">
        <v>6782</v>
      </c>
      <c r="Q183" t="s">
        <v>7210</v>
      </c>
      <c r="W183" t="str">
        <f>Tabla_Consulta_desde_Proyectos10[[#This Row],[PRYcodigo]]&amp;Tabla_Consulta_desde_Proyectos10[[#This Row],[PRYApath]]</f>
        <v>151-400-RGT2.0/0020</v>
      </c>
      <c r="X183" t="str">
        <f>Tabla_Consulta_desde_Proyectos10[[#This Row],[PRYAcodigo]]&amp;" - "&amp;Tabla_Consulta_desde_Proyectos10[[#This Row],[PRYAdescripcion]]</f>
        <v>500.1_RM - ACTIVIDADES DEL EQUIPO DE RELEASE MANAGMENT</v>
      </c>
      <c r="Y183" t="str">
        <f>SUBSTITUTE(IFERROR(VLOOKUP(LEFT(Tabla_Consulta_desde_Proyectos10[[#This Row],[Nivel1]],LEN(Tabla_Consulta_desde_Proyectos10[[#This Row],[Nivel1]])-5),Tabla_Consulta_desde_Proyectos10[[#All],[Nivel1]:[Actividad]],2,FALSE),""),"_","-")</f>
        <v/>
      </c>
      <c r="Z183" t="str">
        <f>IFERROR(VLOOKUP(Tabla_Consulta_desde_Proyectos10[[#This Row],[PRYRAfecha]],'Fechas Mes'!G:J,4,TRUE),"")</f>
        <v/>
      </c>
      <c r="AA183" t="e" cm="1">
        <f t="array" ref="AA183">INDEX('Fechas Mes'!F:F,MATCH(Tabla_Consulta_desde_Proyectos10[[#This Row],[Semana]],'Fechas Mes'!J:J,0),)</f>
        <v>#N/A</v>
      </c>
      <c r="AB183">
        <f>YEAR(Tabla_Consulta_desde_Proyectos10[[#This Row],[PRYRAfecha]])</f>
        <v>1900</v>
      </c>
      <c r="AC183" t="e">
        <f>VLOOKUP(Tabla_Consulta_desde_Proyectos10[[#This Row],[PRYRAfecha]],'Fechas Mes'!G:J,4,TRUE)</f>
        <v>#N/A</v>
      </c>
      <c r="AD183" t="str">
        <f>IFERROR(VLOOKUP(Tabla_Consulta_desde_Proyectos10[[#This Row],[PRYcodigo]],Catálogo!A:B,2,FALSE),"Otros")</f>
        <v>Otros</v>
      </c>
      <c r="AE183" t="str">
        <f>IF(LEN(Tabla_Consulta_desde_Proyectos10[[#This Row],[Semana]])&lt;13,"CI",RIGHT(Tabla_Consulta_desde_Proyectos10[[#This Row],[Semana]],4))</f>
        <v>CI</v>
      </c>
    </row>
    <row r="184" spans="1:31" hidden="1">
      <c r="A184" t="s">
        <v>4032</v>
      </c>
      <c r="B184" t="s">
        <v>5344</v>
      </c>
      <c r="C184" t="s">
        <v>5345</v>
      </c>
      <c r="D184" t="s">
        <v>7220</v>
      </c>
      <c r="E184" t="s">
        <v>7195</v>
      </c>
      <c r="F184">
        <v>0</v>
      </c>
      <c r="G184" t="s">
        <v>7221</v>
      </c>
      <c r="L184" s="4"/>
      <c r="O184">
        <v>3000000001823785</v>
      </c>
      <c r="P184" t="s">
        <v>6782</v>
      </c>
      <c r="Q184" t="s">
        <v>7212</v>
      </c>
      <c r="W184" t="str">
        <f>Tabla_Consulta_desde_Proyectos10[[#This Row],[PRYcodigo]]&amp;Tabla_Consulta_desde_Proyectos10[[#This Row],[PRYApath]]</f>
        <v>151-400-RGT2.0/0020</v>
      </c>
      <c r="X184" t="str">
        <f>Tabla_Consulta_desde_Proyectos10[[#This Row],[PRYAcodigo]]&amp;" - "&amp;Tabla_Consulta_desde_Proyectos10[[#This Row],[PRYAdescripcion]]</f>
        <v>500.1_RM - ACTIVIDADES DEL EQUIPO DE RELEASE MANAGMENT</v>
      </c>
      <c r="Y184" t="str">
        <f>SUBSTITUTE(IFERROR(VLOOKUP(LEFT(Tabla_Consulta_desde_Proyectos10[[#This Row],[Nivel1]],LEN(Tabla_Consulta_desde_Proyectos10[[#This Row],[Nivel1]])-5),Tabla_Consulta_desde_Proyectos10[[#All],[Nivel1]:[Actividad]],2,FALSE),""),"_","-")</f>
        <v/>
      </c>
      <c r="Z184" t="str">
        <f>IFERROR(VLOOKUP(Tabla_Consulta_desde_Proyectos10[[#This Row],[PRYRAfecha]],'Fechas Mes'!G:J,4,TRUE),"")</f>
        <v/>
      </c>
      <c r="AA184" t="e" cm="1">
        <f t="array" ref="AA184">INDEX('Fechas Mes'!F:F,MATCH(Tabla_Consulta_desde_Proyectos10[[#This Row],[Semana]],'Fechas Mes'!J:J,0),)</f>
        <v>#N/A</v>
      </c>
      <c r="AB184">
        <f>YEAR(Tabla_Consulta_desde_Proyectos10[[#This Row],[PRYRAfecha]])</f>
        <v>1900</v>
      </c>
      <c r="AC184" t="e">
        <f>VLOOKUP(Tabla_Consulta_desde_Proyectos10[[#This Row],[PRYRAfecha]],'Fechas Mes'!G:J,4,TRUE)</f>
        <v>#N/A</v>
      </c>
      <c r="AD184" t="str">
        <f>IFERROR(VLOOKUP(Tabla_Consulta_desde_Proyectos10[[#This Row],[PRYcodigo]],Catálogo!A:B,2,FALSE),"Otros")</f>
        <v>Otros</v>
      </c>
      <c r="AE184" t="str">
        <f>IF(LEN(Tabla_Consulta_desde_Proyectos10[[#This Row],[Semana]])&lt;13,"CI",RIGHT(Tabla_Consulta_desde_Proyectos10[[#This Row],[Semana]],4))</f>
        <v>CI</v>
      </c>
    </row>
    <row r="185" spans="1:31" hidden="1">
      <c r="A185" t="s">
        <v>4032</v>
      </c>
      <c r="B185" t="s">
        <v>5344</v>
      </c>
      <c r="C185" t="s">
        <v>5345</v>
      </c>
      <c r="D185" t="s">
        <v>7220</v>
      </c>
      <c r="E185" t="s">
        <v>7195</v>
      </c>
      <c r="F185">
        <v>0</v>
      </c>
      <c r="G185" t="s">
        <v>7221</v>
      </c>
      <c r="L185" s="4"/>
      <c r="O185">
        <v>3000000001823788</v>
      </c>
      <c r="P185" t="s">
        <v>6782</v>
      </c>
      <c r="Q185" t="s">
        <v>7210</v>
      </c>
      <c r="W185" t="str">
        <f>Tabla_Consulta_desde_Proyectos10[[#This Row],[PRYcodigo]]&amp;Tabla_Consulta_desde_Proyectos10[[#This Row],[PRYApath]]</f>
        <v>151-400-RGT2.0/0020</v>
      </c>
      <c r="X185" t="str">
        <f>Tabla_Consulta_desde_Proyectos10[[#This Row],[PRYAcodigo]]&amp;" - "&amp;Tabla_Consulta_desde_Proyectos10[[#This Row],[PRYAdescripcion]]</f>
        <v>500.1_RM - ACTIVIDADES DEL EQUIPO DE RELEASE MANAGMENT</v>
      </c>
      <c r="Y185" t="str">
        <f>SUBSTITUTE(IFERROR(VLOOKUP(LEFT(Tabla_Consulta_desde_Proyectos10[[#This Row],[Nivel1]],LEN(Tabla_Consulta_desde_Proyectos10[[#This Row],[Nivel1]])-5),Tabla_Consulta_desde_Proyectos10[[#All],[Nivel1]:[Actividad]],2,FALSE),""),"_","-")</f>
        <v/>
      </c>
      <c r="Z185" t="str">
        <f>IFERROR(VLOOKUP(Tabla_Consulta_desde_Proyectos10[[#This Row],[PRYRAfecha]],'Fechas Mes'!G:J,4,TRUE),"")</f>
        <v/>
      </c>
      <c r="AA185" t="e" cm="1">
        <f t="array" ref="AA185">INDEX('Fechas Mes'!F:F,MATCH(Tabla_Consulta_desde_Proyectos10[[#This Row],[Semana]],'Fechas Mes'!J:J,0),)</f>
        <v>#N/A</v>
      </c>
      <c r="AB185">
        <f>YEAR(Tabla_Consulta_desde_Proyectos10[[#This Row],[PRYRAfecha]])</f>
        <v>1900</v>
      </c>
      <c r="AC185" t="e">
        <f>VLOOKUP(Tabla_Consulta_desde_Proyectos10[[#This Row],[PRYRAfecha]],'Fechas Mes'!G:J,4,TRUE)</f>
        <v>#N/A</v>
      </c>
      <c r="AD185" t="str">
        <f>IFERROR(VLOOKUP(Tabla_Consulta_desde_Proyectos10[[#This Row],[PRYcodigo]],Catálogo!A:B,2,FALSE),"Otros")</f>
        <v>Otros</v>
      </c>
      <c r="AE185" t="str">
        <f>IF(LEN(Tabla_Consulta_desde_Proyectos10[[#This Row],[Semana]])&lt;13,"CI",RIGHT(Tabla_Consulta_desde_Proyectos10[[#This Row],[Semana]],4))</f>
        <v>CI</v>
      </c>
    </row>
    <row r="186" spans="1:31" hidden="1">
      <c r="A186" t="s">
        <v>4032</v>
      </c>
      <c r="B186" t="s">
        <v>5344</v>
      </c>
      <c r="C186" t="s">
        <v>5345</v>
      </c>
      <c r="D186" t="s">
        <v>7220</v>
      </c>
      <c r="E186" t="s">
        <v>7195</v>
      </c>
      <c r="F186">
        <v>0</v>
      </c>
      <c r="G186" t="s">
        <v>7221</v>
      </c>
      <c r="L186" s="4"/>
      <c r="O186">
        <v>3000000001823797</v>
      </c>
      <c r="P186" t="s">
        <v>6782</v>
      </c>
      <c r="Q186" t="s">
        <v>7212</v>
      </c>
      <c r="W186" t="str">
        <f>Tabla_Consulta_desde_Proyectos10[[#This Row],[PRYcodigo]]&amp;Tabla_Consulta_desde_Proyectos10[[#This Row],[PRYApath]]</f>
        <v>151-400-RGT2.0/0020</v>
      </c>
      <c r="X186" t="str">
        <f>Tabla_Consulta_desde_Proyectos10[[#This Row],[PRYAcodigo]]&amp;" - "&amp;Tabla_Consulta_desde_Proyectos10[[#This Row],[PRYAdescripcion]]</f>
        <v>500.1_RM - ACTIVIDADES DEL EQUIPO DE RELEASE MANAGMENT</v>
      </c>
      <c r="Y186" t="str">
        <f>SUBSTITUTE(IFERROR(VLOOKUP(LEFT(Tabla_Consulta_desde_Proyectos10[[#This Row],[Nivel1]],LEN(Tabla_Consulta_desde_Proyectos10[[#This Row],[Nivel1]])-5),Tabla_Consulta_desde_Proyectos10[[#All],[Nivel1]:[Actividad]],2,FALSE),""),"_","-")</f>
        <v/>
      </c>
      <c r="Z186" t="str">
        <f>IFERROR(VLOOKUP(Tabla_Consulta_desde_Proyectos10[[#This Row],[PRYRAfecha]],'Fechas Mes'!G:J,4,TRUE),"")</f>
        <v/>
      </c>
      <c r="AA186" t="e" cm="1">
        <f t="array" ref="AA186">INDEX('Fechas Mes'!F:F,MATCH(Tabla_Consulta_desde_Proyectos10[[#This Row],[Semana]],'Fechas Mes'!J:J,0),)</f>
        <v>#N/A</v>
      </c>
      <c r="AB186">
        <f>YEAR(Tabla_Consulta_desde_Proyectos10[[#This Row],[PRYRAfecha]])</f>
        <v>1900</v>
      </c>
      <c r="AC186" t="e">
        <f>VLOOKUP(Tabla_Consulta_desde_Proyectos10[[#This Row],[PRYRAfecha]],'Fechas Mes'!G:J,4,TRUE)</f>
        <v>#N/A</v>
      </c>
      <c r="AD186" t="str">
        <f>IFERROR(VLOOKUP(Tabla_Consulta_desde_Proyectos10[[#This Row],[PRYcodigo]],Catálogo!A:B,2,FALSE),"Otros")</f>
        <v>Otros</v>
      </c>
      <c r="AE186" t="str">
        <f>IF(LEN(Tabla_Consulta_desde_Proyectos10[[#This Row],[Semana]])&lt;13,"CI",RIGHT(Tabla_Consulta_desde_Proyectos10[[#This Row],[Semana]],4))</f>
        <v>CI</v>
      </c>
    </row>
    <row r="187" spans="1:31" hidden="1">
      <c r="A187" t="s">
        <v>4032</v>
      </c>
      <c r="B187" t="s">
        <v>5344</v>
      </c>
      <c r="C187" t="s">
        <v>5345</v>
      </c>
      <c r="D187" t="s">
        <v>7220</v>
      </c>
      <c r="E187" t="s">
        <v>7195</v>
      </c>
      <c r="F187">
        <v>0</v>
      </c>
      <c r="G187" t="s">
        <v>7221</v>
      </c>
      <c r="L187" s="4"/>
      <c r="O187">
        <v>3000000001823798</v>
      </c>
      <c r="P187" t="s">
        <v>6782</v>
      </c>
      <c r="Q187" t="s">
        <v>7212</v>
      </c>
      <c r="W187" t="str">
        <f>Tabla_Consulta_desde_Proyectos10[[#This Row],[PRYcodigo]]&amp;Tabla_Consulta_desde_Proyectos10[[#This Row],[PRYApath]]</f>
        <v>151-400-RGT2.0/0020</v>
      </c>
      <c r="X187" t="str">
        <f>Tabla_Consulta_desde_Proyectos10[[#This Row],[PRYAcodigo]]&amp;" - "&amp;Tabla_Consulta_desde_Proyectos10[[#This Row],[PRYAdescripcion]]</f>
        <v>500.1_RM - ACTIVIDADES DEL EQUIPO DE RELEASE MANAGMENT</v>
      </c>
      <c r="Y187" t="str">
        <f>SUBSTITUTE(IFERROR(VLOOKUP(LEFT(Tabla_Consulta_desde_Proyectos10[[#This Row],[Nivel1]],LEN(Tabla_Consulta_desde_Proyectos10[[#This Row],[Nivel1]])-5),Tabla_Consulta_desde_Proyectos10[[#All],[Nivel1]:[Actividad]],2,FALSE),""),"_","-")</f>
        <v/>
      </c>
      <c r="Z187" t="str">
        <f>IFERROR(VLOOKUP(Tabla_Consulta_desde_Proyectos10[[#This Row],[PRYRAfecha]],'Fechas Mes'!G:J,4,TRUE),"")</f>
        <v/>
      </c>
      <c r="AA187" t="e" cm="1">
        <f t="array" ref="AA187">INDEX('Fechas Mes'!F:F,MATCH(Tabla_Consulta_desde_Proyectos10[[#This Row],[Semana]],'Fechas Mes'!J:J,0),)</f>
        <v>#N/A</v>
      </c>
      <c r="AB187">
        <f>YEAR(Tabla_Consulta_desde_Proyectos10[[#This Row],[PRYRAfecha]])</f>
        <v>1900</v>
      </c>
      <c r="AC187" t="e">
        <f>VLOOKUP(Tabla_Consulta_desde_Proyectos10[[#This Row],[PRYRAfecha]],'Fechas Mes'!G:J,4,TRUE)</f>
        <v>#N/A</v>
      </c>
      <c r="AD187" t="str">
        <f>IFERROR(VLOOKUP(Tabla_Consulta_desde_Proyectos10[[#This Row],[PRYcodigo]],Catálogo!A:B,2,FALSE),"Otros")</f>
        <v>Otros</v>
      </c>
      <c r="AE187" t="str">
        <f>IF(LEN(Tabla_Consulta_desde_Proyectos10[[#This Row],[Semana]])&lt;13,"CI",RIGHT(Tabla_Consulta_desde_Proyectos10[[#This Row],[Semana]],4))</f>
        <v>CI</v>
      </c>
    </row>
    <row r="188" spans="1:31" hidden="1">
      <c r="A188" t="s">
        <v>4032</v>
      </c>
      <c r="B188" t="s">
        <v>5344</v>
      </c>
      <c r="C188" t="s">
        <v>5345</v>
      </c>
      <c r="D188" t="s">
        <v>7220</v>
      </c>
      <c r="E188" t="s">
        <v>7195</v>
      </c>
      <c r="F188">
        <v>0</v>
      </c>
      <c r="G188" t="s">
        <v>7221</v>
      </c>
      <c r="L188" s="4"/>
      <c r="O188">
        <v>3000000001824060</v>
      </c>
      <c r="P188" t="s">
        <v>6782</v>
      </c>
      <c r="Q188" t="s">
        <v>7212</v>
      </c>
      <c r="W188" t="str">
        <f>Tabla_Consulta_desde_Proyectos10[[#This Row],[PRYcodigo]]&amp;Tabla_Consulta_desde_Proyectos10[[#This Row],[PRYApath]]</f>
        <v>151-400-RGT2.0/0020</v>
      </c>
      <c r="X188" t="str">
        <f>Tabla_Consulta_desde_Proyectos10[[#This Row],[PRYAcodigo]]&amp;" - "&amp;Tabla_Consulta_desde_Proyectos10[[#This Row],[PRYAdescripcion]]</f>
        <v>500.1_RM - ACTIVIDADES DEL EQUIPO DE RELEASE MANAGMENT</v>
      </c>
      <c r="Y188" t="str">
        <f>SUBSTITUTE(IFERROR(VLOOKUP(LEFT(Tabla_Consulta_desde_Proyectos10[[#This Row],[Nivel1]],LEN(Tabla_Consulta_desde_Proyectos10[[#This Row],[Nivel1]])-5),Tabla_Consulta_desde_Proyectos10[[#All],[Nivel1]:[Actividad]],2,FALSE),""),"_","-")</f>
        <v/>
      </c>
      <c r="Z188" t="str">
        <f>IFERROR(VLOOKUP(Tabla_Consulta_desde_Proyectos10[[#This Row],[PRYRAfecha]],'Fechas Mes'!G:J,4,TRUE),"")</f>
        <v/>
      </c>
      <c r="AA188" t="e" cm="1">
        <f t="array" ref="AA188">INDEX('Fechas Mes'!F:F,MATCH(Tabla_Consulta_desde_Proyectos10[[#This Row],[Semana]],'Fechas Mes'!J:J,0),)</f>
        <v>#N/A</v>
      </c>
      <c r="AB188">
        <f>YEAR(Tabla_Consulta_desde_Proyectos10[[#This Row],[PRYRAfecha]])</f>
        <v>1900</v>
      </c>
      <c r="AC188" t="e">
        <f>VLOOKUP(Tabla_Consulta_desde_Proyectos10[[#This Row],[PRYRAfecha]],'Fechas Mes'!G:J,4,TRUE)</f>
        <v>#N/A</v>
      </c>
      <c r="AD188" t="str">
        <f>IFERROR(VLOOKUP(Tabla_Consulta_desde_Proyectos10[[#This Row],[PRYcodigo]],Catálogo!A:B,2,FALSE),"Otros")</f>
        <v>Otros</v>
      </c>
      <c r="AE188" t="str">
        <f>IF(LEN(Tabla_Consulta_desde_Proyectos10[[#This Row],[Semana]])&lt;13,"CI",RIGHT(Tabla_Consulta_desde_Proyectos10[[#This Row],[Semana]],4))</f>
        <v>CI</v>
      </c>
    </row>
    <row r="189" spans="1:31" hidden="1">
      <c r="A189" t="s">
        <v>4032</v>
      </c>
      <c r="B189" t="s">
        <v>5344</v>
      </c>
      <c r="C189" t="s">
        <v>5345</v>
      </c>
      <c r="D189" t="s">
        <v>7220</v>
      </c>
      <c r="E189" t="s">
        <v>7195</v>
      </c>
      <c r="F189">
        <v>0</v>
      </c>
      <c r="G189" t="s">
        <v>7221</v>
      </c>
      <c r="L189" s="4"/>
      <c r="O189">
        <v>3000000001824083</v>
      </c>
      <c r="P189" t="s">
        <v>6782</v>
      </c>
      <c r="Q189" t="s">
        <v>7210</v>
      </c>
      <c r="W189" t="str">
        <f>Tabla_Consulta_desde_Proyectos10[[#This Row],[PRYcodigo]]&amp;Tabla_Consulta_desde_Proyectos10[[#This Row],[PRYApath]]</f>
        <v>151-400-RGT2.0/0020</v>
      </c>
      <c r="X189" t="str">
        <f>Tabla_Consulta_desde_Proyectos10[[#This Row],[PRYAcodigo]]&amp;" - "&amp;Tabla_Consulta_desde_Proyectos10[[#This Row],[PRYAdescripcion]]</f>
        <v>500.1_RM - ACTIVIDADES DEL EQUIPO DE RELEASE MANAGMENT</v>
      </c>
      <c r="Y189" t="str">
        <f>SUBSTITUTE(IFERROR(VLOOKUP(LEFT(Tabla_Consulta_desde_Proyectos10[[#This Row],[Nivel1]],LEN(Tabla_Consulta_desde_Proyectos10[[#This Row],[Nivel1]])-5),Tabla_Consulta_desde_Proyectos10[[#All],[Nivel1]:[Actividad]],2,FALSE),""),"_","-")</f>
        <v/>
      </c>
      <c r="Z189" t="str">
        <f>IFERROR(VLOOKUP(Tabla_Consulta_desde_Proyectos10[[#This Row],[PRYRAfecha]],'Fechas Mes'!G:J,4,TRUE),"")</f>
        <v/>
      </c>
      <c r="AA189" t="e" cm="1">
        <f t="array" ref="AA189">INDEX('Fechas Mes'!F:F,MATCH(Tabla_Consulta_desde_Proyectos10[[#This Row],[Semana]],'Fechas Mes'!J:J,0),)</f>
        <v>#N/A</v>
      </c>
      <c r="AB189">
        <f>YEAR(Tabla_Consulta_desde_Proyectos10[[#This Row],[PRYRAfecha]])</f>
        <v>1900</v>
      </c>
      <c r="AC189" t="e">
        <f>VLOOKUP(Tabla_Consulta_desde_Proyectos10[[#This Row],[PRYRAfecha]],'Fechas Mes'!G:J,4,TRUE)</f>
        <v>#N/A</v>
      </c>
      <c r="AD189" t="str">
        <f>IFERROR(VLOOKUP(Tabla_Consulta_desde_Proyectos10[[#This Row],[PRYcodigo]],Catálogo!A:B,2,FALSE),"Otros")</f>
        <v>Otros</v>
      </c>
      <c r="AE189" t="str">
        <f>IF(LEN(Tabla_Consulta_desde_Proyectos10[[#This Row],[Semana]])&lt;13,"CI",RIGHT(Tabla_Consulta_desde_Proyectos10[[#This Row],[Semana]],4))</f>
        <v>CI</v>
      </c>
    </row>
    <row r="190" spans="1:31" hidden="1">
      <c r="A190" t="s">
        <v>4032</v>
      </c>
      <c r="B190" t="s">
        <v>5344</v>
      </c>
      <c r="C190" t="s">
        <v>5345</v>
      </c>
      <c r="D190" t="s">
        <v>7220</v>
      </c>
      <c r="E190" t="s">
        <v>7195</v>
      </c>
      <c r="F190">
        <v>0</v>
      </c>
      <c r="G190" t="s">
        <v>7221</v>
      </c>
      <c r="L190" s="4"/>
      <c r="O190">
        <v>3000000001824087</v>
      </c>
      <c r="P190" t="s">
        <v>6782</v>
      </c>
      <c r="Q190" t="s">
        <v>7210</v>
      </c>
      <c r="W190" t="str">
        <f>Tabla_Consulta_desde_Proyectos10[[#This Row],[PRYcodigo]]&amp;Tabla_Consulta_desde_Proyectos10[[#This Row],[PRYApath]]</f>
        <v>151-400-RGT2.0/0020</v>
      </c>
      <c r="X190" t="str">
        <f>Tabla_Consulta_desde_Proyectos10[[#This Row],[PRYAcodigo]]&amp;" - "&amp;Tabla_Consulta_desde_Proyectos10[[#This Row],[PRYAdescripcion]]</f>
        <v>500.1_RM - ACTIVIDADES DEL EQUIPO DE RELEASE MANAGMENT</v>
      </c>
      <c r="Y190" t="str">
        <f>SUBSTITUTE(IFERROR(VLOOKUP(LEFT(Tabla_Consulta_desde_Proyectos10[[#This Row],[Nivel1]],LEN(Tabla_Consulta_desde_Proyectos10[[#This Row],[Nivel1]])-5),Tabla_Consulta_desde_Proyectos10[[#All],[Nivel1]:[Actividad]],2,FALSE),""),"_","-")</f>
        <v/>
      </c>
      <c r="Z190" t="str">
        <f>IFERROR(VLOOKUP(Tabla_Consulta_desde_Proyectos10[[#This Row],[PRYRAfecha]],'Fechas Mes'!G:J,4,TRUE),"")</f>
        <v/>
      </c>
      <c r="AA190" t="e" cm="1">
        <f t="array" ref="AA190">INDEX('Fechas Mes'!F:F,MATCH(Tabla_Consulta_desde_Proyectos10[[#This Row],[Semana]],'Fechas Mes'!J:J,0),)</f>
        <v>#N/A</v>
      </c>
      <c r="AB190">
        <f>YEAR(Tabla_Consulta_desde_Proyectos10[[#This Row],[PRYRAfecha]])</f>
        <v>1900</v>
      </c>
      <c r="AC190" t="e">
        <f>VLOOKUP(Tabla_Consulta_desde_Proyectos10[[#This Row],[PRYRAfecha]],'Fechas Mes'!G:J,4,TRUE)</f>
        <v>#N/A</v>
      </c>
      <c r="AD190" t="str">
        <f>IFERROR(VLOOKUP(Tabla_Consulta_desde_Proyectos10[[#This Row],[PRYcodigo]],Catálogo!A:B,2,FALSE),"Otros")</f>
        <v>Otros</v>
      </c>
      <c r="AE190" t="str">
        <f>IF(LEN(Tabla_Consulta_desde_Proyectos10[[#This Row],[Semana]])&lt;13,"CI",RIGHT(Tabla_Consulta_desde_Proyectos10[[#This Row],[Semana]],4))</f>
        <v>CI</v>
      </c>
    </row>
    <row r="191" spans="1:31" hidden="1">
      <c r="A191" t="s">
        <v>4032</v>
      </c>
      <c r="B191" t="s">
        <v>5344</v>
      </c>
      <c r="C191" t="s">
        <v>5345</v>
      </c>
      <c r="D191" t="s">
        <v>7220</v>
      </c>
      <c r="E191" t="s">
        <v>7195</v>
      </c>
      <c r="F191">
        <v>0</v>
      </c>
      <c r="G191" t="s">
        <v>7221</v>
      </c>
      <c r="L191" s="4"/>
      <c r="O191">
        <v>3000000001824282</v>
      </c>
      <c r="P191" t="s">
        <v>6782</v>
      </c>
      <c r="Q191" t="s">
        <v>7210</v>
      </c>
      <c r="W191" t="str">
        <f>Tabla_Consulta_desde_Proyectos10[[#This Row],[PRYcodigo]]&amp;Tabla_Consulta_desde_Proyectos10[[#This Row],[PRYApath]]</f>
        <v>151-400-RGT2.0/0020</v>
      </c>
      <c r="X191" t="str">
        <f>Tabla_Consulta_desde_Proyectos10[[#This Row],[PRYAcodigo]]&amp;" - "&amp;Tabla_Consulta_desde_Proyectos10[[#This Row],[PRYAdescripcion]]</f>
        <v>500.1_RM - ACTIVIDADES DEL EQUIPO DE RELEASE MANAGMENT</v>
      </c>
      <c r="Y191" t="str">
        <f>SUBSTITUTE(IFERROR(VLOOKUP(LEFT(Tabla_Consulta_desde_Proyectos10[[#This Row],[Nivel1]],LEN(Tabla_Consulta_desde_Proyectos10[[#This Row],[Nivel1]])-5),Tabla_Consulta_desde_Proyectos10[[#All],[Nivel1]:[Actividad]],2,FALSE),""),"_","-")</f>
        <v/>
      </c>
      <c r="Z191" t="str">
        <f>IFERROR(VLOOKUP(Tabla_Consulta_desde_Proyectos10[[#This Row],[PRYRAfecha]],'Fechas Mes'!G:J,4,TRUE),"")</f>
        <v/>
      </c>
      <c r="AA191" t="e" cm="1">
        <f t="array" ref="AA191">INDEX('Fechas Mes'!F:F,MATCH(Tabla_Consulta_desde_Proyectos10[[#This Row],[Semana]],'Fechas Mes'!J:J,0),)</f>
        <v>#N/A</v>
      </c>
      <c r="AB191">
        <f>YEAR(Tabla_Consulta_desde_Proyectos10[[#This Row],[PRYRAfecha]])</f>
        <v>1900</v>
      </c>
      <c r="AC191" t="e">
        <f>VLOOKUP(Tabla_Consulta_desde_Proyectos10[[#This Row],[PRYRAfecha]],'Fechas Mes'!G:J,4,TRUE)</f>
        <v>#N/A</v>
      </c>
      <c r="AD191" t="str">
        <f>IFERROR(VLOOKUP(Tabla_Consulta_desde_Proyectos10[[#This Row],[PRYcodigo]],Catálogo!A:B,2,FALSE),"Otros")</f>
        <v>Otros</v>
      </c>
      <c r="AE191" t="str">
        <f>IF(LEN(Tabla_Consulta_desde_Proyectos10[[#This Row],[Semana]])&lt;13,"CI",RIGHT(Tabla_Consulta_desde_Proyectos10[[#This Row],[Semana]],4))</f>
        <v>CI</v>
      </c>
    </row>
    <row r="192" spans="1:31" hidden="1">
      <c r="A192" t="s">
        <v>4032</v>
      </c>
      <c r="B192" t="s">
        <v>5344</v>
      </c>
      <c r="C192" t="s">
        <v>5345</v>
      </c>
      <c r="D192" t="s">
        <v>7220</v>
      </c>
      <c r="E192" t="s">
        <v>7195</v>
      </c>
      <c r="F192">
        <v>0</v>
      </c>
      <c r="G192" t="s">
        <v>7221</v>
      </c>
      <c r="L192" s="4"/>
      <c r="O192">
        <v>3000000001824408</v>
      </c>
      <c r="P192" t="s">
        <v>6788</v>
      </c>
      <c r="Q192" t="s">
        <v>7664</v>
      </c>
      <c r="W192" t="str">
        <f>Tabla_Consulta_desde_Proyectos10[[#This Row],[PRYcodigo]]&amp;Tabla_Consulta_desde_Proyectos10[[#This Row],[PRYApath]]</f>
        <v>151-400-RGT2.0/0020</v>
      </c>
      <c r="X192" t="str">
        <f>Tabla_Consulta_desde_Proyectos10[[#This Row],[PRYAcodigo]]&amp;" - "&amp;Tabla_Consulta_desde_Proyectos10[[#This Row],[PRYAdescripcion]]</f>
        <v>500.1_RM - ACTIVIDADES DEL EQUIPO DE RELEASE MANAGMENT</v>
      </c>
      <c r="Y192" t="str">
        <f>SUBSTITUTE(IFERROR(VLOOKUP(LEFT(Tabla_Consulta_desde_Proyectos10[[#This Row],[Nivel1]],LEN(Tabla_Consulta_desde_Proyectos10[[#This Row],[Nivel1]])-5),Tabla_Consulta_desde_Proyectos10[[#All],[Nivel1]:[Actividad]],2,FALSE),""),"_","-")</f>
        <v/>
      </c>
      <c r="Z192" t="str">
        <f>IFERROR(VLOOKUP(Tabla_Consulta_desde_Proyectos10[[#This Row],[PRYRAfecha]],'Fechas Mes'!G:J,4,TRUE),"")</f>
        <v/>
      </c>
      <c r="AA192" t="e" cm="1">
        <f t="array" ref="AA192">INDEX('Fechas Mes'!F:F,MATCH(Tabla_Consulta_desde_Proyectos10[[#This Row],[Semana]],'Fechas Mes'!J:J,0),)</f>
        <v>#N/A</v>
      </c>
      <c r="AB192">
        <f>YEAR(Tabla_Consulta_desde_Proyectos10[[#This Row],[PRYRAfecha]])</f>
        <v>1900</v>
      </c>
      <c r="AC192" t="e">
        <f>VLOOKUP(Tabla_Consulta_desde_Proyectos10[[#This Row],[PRYRAfecha]],'Fechas Mes'!G:J,4,TRUE)</f>
        <v>#N/A</v>
      </c>
      <c r="AD192" t="str">
        <f>IFERROR(VLOOKUP(Tabla_Consulta_desde_Proyectos10[[#This Row],[PRYcodigo]],Catálogo!A:B,2,FALSE),"Otros")</f>
        <v>Otros</v>
      </c>
      <c r="AE192" t="str">
        <f>IF(LEN(Tabla_Consulta_desde_Proyectos10[[#This Row],[Semana]])&lt;13,"CI",RIGHT(Tabla_Consulta_desde_Proyectos10[[#This Row],[Semana]],4))</f>
        <v>CI</v>
      </c>
    </row>
    <row r="193" spans="1:31" hidden="1">
      <c r="A193" t="s">
        <v>4032</v>
      </c>
      <c r="B193" t="s">
        <v>5344</v>
      </c>
      <c r="C193" t="s">
        <v>5345</v>
      </c>
      <c r="D193" t="s">
        <v>7220</v>
      </c>
      <c r="E193" t="s">
        <v>7195</v>
      </c>
      <c r="F193">
        <v>0</v>
      </c>
      <c r="G193" t="s">
        <v>7221</v>
      </c>
      <c r="L193" s="4"/>
      <c r="O193">
        <v>3000000001824887</v>
      </c>
      <c r="P193" t="s">
        <v>6782</v>
      </c>
      <c r="Q193" t="s">
        <v>7212</v>
      </c>
      <c r="W193" t="str">
        <f>Tabla_Consulta_desde_Proyectos10[[#This Row],[PRYcodigo]]&amp;Tabla_Consulta_desde_Proyectos10[[#This Row],[PRYApath]]</f>
        <v>151-400-RGT2.0/0020</v>
      </c>
      <c r="X193" t="str">
        <f>Tabla_Consulta_desde_Proyectos10[[#This Row],[PRYAcodigo]]&amp;" - "&amp;Tabla_Consulta_desde_Proyectos10[[#This Row],[PRYAdescripcion]]</f>
        <v>500.1_RM - ACTIVIDADES DEL EQUIPO DE RELEASE MANAGMENT</v>
      </c>
      <c r="Y193" t="str">
        <f>SUBSTITUTE(IFERROR(VLOOKUP(LEFT(Tabla_Consulta_desde_Proyectos10[[#This Row],[Nivel1]],LEN(Tabla_Consulta_desde_Proyectos10[[#This Row],[Nivel1]])-5),Tabla_Consulta_desde_Proyectos10[[#All],[Nivel1]:[Actividad]],2,FALSE),""),"_","-")</f>
        <v/>
      </c>
      <c r="Z193" t="str">
        <f>IFERROR(VLOOKUP(Tabla_Consulta_desde_Proyectos10[[#This Row],[PRYRAfecha]],'Fechas Mes'!G:J,4,TRUE),"")</f>
        <v/>
      </c>
      <c r="AA193" t="e" cm="1">
        <f t="array" ref="AA193">INDEX('Fechas Mes'!F:F,MATCH(Tabla_Consulta_desde_Proyectos10[[#This Row],[Semana]],'Fechas Mes'!J:J,0),)</f>
        <v>#N/A</v>
      </c>
      <c r="AB193">
        <f>YEAR(Tabla_Consulta_desde_Proyectos10[[#This Row],[PRYRAfecha]])</f>
        <v>1900</v>
      </c>
      <c r="AC193" t="e">
        <f>VLOOKUP(Tabla_Consulta_desde_Proyectos10[[#This Row],[PRYRAfecha]],'Fechas Mes'!G:J,4,TRUE)</f>
        <v>#N/A</v>
      </c>
      <c r="AD193" t="str">
        <f>IFERROR(VLOOKUP(Tabla_Consulta_desde_Proyectos10[[#This Row],[PRYcodigo]],Catálogo!A:B,2,FALSE),"Otros")</f>
        <v>Otros</v>
      </c>
      <c r="AE193" t="str">
        <f>IF(LEN(Tabla_Consulta_desde_Proyectos10[[#This Row],[Semana]])&lt;13,"CI",RIGHT(Tabla_Consulta_desde_Proyectos10[[#This Row],[Semana]],4))</f>
        <v>CI</v>
      </c>
    </row>
    <row r="194" spans="1:31" hidden="1">
      <c r="A194" t="s">
        <v>4032</v>
      </c>
      <c r="B194" t="s">
        <v>5344</v>
      </c>
      <c r="C194" t="s">
        <v>5345</v>
      </c>
      <c r="D194" t="s">
        <v>7220</v>
      </c>
      <c r="E194" t="s">
        <v>7195</v>
      </c>
      <c r="F194">
        <v>0</v>
      </c>
      <c r="G194" t="s">
        <v>7221</v>
      </c>
      <c r="L194" s="4"/>
      <c r="O194">
        <v>3000000001824908</v>
      </c>
      <c r="P194" t="s">
        <v>6782</v>
      </c>
      <c r="Q194" t="s">
        <v>7198</v>
      </c>
      <c r="W194" t="str">
        <f>Tabla_Consulta_desde_Proyectos10[[#This Row],[PRYcodigo]]&amp;Tabla_Consulta_desde_Proyectos10[[#This Row],[PRYApath]]</f>
        <v>151-400-RGT2.0/0020</v>
      </c>
      <c r="X194" t="str">
        <f>Tabla_Consulta_desde_Proyectos10[[#This Row],[PRYAcodigo]]&amp;" - "&amp;Tabla_Consulta_desde_Proyectos10[[#This Row],[PRYAdescripcion]]</f>
        <v>500.1_RM - ACTIVIDADES DEL EQUIPO DE RELEASE MANAGMENT</v>
      </c>
      <c r="Y194" t="str">
        <f>SUBSTITUTE(IFERROR(VLOOKUP(LEFT(Tabla_Consulta_desde_Proyectos10[[#This Row],[Nivel1]],LEN(Tabla_Consulta_desde_Proyectos10[[#This Row],[Nivel1]])-5),Tabla_Consulta_desde_Proyectos10[[#All],[Nivel1]:[Actividad]],2,FALSE),""),"_","-")</f>
        <v/>
      </c>
      <c r="Z194" t="str">
        <f>IFERROR(VLOOKUP(Tabla_Consulta_desde_Proyectos10[[#This Row],[PRYRAfecha]],'Fechas Mes'!G:J,4,TRUE),"")</f>
        <v/>
      </c>
      <c r="AA194" t="e" cm="1">
        <f t="array" ref="AA194">INDEX('Fechas Mes'!F:F,MATCH(Tabla_Consulta_desde_Proyectos10[[#This Row],[Semana]],'Fechas Mes'!J:J,0),)</f>
        <v>#N/A</v>
      </c>
      <c r="AB194">
        <f>YEAR(Tabla_Consulta_desde_Proyectos10[[#This Row],[PRYRAfecha]])</f>
        <v>1900</v>
      </c>
      <c r="AC194" t="e">
        <f>VLOOKUP(Tabla_Consulta_desde_Proyectos10[[#This Row],[PRYRAfecha]],'Fechas Mes'!G:J,4,TRUE)</f>
        <v>#N/A</v>
      </c>
      <c r="AD194" t="str">
        <f>IFERROR(VLOOKUP(Tabla_Consulta_desde_Proyectos10[[#This Row],[PRYcodigo]],Catálogo!A:B,2,FALSE),"Otros")</f>
        <v>Otros</v>
      </c>
      <c r="AE194" t="str">
        <f>IF(LEN(Tabla_Consulta_desde_Proyectos10[[#This Row],[Semana]])&lt;13,"CI",RIGHT(Tabla_Consulta_desde_Proyectos10[[#This Row],[Semana]],4))</f>
        <v>CI</v>
      </c>
    </row>
    <row r="195" spans="1:31" hidden="1">
      <c r="A195" t="s">
        <v>4032</v>
      </c>
      <c r="B195" t="s">
        <v>5344</v>
      </c>
      <c r="C195" t="s">
        <v>5345</v>
      </c>
      <c r="D195" t="s">
        <v>7220</v>
      </c>
      <c r="E195" t="s">
        <v>7195</v>
      </c>
      <c r="F195">
        <v>0</v>
      </c>
      <c r="G195" t="s">
        <v>7221</v>
      </c>
      <c r="L195" s="4"/>
      <c r="O195">
        <v>3000000001825089</v>
      </c>
      <c r="P195" t="s">
        <v>6782</v>
      </c>
      <c r="Q195" t="s">
        <v>7198</v>
      </c>
      <c r="W195" t="str">
        <f>Tabla_Consulta_desde_Proyectos10[[#This Row],[PRYcodigo]]&amp;Tabla_Consulta_desde_Proyectos10[[#This Row],[PRYApath]]</f>
        <v>151-400-RGT2.0/0020</v>
      </c>
      <c r="X195" t="str">
        <f>Tabla_Consulta_desde_Proyectos10[[#This Row],[PRYAcodigo]]&amp;" - "&amp;Tabla_Consulta_desde_Proyectos10[[#This Row],[PRYAdescripcion]]</f>
        <v>500.1_RM - ACTIVIDADES DEL EQUIPO DE RELEASE MANAGMENT</v>
      </c>
      <c r="Y195" t="str">
        <f>SUBSTITUTE(IFERROR(VLOOKUP(LEFT(Tabla_Consulta_desde_Proyectos10[[#This Row],[Nivel1]],LEN(Tabla_Consulta_desde_Proyectos10[[#This Row],[Nivel1]])-5),Tabla_Consulta_desde_Proyectos10[[#All],[Nivel1]:[Actividad]],2,FALSE),""),"_","-")</f>
        <v/>
      </c>
      <c r="Z195" t="str">
        <f>IFERROR(VLOOKUP(Tabla_Consulta_desde_Proyectos10[[#This Row],[PRYRAfecha]],'Fechas Mes'!G:J,4,TRUE),"")</f>
        <v/>
      </c>
      <c r="AA195" t="e" cm="1">
        <f t="array" ref="AA195">INDEX('Fechas Mes'!F:F,MATCH(Tabla_Consulta_desde_Proyectos10[[#This Row],[Semana]],'Fechas Mes'!J:J,0),)</f>
        <v>#N/A</v>
      </c>
      <c r="AB195">
        <f>YEAR(Tabla_Consulta_desde_Proyectos10[[#This Row],[PRYRAfecha]])</f>
        <v>1900</v>
      </c>
      <c r="AC195" t="e">
        <f>VLOOKUP(Tabla_Consulta_desde_Proyectos10[[#This Row],[PRYRAfecha]],'Fechas Mes'!G:J,4,TRUE)</f>
        <v>#N/A</v>
      </c>
      <c r="AD195" t="str">
        <f>IFERROR(VLOOKUP(Tabla_Consulta_desde_Proyectos10[[#This Row],[PRYcodigo]],Catálogo!A:B,2,FALSE),"Otros")</f>
        <v>Otros</v>
      </c>
      <c r="AE195" t="str">
        <f>IF(LEN(Tabla_Consulta_desde_Proyectos10[[#This Row],[Semana]])&lt;13,"CI",RIGHT(Tabla_Consulta_desde_Proyectos10[[#This Row],[Semana]],4))</f>
        <v>CI</v>
      </c>
    </row>
    <row r="196" spans="1:31" hidden="1">
      <c r="A196" t="s">
        <v>4032</v>
      </c>
      <c r="B196" t="s">
        <v>5344</v>
      </c>
      <c r="C196" t="s">
        <v>5345</v>
      </c>
      <c r="D196" t="s">
        <v>7220</v>
      </c>
      <c r="E196" t="s">
        <v>7195</v>
      </c>
      <c r="F196">
        <v>0</v>
      </c>
      <c r="G196" t="s">
        <v>7221</v>
      </c>
      <c r="L196" s="4"/>
      <c r="O196">
        <v>3000000001825095</v>
      </c>
      <c r="P196" t="s">
        <v>6784</v>
      </c>
      <c r="Q196" t="s">
        <v>7222</v>
      </c>
      <c r="W196" t="str">
        <f>Tabla_Consulta_desde_Proyectos10[[#This Row],[PRYcodigo]]&amp;Tabla_Consulta_desde_Proyectos10[[#This Row],[PRYApath]]</f>
        <v>151-400-RGT2.0/0020</v>
      </c>
      <c r="X196" t="str">
        <f>Tabla_Consulta_desde_Proyectos10[[#This Row],[PRYAcodigo]]&amp;" - "&amp;Tabla_Consulta_desde_Proyectos10[[#This Row],[PRYAdescripcion]]</f>
        <v>500.1_RM - ACTIVIDADES DEL EQUIPO DE RELEASE MANAGMENT</v>
      </c>
      <c r="Y196" t="str">
        <f>SUBSTITUTE(IFERROR(VLOOKUP(LEFT(Tabla_Consulta_desde_Proyectos10[[#This Row],[Nivel1]],LEN(Tabla_Consulta_desde_Proyectos10[[#This Row],[Nivel1]])-5),Tabla_Consulta_desde_Proyectos10[[#All],[Nivel1]:[Actividad]],2,FALSE),""),"_","-")</f>
        <v/>
      </c>
      <c r="Z196" t="str">
        <f>IFERROR(VLOOKUP(Tabla_Consulta_desde_Proyectos10[[#This Row],[PRYRAfecha]],'Fechas Mes'!G:J,4,TRUE),"")</f>
        <v/>
      </c>
      <c r="AA196" t="e" cm="1">
        <f t="array" ref="AA196">INDEX('Fechas Mes'!F:F,MATCH(Tabla_Consulta_desde_Proyectos10[[#This Row],[Semana]],'Fechas Mes'!J:J,0),)</f>
        <v>#N/A</v>
      </c>
      <c r="AB196">
        <f>YEAR(Tabla_Consulta_desde_Proyectos10[[#This Row],[PRYRAfecha]])</f>
        <v>1900</v>
      </c>
      <c r="AC196" t="e">
        <f>VLOOKUP(Tabla_Consulta_desde_Proyectos10[[#This Row],[PRYRAfecha]],'Fechas Mes'!G:J,4,TRUE)</f>
        <v>#N/A</v>
      </c>
      <c r="AD196" t="str">
        <f>IFERROR(VLOOKUP(Tabla_Consulta_desde_Proyectos10[[#This Row],[PRYcodigo]],Catálogo!A:B,2,FALSE),"Otros")</f>
        <v>Otros</v>
      </c>
      <c r="AE196" t="str">
        <f>IF(LEN(Tabla_Consulta_desde_Proyectos10[[#This Row],[Semana]])&lt;13,"CI",RIGHT(Tabla_Consulta_desde_Proyectos10[[#This Row],[Semana]],4))</f>
        <v>CI</v>
      </c>
    </row>
    <row r="197" spans="1:31" hidden="1">
      <c r="A197" t="s">
        <v>4032</v>
      </c>
      <c r="B197" t="s">
        <v>5344</v>
      </c>
      <c r="C197" t="s">
        <v>5345</v>
      </c>
      <c r="D197" t="s">
        <v>7220</v>
      </c>
      <c r="E197" t="s">
        <v>7195</v>
      </c>
      <c r="F197">
        <v>0</v>
      </c>
      <c r="G197" t="s">
        <v>7221</v>
      </c>
      <c r="L197" s="4"/>
      <c r="O197">
        <v>3000000001825704</v>
      </c>
      <c r="P197" t="s">
        <v>6782</v>
      </c>
      <c r="Q197" t="s">
        <v>7210</v>
      </c>
      <c r="W197" t="str">
        <f>Tabla_Consulta_desde_Proyectos10[[#This Row],[PRYcodigo]]&amp;Tabla_Consulta_desde_Proyectos10[[#This Row],[PRYApath]]</f>
        <v>151-400-RGT2.0/0020</v>
      </c>
      <c r="X197" t="str">
        <f>Tabla_Consulta_desde_Proyectos10[[#This Row],[PRYAcodigo]]&amp;" - "&amp;Tabla_Consulta_desde_Proyectos10[[#This Row],[PRYAdescripcion]]</f>
        <v>500.1_RM - ACTIVIDADES DEL EQUIPO DE RELEASE MANAGMENT</v>
      </c>
      <c r="Y197" t="str">
        <f>SUBSTITUTE(IFERROR(VLOOKUP(LEFT(Tabla_Consulta_desde_Proyectos10[[#This Row],[Nivel1]],LEN(Tabla_Consulta_desde_Proyectos10[[#This Row],[Nivel1]])-5),Tabla_Consulta_desde_Proyectos10[[#All],[Nivel1]:[Actividad]],2,FALSE),""),"_","-")</f>
        <v/>
      </c>
      <c r="Z197" t="str">
        <f>IFERROR(VLOOKUP(Tabla_Consulta_desde_Proyectos10[[#This Row],[PRYRAfecha]],'Fechas Mes'!G:J,4,TRUE),"")</f>
        <v/>
      </c>
      <c r="AA197" t="e" cm="1">
        <f t="array" ref="AA197">INDEX('Fechas Mes'!F:F,MATCH(Tabla_Consulta_desde_Proyectos10[[#This Row],[Semana]],'Fechas Mes'!J:J,0),)</f>
        <v>#N/A</v>
      </c>
      <c r="AB197">
        <f>YEAR(Tabla_Consulta_desde_Proyectos10[[#This Row],[PRYRAfecha]])</f>
        <v>1900</v>
      </c>
      <c r="AC197" t="e">
        <f>VLOOKUP(Tabla_Consulta_desde_Proyectos10[[#This Row],[PRYRAfecha]],'Fechas Mes'!G:J,4,TRUE)</f>
        <v>#N/A</v>
      </c>
      <c r="AD197" t="str">
        <f>IFERROR(VLOOKUP(Tabla_Consulta_desde_Proyectos10[[#This Row],[PRYcodigo]],Catálogo!A:B,2,FALSE),"Otros")</f>
        <v>Otros</v>
      </c>
      <c r="AE197" t="str">
        <f>IF(LEN(Tabla_Consulta_desde_Proyectos10[[#This Row],[Semana]])&lt;13,"CI",RIGHT(Tabla_Consulta_desde_Proyectos10[[#This Row],[Semana]],4))</f>
        <v>CI</v>
      </c>
    </row>
    <row r="198" spans="1:31" hidden="1">
      <c r="A198" t="s">
        <v>4032</v>
      </c>
      <c r="B198" t="s">
        <v>5344</v>
      </c>
      <c r="C198" t="s">
        <v>5345</v>
      </c>
      <c r="D198" t="s">
        <v>7220</v>
      </c>
      <c r="E198" t="s">
        <v>7195</v>
      </c>
      <c r="F198">
        <v>0</v>
      </c>
      <c r="G198" t="s">
        <v>7221</v>
      </c>
      <c r="L198" s="4"/>
      <c r="O198">
        <v>3000000001825709</v>
      </c>
      <c r="P198" t="s">
        <v>6782</v>
      </c>
      <c r="Q198" t="s">
        <v>7210</v>
      </c>
      <c r="W198" t="str">
        <f>Tabla_Consulta_desde_Proyectos10[[#This Row],[PRYcodigo]]&amp;Tabla_Consulta_desde_Proyectos10[[#This Row],[PRYApath]]</f>
        <v>151-400-RGT2.0/0020</v>
      </c>
      <c r="X198" t="str">
        <f>Tabla_Consulta_desde_Proyectos10[[#This Row],[PRYAcodigo]]&amp;" - "&amp;Tabla_Consulta_desde_Proyectos10[[#This Row],[PRYAdescripcion]]</f>
        <v>500.1_RM - ACTIVIDADES DEL EQUIPO DE RELEASE MANAGMENT</v>
      </c>
      <c r="Y198" t="str">
        <f>SUBSTITUTE(IFERROR(VLOOKUP(LEFT(Tabla_Consulta_desde_Proyectos10[[#This Row],[Nivel1]],LEN(Tabla_Consulta_desde_Proyectos10[[#This Row],[Nivel1]])-5),Tabla_Consulta_desde_Proyectos10[[#All],[Nivel1]:[Actividad]],2,FALSE),""),"_","-")</f>
        <v/>
      </c>
      <c r="Z198" t="str">
        <f>IFERROR(VLOOKUP(Tabla_Consulta_desde_Proyectos10[[#This Row],[PRYRAfecha]],'Fechas Mes'!G:J,4,TRUE),"")</f>
        <v/>
      </c>
      <c r="AA198" t="e" cm="1">
        <f t="array" ref="AA198">INDEX('Fechas Mes'!F:F,MATCH(Tabla_Consulta_desde_Proyectos10[[#This Row],[Semana]],'Fechas Mes'!J:J,0),)</f>
        <v>#N/A</v>
      </c>
      <c r="AB198">
        <f>YEAR(Tabla_Consulta_desde_Proyectos10[[#This Row],[PRYRAfecha]])</f>
        <v>1900</v>
      </c>
      <c r="AC198" t="e">
        <f>VLOOKUP(Tabla_Consulta_desde_Proyectos10[[#This Row],[PRYRAfecha]],'Fechas Mes'!G:J,4,TRUE)</f>
        <v>#N/A</v>
      </c>
      <c r="AD198" t="str">
        <f>IFERROR(VLOOKUP(Tabla_Consulta_desde_Proyectos10[[#This Row],[PRYcodigo]],Catálogo!A:B,2,FALSE),"Otros")</f>
        <v>Otros</v>
      </c>
      <c r="AE198" t="str">
        <f>IF(LEN(Tabla_Consulta_desde_Proyectos10[[#This Row],[Semana]])&lt;13,"CI",RIGHT(Tabla_Consulta_desde_Proyectos10[[#This Row],[Semana]],4))</f>
        <v>CI</v>
      </c>
    </row>
    <row r="199" spans="1:31" hidden="1">
      <c r="A199" t="s">
        <v>4032</v>
      </c>
      <c r="B199" t="s">
        <v>5344</v>
      </c>
      <c r="C199" t="s">
        <v>5345</v>
      </c>
      <c r="D199" t="s">
        <v>7220</v>
      </c>
      <c r="E199" t="s">
        <v>7195</v>
      </c>
      <c r="F199">
        <v>0</v>
      </c>
      <c r="G199" t="s">
        <v>7221</v>
      </c>
      <c r="L199" s="4"/>
      <c r="O199">
        <v>3000000001826461</v>
      </c>
      <c r="P199" t="s">
        <v>6784</v>
      </c>
      <c r="Q199" t="s">
        <v>7222</v>
      </c>
      <c r="W199" t="str">
        <f>Tabla_Consulta_desde_Proyectos10[[#This Row],[PRYcodigo]]&amp;Tabla_Consulta_desde_Proyectos10[[#This Row],[PRYApath]]</f>
        <v>151-400-RGT2.0/0020</v>
      </c>
      <c r="X199" t="str">
        <f>Tabla_Consulta_desde_Proyectos10[[#This Row],[PRYAcodigo]]&amp;" - "&amp;Tabla_Consulta_desde_Proyectos10[[#This Row],[PRYAdescripcion]]</f>
        <v>500.1_RM - ACTIVIDADES DEL EQUIPO DE RELEASE MANAGMENT</v>
      </c>
      <c r="Y199" t="str">
        <f>SUBSTITUTE(IFERROR(VLOOKUP(LEFT(Tabla_Consulta_desde_Proyectos10[[#This Row],[Nivel1]],LEN(Tabla_Consulta_desde_Proyectos10[[#This Row],[Nivel1]])-5),Tabla_Consulta_desde_Proyectos10[[#All],[Nivel1]:[Actividad]],2,FALSE),""),"_","-")</f>
        <v/>
      </c>
      <c r="Z199" t="str">
        <f>IFERROR(VLOOKUP(Tabla_Consulta_desde_Proyectos10[[#This Row],[PRYRAfecha]],'Fechas Mes'!G:J,4,TRUE),"")</f>
        <v/>
      </c>
      <c r="AA199" t="e" cm="1">
        <f t="array" ref="AA199">INDEX('Fechas Mes'!F:F,MATCH(Tabla_Consulta_desde_Proyectos10[[#This Row],[Semana]],'Fechas Mes'!J:J,0),)</f>
        <v>#N/A</v>
      </c>
      <c r="AB199">
        <f>YEAR(Tabla_Consulta_desde_Proyectos10[[#This Row],[PRYRAfecha]])</f>
        <v>1900</v>
      </c>
      <c r="AC199" t="e">
        <f>VLOOKUP(Tabla_Consulta_desde_Proyectos10[[#This Row],[PRYRAfecha]],'Fechas Mes'!G:J,4,TRUE)</f>
        <v>#N/A</v>
      </c>
      <c r="AD199" t="str">
        <f>IFERROR(VLOOKUP(Tabla_Consulta_desde_Proyectos10[[#This Row],[PRYcodigo]],Catálogo!A:B,2,FALSE),"Otros")</f>
        <v>Otros</v>
      </c>
      <c r="AE199" t="str">
        <f>IF(LEN(Tabla_Consulta_desde_Proyectos10[[#This Row],[Semana]])&lt;13,"CI",RIGHT(Tabla_Consulta_desde_Proyectos10[[#This Row],[Semana]],4))</f>
        <v>CI</v>
      </c>
    </row>
    <row r="200" spans="1:31" hidden="1">
      <c r="A200" t="s">
        <v>4032</v>
      </c>
      <c r="B200" t="s">
        <v>5344</v>
      </c>
      <c r="C200" t="s">
        <v>5345</v>
      </c>
      <c r="D200" t="s">
        <v>7220</v>
      </c>
      <c r="E200" t="s">
        <v>7195</v>
      </c>
      <c r="F200">
        <v>0</v>
      </c>
      <c r="G200" t="s">
        <v>7221</v>
      </c>
      <c r="L200" s="4"/>
      <c r="O200">
        <v>3000000001826546</v>
      </c>
      <c r="P200" t="s">
        <v>6784</v>
      </c>
      <c r="Q200" t="s">
        <v>7213</v>
      </c>
      <c r="W200" t="str">
        <f>Tabla_Consulta_desde_Proyectos10[[#This Row],[PRYcodigo]]&amp;Tabla_Consulta_desde_Proyectos10[[#This Row],[PRYApath]]</f>
        <v>151-400-RGT2.0/0020</v>
      </c>
      <c r="X200" t="str">
        <f>Tabla_Consulta_desde_Proyectos10[[#This Row],[PRYAcodigo]]&amp;" - "&amp;Tabla_Consulta_desde_Proyectos10[[#This Row],[PRYAdescripcion]]</f>
        <v>500.1_RM - ACTIVIDADES DEL EQUIPO DE RELEASE MANAGMENT</v>
      </c>
      <c r="Y200" t="str">
        <f>SUBSTITUTE(IFERROR(VLOOKUP(LEFT(Tabla_Consulta_desde_Proyectos10[[#This Row],[Nivel1]],LEN(Tabla_Consulta_desde_Proyectos10[[#This Row],[Nivel1]])-5),Tabla_Consulta_desde_Proyectos10[[#All],[Nivel1]:[Actividad]],2,FALSE),""),"_","-")</f>
        <v/>
      </c>
      <c r="Z200" t="str">
        <f>IFERROR(VLOOKUP(Tabla_Consulta_desde_Proyectos10[[#This Row],[PRYRAfecha]],'Fechas Mes'!G:J,4,TRUE),"")</f>
        <v/>
      </c>
      <c r="AA200" t="e" cm="1">
        <f t="array" ref="AA200">INDEX('Fechas Mes'!F:F,MATCH(Tabla_Consulta_desde_Proyectos10[[#This Row],[Semana]],'Fechas Mes'!J:J,0),)</f>
        <v>#N/A</v>
      </c>
      <c r="AB200">
        <f>YEAR(Tabla_Consulta_desde_Proyectos10[[#This Row],[PRYRAfecha]])</f>
        <v>1900</v>
      </c>
      <c r="AC200" t="e">
        <f>VLOOKUP(Tabla_Consulta_desde_Proyectos10[[#This Row],[PRYRAfecha]],'Fechas Mes'!G:J,4,TRUE)</f>
        <v>#N/A</v>
      </c>
      <c r="AD200" t="str">
        <f>IFERROR(VLOOKUP(Tabla_Consulta_desde_Proyectos10[[#This Row],[PRYcodigo]],Catálogo!A:B,2,FALSE),"Otros")</f>
        <v>Otros</v>
      </c>
      <c r="AE200" t="str">
        <f>IF(LEN(Tabla_Consulta_desde_Proyectos10[[#This Row],[Semana]])&lt;13,"CI",RIGHT(Tabla_Consulta_desde_Proyectos10[[#This Row],[Semana]],4))</f>
        <v>CI</v>
      </c>
    </row>
    <row r="201" spans="1:31" hidden="1">
      <c r="A201" t="s">
        <v>4032</v>
      </c>
      <c r="B201" t="s">
        <v>5344</v>
      </c>
      <c r="C201" t="s">
        <v>5345</v>
      </c>
      <c r="D201" t="s">
        <v>7220</v>
      </c>
      <c r="E201" t="s">
        <v>7195</v>
      </c>
      <c r="F201">
        <v>0</v>
      </c>
      <c r="G201" t="s">
        <v>7221</v>
      </c>
      <c r="L201" s="4"/>
      <c r="O201">
        <v>3000000001826560</v>
      </c>
      <c r="P201" t="s">
        <v>6784</v>
      </c>
      <c r="Q201" t="s">
        <v>7213</v>
      </c>
      <c r="W201" t="str">
        <f>Tabla_Consulta_desde_Proyectos10[[#This Row],[PRYcodigo]]&amp;Tabla_Consulta_desde_Proyectos10[[#This Row],[PRYApath]]</f>
        <v>151-400-RGT2.0/0020</v>
      </c>
      <c r="X201" t="str">
        <f>Tabla_Consulta_desde_Proyectos10[[#This Row],[PRYAcodigo]]&amp;" - "&amp;Tabla_Consulta_desde_Proyectos10[[#This Row],[PRYAdescripcion]]</f>
        <v>500.1_RM - ACTIVIDADES DEL EQUIPO DE RELEASE MANAGMENT</v>
      </c>
      <c r="Y201" t="str">
        <f>SUBSTITUTE(IFERROR(VLOOKUP(LEFT(Tabla_Consulta_desde_Proyectos10[[#This Row],[Nivel1]],LEN(Tabla_Consulta_desde_Proyectos10[[#This Row],[Nivel1]])-5),Tabla_Consulta_desde_Proyectos10[[#All],[Nivel1]:[Actividad]],2,FALSE),""),"_","-")</f>
        <v/>
      </c>
      <c r="Z201" t="str">
        <f>IFERROR(VLOOKUP(Tabla_Consulta_desde_Proyectos10[[#This Row],[PRYRAfecha]],'Fechas Mes'!G:J,4,TRUE),"")</f>
        <v/>
      </c>
      <c r="AA201" t="e" cm="1">
        <f t="array" ref="AA201">INDEX('Fechas Mes'!F:F,MATCH(Tabla_Consulta_desde_Proyectos10[[#This Row],[Semana]],'Fechas Mes'!J:J,0),)</f>
        <v>#N/A</v>
      </c>
      <c r="AB201">
        <f>YEAR(Tabla_Consulta_desde_Proyectos10[[#This Row],[PRYRAfecha]])</f>
        <v>1900</v>
      </c>
      <c r="AC201" t="e">
        <f>VLOOKUP(Tabla_Consulta_desde_Proyectos10[[#This Row],[PRYRAfecha]],'Fechas Mes'!G:J,4,TRUE)</f>
        <v>#N/A</v>
      </c>
      <c r="AD201" t="str">
        <f>IFERROR(VLOOKUP(Tabla_Consulta_desde_Proyectos10[[#This Row],[PRYcodigo]],Catálogo!A:B,2,FALSE),"Otros")</f>
        <v>Otros</v>
      </c>
      <c r="AE201" t="str">
        <f>IF(LEN(Tabla_Consulta_desde_Proyectos10[[#This Row],[Semana]])&lt;13,"CI",RIGHT(Tabla_Consulta_desde_Proyectos10[[#This Row],[Semana]],4))</f>
        <v>CI</v>
      </c>
    </row>
    <row r="202" spans="1:31" hidden="1">
      <c r="A202" t="s">
        <v>4032</v>
      </c>
      <c r="B202" t="s">
        <v>5344</v>
      </c>
      <c r="C202" t="s">
        <v>5345</v>
      </c>
      <c r="D202" t="s">
        <v>7220</v>
      </c>
      <c r="E202" t="s">
        <v>7195</v>
      </c>
      <c r="F202">
        <v>0</v>
      </c>
      <c r="G202" t="s">
        <v>7221</v>
      </c>
      <c r="L202" s="4"/>
      <c r="O202">
        <v>3000000001826576</v>
      </c>
      <c r="P202" t="s">
        <v>6784</v>
      </c>
      <c r="Q202" t="s">
        <v>7213</v>
      </c>
      <c r="W202" t="str">
        <f>Tabla_Consulta_desde_Proyectos10[[#This Row],[PRYcodigo]]&amp;Tabla_Consulta_desde_Proyectos10[[#This Row],[PRYApath]]</f>
        <v>151-400-RGT2.0/0020</v>
      </c>
      <c r="X202" t="str">
        <f>Tabla_Consulta_desde_Proyectos10[[#This Row],[PRYAcodigo]]&amp;" - "&amp;Tabla_Consulta_desde_Proyectos10[[#This Row],[PRYAdescripcion]]</f>
        <v>500.1_RM - ACTIVIDADES DEL EQUIPO DE RELEASE MANAGMENT</v>
      </c>
      <c r="Y202" t="str">
        <f>SUBSTITUTE(IFERROR(VLOOKUP(LEFT(Tabla_Consulta_desde_Proyectos10[[#This Row],[Nivel1]],LEN(Tabla_Consulta_desde_Proyectos10[[#This Row],[Nivel1]])-5),Tabla_Consulta_desde_Proyectos10[[#All],[Nivel1]:[Actividad]],2,FALSE),""),"_","-")</f>
        <v/>
      </c>
      <c r="Z202" t="str">
        <f>IFERROR(VLOOKUP(Tabla_Consulta_desde_Proyectos10[[#This Row],[PRYRAfecha]],'Fechas Mes'!G:J,4,TRUE),"")</f>
        <v/>
      </c>
      <c r="AA202" t="e" cm="1">
        <f t="array" ref="AA202">INDEX('Fechas Mes'!F:F,MATCH(Tabla_Consulta_desde_Proyectos10[[#This Row],[Semana]],'Fechas Mes'!J:J,0),)</f>
        <v>#N/A</v>
      </c>
      <c r="AB202">
        <f>YEAR(Tabla_Consulta_desde_Proyectos10[[#This Row],[PRYRAfecha]])</f>
        <v>1900</v>
      </c>
      <c r="AC202" t="e">
        <f>VLOOKUP(Tabla_Consulta_desde_Proyectos10[[#This Row],[PRYRAfecha]],'Fechas Mes'!G:J,4,TRUE)</f>
        <v>#N/A</v>
      </c>
      <c r="AD202" t="str">
        <f>IFERROR(VLOOKUP(Tabla_Consulta_desde_Proyectos10[[#This Row],[PRYcodigo]],Catálogo!A:B,2,FALSE),"Otros")</f>
        <v>Otros</v>
      </c>
      <c r="AE202" t="str">
        <f>IF(LEN(Tabla_Consulta_desde_Proyectos10[[#This Row],[Semana]])&lt;13,"CI",RIGHT(Tabla_Consulta_desde_Proyectos10[[#This Row],[Semana]],4))</f>
        <v>CI</v>
      </c>
    </row>
    <row r="203" spans="1:31" hidden="1">
      <c r="A203" t="s">
        <v>4032</v>
      </c>
      <c r="B203" t="s">
        <v>5344</v>
      </c>
      <c r="C203" t="s">
        <v>5345</v>
      </c>
      <c r="D203" t="s">
        <v>7220</v>
      </c>
      <c r="E203" t="s">
        <v>7195</v>
      </c>
      <c r="F203">
        <v>0</v>
      </c>
      <c r="G203" t="s">
        <v>7221</v>
      </c>
      <c r="L203" s="4"/>
      <c r="O203">
        <v>3000000001826606</v>
      </c>
      <c r="P203" t="s">
        <v>6784</v>
      </c>
      <c r="Q203" t="s">
        <v>7213</v>
      </c>
      <c r="W203" t="str">
        <f>Tabla_Consulta_desde_Proyectos10[[#This Row],[PRYcodigo]]&amp;Tabla_Consulta_desde_Proyectos10[[#This Row],[PRYApath]]</f>
        <v>151-400-RGT2.0/0020</v>
      </c>
      <c r="X203" t="str">
        <f>Tabla_Consulta_desde_Proyectos10[[#This Row],[PRYAcodigo]]&amp;" - "&amp;Tabla_Consulta_desde_Proyectos10[[#This Row],[PRYAdescripcion]]</f>
        <v>500.1_RM - ACTIVIDADES DEL EQUIPO DE RELEASE MANAGMENT</v>
      </c>
      <c r="Y203" t="str">
        <f>SUBSTITUTE(IFERROR(VLOOKUP(LEFT(Tabla_Consulta_desde_Proyectos10[[#This Row],[Nivel1]],LEN(Tabla_Consulta_desde_Proyectos10[[#This Row],[Nivel1]])-5),Tabla_Consulta_desde_Proyectos10[[#All],[Nivel1]:[Actividad]],2,FALSE),""),"_","-")</f>
        <v/>
      </c>
      <c r="Z203" t="str">
        <f>IFERROR(VLOOKUP(Tabla_Consulta_desde_Proyectos10[[#This Row],[PRYRAfecha]],'Fechas Mes'!G:J,4,TRUE),"")</f>
        <v/>
      </c>
      <c r="AA203" t="e" cm="1">
        <f t="array" ref="AA203">INDEX('Fechas Mes'!F:F,MATCH(Tabla_Consulta_desde_Proyectos10[[#This Row],[Semana]],'Fechas Mes'!J:J,0),)</f>
        <v>#N/A</v>
      </c>
      <c r="AB203">
        <f>YEAR(Tabla_Consulta_desde_Proyectos10[[#This Row],[PRYRAfecha]])</f>
        <v>1900</v>
      </c>
      <c r="AC203" t="e">
        <f>VLOOKUP(Tabla_Consulta_desde_Proyectos10[[#This Row],[PRYRAfecha]],'Fechas Mes'!G:J,4,TRUE)</f>
        <v>#N/A</v>
      </c>
      <c r="AD203" t="str">
        <f>IFERROR(VLOOKUP(Tabla_Consulta_desde_Proyectos10[[#This Row],[PRYcodigo]],Catálogo!A:B,2,FALSE),"Otros")</f>
        <v>Otros</v>
      </c>
      <c r="AE203" t="str">
        <f>IF(LEN(Tabla_Consulta_desde_Proyectos10[[#This Row],[Semana]])&lt;13,"CI",RIGHT(Tabla_Consulta_desde_Proyectos10[[#This Row],[Semana]],4))</f>
        <v>CI</v>
      </c>
    </row>
    <row r="204" spans="1:31" hidden="1">
      <c r="A204" t="s">
        <v>4032</v>
      </c>
      <c r="B204" t="s">
        <v>5344</v>
      </c>
      <c r="C204" t="s">
        <v>5345</v>
      </c>
      <c r="D204" t="s">
        <v>7220</v>
      </c>
      <c r="E204" t="s">
        <v>7195</v>
      </c>
      <c r="F204">
        <v>0</v>
      </c>
      <c r="G204" t="s">
        <v>7221</v>
      </c>
      <c r="L204" s="4"/>
      <c r="O204">
        <v>3000000001826650</v>
      </c>
      <c r="P204" t="s">
        <v>6784</v>
      </c>
      <c r="Q204" t="s">
        <v>7213</v>
      </c>
      <c r="W204" t="str">
        <f>Tabla_Consulta_desde_Proyectos10[[#This Row],[PRYcodigo]]&amp;Tabla_Consulta_desde_Proyectos10[[#This Row],[PRYApath]]</f>
        <v>151-400-RGT2.0/0020</v>
      </c>
      <c r="X204" t="str">
        <f>Tabla_Consulta_desde_Proyectos10[[#This Row],[PRYAcodigo]]&amp;" - "&amp;Tabla_Consulta_desde_Proyectos10[[#This Row],[PRYAdescripcion]]</f>
        <v>500.1_RM - ACTIVIDADES DEL EQUIPO DE RELEASE MANAGMENT</v>
      </c>
      <c r="Y204" t="str">
        <f>SUBSTITUTE(IFERROR(VLOOKUP(LEFT(Tabla_Consulta_desde_Proyectos10[[#This Row],[Nivel1]],LEN(Tabla_Consulta_desde_Proyectos10[[#This Row],[Nivel1]])-5),Tabla_Consulta_desde_Proyectos10[[#All],[Nivel1]:[Actividad]],2,FALSE),""),"_","-")</f>
        <v/>
      </c>
      <c r="Z204" t="str">
        <f>IFERROR(VLOOKUP(Tabla_Consulta_desde_Proyectos10[[#This Row],[PRYRAfecha]],'Fechas Mes'!G:J,4,TRUE),"")</f>
        <v/>
      </c>
      <c r="AA204" t="e" cm="1">
        <f t="array" ref="AA204">INDEX('Fechas Mes'!F:F,MATCH(Tabla_Consulta_desde_Proyectos10[[#This Row],[Semana]],'Fechas Mes'!J:J,0),)</f>
        <v>#N/A</v>
      </c>
      <c r="AB204">
        <f>YEAR(Tabla_Consulta_desde_Proyectos10[[#This Row],[PRYRAfecha]])</f>
        <v>1900</v>
      </c>
      <c r="AC204" t="e">
        <f>VLOOKUP(Tabla_Consulta_desde_Proyectos10[[#This Row],[PRYRAfecha]],'Fechas Mes'!G:J,4,TRUE)</f>
        <v>#N/A</v>
      </c>
      <c r="AD204" t="str">
        <f>IFERROR(VLOOKUP(Tabla_Consulta_desde_Proyectos10[[#This Row],[PRYcodigo]],Catálogo!A:B,2,FALSE),"Otros")</f>
        <v>Otros</v>
      </c>
      <c r="AE204" t="str">
        <f>IF(LEN(Tabla_Consulta_desde_Proyectos10[[#This Row],[Semana]])&lt;13,"CI",RIGHT(Tabla_Consulta_desde_Proyectos10[[#This Row],[Semana]],4))</f>
        <v>CI</v>
      </c>
    </row>
    <row r="205" spans="1:31" hidden="1">
      <c r="A205" t="s">
        <v>4032</v>
      </c>
      <c r="B205" t="s">
        <v>5344</v>
      </c>
      <c r="C205" t="s">
        <v>5345</v>
      </c>
      <c r="D205" t="s">
        <v>7220</v>
      </c>
      <c r="E205" t="s">
        <v>7195</v>
      </c>
      <c r="F205">
        <v>0</v>
      </c>
      <c r="G205" t="s">
        <v>7221</v>
      </c>
      <c r="L205" s="4"/>
      <c r="O205">
        <v>3000000001826658</v>
      </c>
      <c r="P205" t="s">
        <v>6784</v>
      </c>
      <c r="Q205" t="s">
        <v>7213</v>
      </c>
      <c r="W205" t="str">
        <f>Tabla_Consulta_desde_Proyectos10[[#This Row],[PRYcodigo]]&amp;Tabla_Consulta_desde_Proyectos10[[#This Row],[PRYApath]]</f>
        <v>151-400-RGT2.0/0020</v>
      </c>
      <c r="X205" t="str">
        <f>Tabla_Consulta_desde_Proyectos10[[#This Row],[PRYAcodigo]]&amp;" - "&amp;Tabla_Consulta_desde_Proyectos10[[#This Row],[PRYAdescripcion]]</f>
        <v>500.1_RM - ACTIVIDADES DEL EQUIPO DE RELEASE MANAGMENT</v>
      </c>
      <c r="Y205" t="str">
        <f>SUBSTITUTE(IFERROR(VLOOKUP(LEFT(Tabla_Consulta_desde_Proyectos10[[#This Row],[Nivel1]],LEN(Tabla_Consulta_desde_Proyectos10[[#This Row],[Nivel1]])-5),Tabla_Consulta_desde_Proyectos10[[#All],[Nivel1]:[Actividad]],2,FALSE),""),"_","-")</f>
        <v/>
      </c>
      <c r="Z205" t="str">
        <f>IFERROR(VLOOKUP(Tabla_Consulta_desde_Proyectos10[[#This Row],[PRYRAfecha]],'Fechas Mes'!G:J,4,TRUE),"")</f>
        <v/>
      </c>
      <c r="AA205" t="e" cm="1">
        <f t="array" ref="AA205">INDEX('Fechas Mes'!F:F,MATCH(Tabla_Consulta_desde_Proyectos10[[#This Row],[Semana]],'Fechas Mes'!J:J,0),)</f>
        <v>#N/A</v>
      </c>
      <c r="AB205">
        <f>YEAR(Tabla_Consulta_desde_Proyectos10[[#This Row],[PRYRAfecha]])</f>
        <v>1900</v>
      </c>
      <c r="AC205" t="e">
        <f>VLOOKUP(Tabla_Consulta_desde_Proyectos10[[#This Row],[PRYRAfecha]],'Fechas Mes'!G:J,4,TRUE)</f>
        <v>#N/A</v>
      </c>
      <c r="AD205" t="str">
        <f>IFERROR(VLOOKUP(Tabla_Consulta_desde_Proyectos10[[#This Row],[PRYcodigo]],Catálogo!A:B,2,FALSE),"Otros")</f>
        <v>Otros</v>
      </c>
      <c r="AE205" t="str">
        <f>IF(LEN(Tabla_Consulta_desde_Proyectos10[[#This Row],[Semana]])&lt;13,"CI",RIGHT(Tabla_Consulta_desde_Proyectos10[[#This Row],[Semana]],4))</f>
        <v>CI</v>
      </c>
    </row>
    <row r="206" spans="1:31" hidden="1">
      <c r="A206" t="s">
        <v>4032</v>
      </c>
      <c r="B206" t="s">
        <v>5344</v>
      </c>
      <c r="C206" t="s">
        <v>5345</v>
      </c>
      <c r="D206" t="s">
        <v>7220</v>
      </c>
      <c r="E206" t="s">
        <v>7195</v>
      </c>
      <c r="F206">
        <v>0</v>
      </c>
      <c r="G206" t="s">
        <v>7221</v>
      </c>
      <c r="L206" s="4"/>
      <c r="O206">
        <v>3000000001826922</v>
      </c>
      <c r="P206" t="s">
        <v>6786</v>
      </c>
      <c r="Q206" t="s">
        <v>7665</v>
      </c>
      <c r="W206" t="str">
        <f>Tabla_Consulta_desde_Proyectos10[[#This Row],[PRYcodigo]]&amp;Tabla_Consulta_desde_Proyectos10[[#This Row],[PRYApath]]</f>
        <v>151-400-RGT2.0/0020</v>
      </c>
      <c r="X206" t="str">
        <f>Tabla_Consulta_desde_Proyectos10[[#This Row],[PRYAcodigo]]&amp;" - "&amp;Tabla_Consulta_desde_Proyectos10[[#This Row],[PRYAdescripcion]]</f>
        <v>500.1_RM - ACTIVIDADES DEL EQUIPO DE RELEASE MANAGMENT</v>
      </c>
      <c r="Y206" t="str">
        <f>SUBSTITUTE(IFERROR(VLOOKUP(LEFT(Tabla_Consulta_desde_Proyectos10[[#This Row],[Nivel1]],LEN(Tabla_Consulta_desde_Proyectos10[[#This Row],[Nivel1]])-5),Tabla_Consulta_desde_Proyectos10[[#All],[Nivel1]:[Actividad]],2,FALSE),""),"_","-")</f>
        <v/>
      </c>
      <c r="Z206" t="str">
        <f>IFERROR(VLOOKUP(Tabla_Consulta_desde_Proyectos10[[#This Row],[PRYRAfecha]],'Fechas Mes'!G:J,4,TRUE),"")</f>
        <v/>
      </c>
      <c r="AA206" t="e" cm="1">
        <f t="array" ref="AA206">INDEX('Fechas Mes'!F:F,MATCH(Tabla_Consulta_desde_Proyectos10[[#This Row],[Semana]],'Fechas Mes'!J:J,0),)</f>
        <v>#N/A</v>
      </c>
      <c r="AB206">
        <f>YEAR(Tabla_Consulta_desde_Proyectos10[[#This Row],[PRYRAfecha]])</f>
        <v>1900</v>
      </c>
      <c r="AC206" t="e">
        <f>VLOOKUP(Tabla_Consulta_desde_Proyectos10[[#This Row],[PRYRAfecha]],'Fechas Mes'!G:J,4,TRUE)</f>
        <v>#N/A</v>
      </c>
      <c r="AD206" t="str">
        <f>IFERROR(VLOOKUP(Tabla_Consulta_desde_Proyectos10[[#This Row],[PRYcodigo]],Catálogo!A:B,2,FALSE),"Otros")</f>
        <v>Otros</v>
      </c>
      <c r="AE206" t="str">
        <f>IF(LEN(Tabla_Consulta_desde_Proyectos10[[#This Row],[Semana]])&lt;13,"CI",RIGHT(Tabla_Consulta_desde_Proyectos10[[#This Row],[Semana]],4))</f>
        <v>CI</v>
      </c>
    </row>
    <row r="207" spans="1:31" hidden="1">
      <c r="A207" t="s">
        <v>4032</v>
      </c>
      <c r="B207" t="s">
        <v>5344</v>
      </c>
      <c r="C207" t="s">
        <v>5345</v>
      </c>
      <c r="D207" t="s">
        <v>7220</v>
      </c>
      <c r="E207" t="s">
        <v>7195</v>
      </c>
      <c r="F207">
        <v>0</v>
      </c>
      <c r="G207" t="s">
        <v>7221</v>
      </c>
      <c r="L207" s="4"/>
      <c r="O207">
        <v>3000000001827005</v>
      </c>
      <c r="P207" t="s">
        <v>6782</v>
      </c>
      <c r="Q207" t="s">
        <v>7212</v>
      </c>
      <c r="W207" t="str">
        <f>Tabla_Consulta_desde_Proyectos10[[#This Row],[PRYcodigo]]&amp;Tabla_Consulta_desde_Proyectos10[[#This Row],[PRYApath]]</f>
        <v>151-400-RGT2.0/0020</v>
      </c>
      <c r="X207" t="str">
        <f>Tabla_Consulta_desde_Proyectos10[[#This Row],[PRYAcodigo]]&amp;" - "&amp;Tabla_Consulta_desde_Proyectos10[[#This Row],[PRYAdescripcion]]</f>
        <v>500.1_RM - ACTIVIDADES DEL EQUIPO DE RELEASE MANAGMENT</v>
      </c>
      <c r="Y207" t="str">
        <f>SUBSTITUTE(IFERROR(VLOOKUP(LEFT(Tabla_Consulta_desde_Proyectos10[[#This Row],[Nivel1]],LEN(Tabla_Consulta_desde_Proyectos10[[#This Row],[Nivel1]])-5),Tabla_Consulta_desde_Proyectos10[[#All],[Nivel1]:[Actividad]],2,FALSE),""),"_","-")</f>
        <v/>
      </c>
      <c r="Z207" t="str">
        <f>IFERROR(VLOOKUP(Tabla_Consulta_desde_Proyectos10[[#This Row],[PRYRAfecha]],'Fechas Mes'!G:J,4,TRUE),"")</f>
        <v/>
      </c>
      <c r="AA207" t="e" cm="1">
        <f t="array" ref="AA207">INDEX('Fechas Mes'!F:F,MATCH(Tabla_Consulta_desde_Proyectos10[[#This Row],[Semana]],'Fechas Mes'!J:J,0),)</f>
        <v>#N/A</v>
      </c>
      <c r="AB207">
        <f>YEAR(Tabla_Consulta_desde_Proyectos10[[#This Row],[PRYRAfecha]])</f>
        <v>1900</v>
      </c>
      <c r="AC207" t="e">
        <f>VLOOKUP(Tabla_Consulta_desde_Proyectos10[[#This Row],[PRYRAfecha]],'Fechas Mes'!G:J,4,TRUE)</f>
        <v>#N/A</v>
      </c>
      <c r="AD207" t="str">
        <f>IFERROR(VLOOKUP(Tabla_Consulta_desde_Proyectos10[[#This Row],[PRYcodigo]],Catálogo!A:B,2,FALSE),"Otros")</f>
        <v>Otros</v>
      </c>
      <c r="AE207" t="str">
        <f>IF(LEN(Tabla_Consulta_desde_Proyectos10[[#This Row],[Semana]])&lt;13,"CI",RIGHT(Tabla_Consulta_desde_Proyectos10[[#This Row],[Semana]],4))</f>
        <v>CI</v>
      </c>
    </row>
    <row r="208" spans="1:31" hidden="1">
      <c r="A208" t="s">
        <v>4032</v>
      </c>
      <c r="B208" t="s">
        <v>5344</v>
      </c>
      <c r="C208" t="s">
        <v>5345</v>
      </c>
      <c r="D208" t="s">
        <v>7220</v>
      </c>
      <c r="E208" t="s">
        <v>7195</v>
      </c>
      <c r="F208">
        <v>0</v>
      </c>
      <c r="G208" t="s">
        <v>7221</v>
      </c>
      <c r="L208" s="4"/>
      <c r="O208">
        <v>3000000001827105</v>
      </c>
      <c r="P208" t="s">
        <v>6782</v>
      </c>
      <c r="Q208" t="s">
        <v>7210</v>
      </c>
      <c r="W208" t="str">
        <f>Tabla_Consulta_desde_Proyectos10[[#This Row],[PRYcodigo]]&amp;Tabla_Consulta_desde_Proyectos10[[#This Row],[PRYApath]]</f>
        <v>151-400-RGT2.0/0020</v>
      </c>
      <c r="X208" t="str">
        <f>Tabla_Consulta_desde_Proyectos10[[#This Row],[PRYAcodigo]]&amp;" - "&amp;Tabla_Consulta_desde_Proyectos10[[#This Row],[PRYAdescripcion]]</f>
        <v>500.1_RM - ACTIVIDADES DEL EQUIPO DE RELEASE MANAGMENT</v>
      </c>
      <c r="Y208" t="str">
        <f>SUBSTITUTE(IFERROR(VLOOKUP(LEFT(Tabla_Consulta_desde_Proyectos10[[#This Row],[Nivel1]],LEN(Tabla_Consulta_desde_Proyectos10[[#This Row],[Nivel1]])-5),Tabla_Consulta_desde_Proyectos10[[#All],[Nivel1]:[Actividad]],2,FALSE),""),"_","-")</f>
        <v/>
      </c>
      <c r="Z208" t="str">
        <f>IFERROR(VLOOKUP(Tabla_Consulta_desde_Proyectos10[[#This Row],[PRYRAfecha]],'Fechas Mes'!G:J,4,TRUE),"")</f>
        <v/>
      </c>
      <c r="AA208" t="e" cm="1">
        <f t="array" ref="AA208">INDEX('Fechas Mes'!F:F,MATCH(Tabla_Consulta_desde_Proyectos10[[#This Row],[Semana]],'Fechas Mes'!J:J,0),)</f>
        <v>#N/A</v>
      </c>
      <c r="AB208">
        <f>YEAR(Tabla_Consulta_desde_Proyectos10[[#This Row],[PRYRAfecha]])</f>
        <v>1900</v>
      </c>
      <c r="AC208" t="e">
        <f>VLOOKUP(Tabla_Consulta_desde_Proyectos10[[#This Row],[PRYRAfecha]],'Fechas Mes'!G:J,4,TRUE)</f>
        <v>#N/A</v>
      </c>
      <c r="AD208" t="str">
        <f>IFERROR(VLOOKUP(Tabla_Consulta_desde_Proyectos10[[#This Row],[PRYcodigo]],Catálogo!A:B,2,FALSE),"Otros")</f>
        <v>Otros</v>
      </c>
      <c r="AE208" t="str">
        <f>IF(LEN(Tabla_Consulta_desde_Proyectos10[[#This Row],[Semana]])&lt;13,"CI",RIGHT(Tabla_Consulta_desde_Proyectos10[[#This Row],[Semana]],4))</f>
        <v>CI</v>
      </c>
    </row>
    <row r="209" spans="1:31" hidden="1">
      <c r="A209" t="s">
        <v>4032</v>
      </c>
      <c r="B209" t="s">
        <v>5344</v>
      </c>
      <c r="C209" t="s">
        <v>5345</v>
      </c>
      <c r="D209" t="s">
        <v>7220</v>
      </c>
      <c r="E209" t="s">
        <v>7195</v>
      </c>
      <c r="F209">
        <v>0</v>
      </c>
      <c r="G209" t="s">
        <v>7221</v>
      </c>
      <c r="L209" s="4"/>
      <c r="O209">
        <v>3000000001827136</v>
      </c>
      <c r="P209" t="s">
        <v>6794</v>
      </c>
      <c r="Q209" t="s">
        <v>7544</v>
      </c>
      <c r="W209" t="str">
        <f>Tabla_Consulta_desde_Proyectos10[[#This Row],[PRYcodigo]]&amp;Tabla_Consulta_desde_Proyectos10[[#This Row],[PRYApath]]</f>
        <v>151-400-RGT2.0/0020</v>
      </c>
      <c r="X209" t="str">
        <f>Tabla_Consulta_desde_Proyectos10[[#This Row],[PRYAcodigo]]&amp;" - "&amp;Tabla_Consulta_desde_Proyectos10[[#This Row],[PRYAdescripcion]]</f>
        <v>500.1_RM - ACTIVIDADES DEL EQUIPO DE RELEASE MANAGMENT</v>
      </c>
      <c r="Y209" t="str">
        <f>SUBSTITUTE(IFERROR(VLOOKUP(LEFT(Tabla_Consulta_desde_Proyectos10[[#This Row],[Nivel1]],LEN(Tabla_Consulta_desde_Proyectos10[[#This Row],[Nivel1]])-5),Tabla_Consulta_desde_Proyectos10[[#All],[Nivel1]:[Actividad]],2,FALSE),""),"_","-")</f>
        <v/>
      </c>
      <c r="Z209" t="str">
        <f>IFERROR(VLOOKUP(Tabla_Consulta_desde_Proyectos10[[#This Row],[PRYRAfecha]],'Fechas Mes'!G:J,4,TRUE),"")</f>
        <v/>
      </c>
      <c r="AA209" t="e" cm="1">
        <f t="array" ref="AA209">INDEX('Fechas Mes'!F:F,MATCH(Tabla_Consulta_desde_Proyectos10[[#This Row],[Semana]],'Fechas Mes'!J:J,0),)</f>
        <v>#N/A</v>
      </c>
      <c r="AB209">
        <f>YEAR(Tabla_Consulta_desde_Proyectos10[[#This Row],[PRYRAfecha]])</f>
        <v>1900</v>
      </c>
      <c r="AC209" t="e">
        <f>VLOOKUP(Tabla_Consulta_desde_Proyectos10[[#This Row],[PRYRAfecha]],'Fechas Mes'!G:J,4,TRUE)</f>
        <v>#N/A</v>
      </c>
      <c r="AD209" t="str">
        <f>IFERROR(VLOOKUP(Tabla_Consulta_desde_Proyectos10[[#This Row],[PRYcodigo]],Catálogo!A:B,2,FALSE),"Otros")</f>
        <v>Otros</v>
      </c>
      <c r="AE209" t="str">
        <f>IF(LEN(Tabla_Consulta_desde_Proyectos10[[#This Row],[Semana]])&lt;13,"CI",RIGHT(Tabla_Consulta_desde_Proyectos10[[#This Row],[Semana]],4))</f>
        <v>CI</v>
      </c>
    </row>
    <row r="210" spans="1:31" hidden="1">
      <c r="A210" t="s">
        <v>4032</v>
      </c>
      <c r="B210" t="s">
        <v>5344</v>
      </c>
      <c r="C210" t="s">
        <v>5345</v>
      </c>
      <c r="D210" t="s">
        <v>7220</v>
      </c>
      <c r="E210" t="s">
        <v>7195</v>
      </c>
      <c r="F210">
        <v>0</v>
      </c>
      <c r="G210" t="s">
        <v>7221</v>
      </c>
      <c r="L210" s="4"/>
      <c r="O210">
        <v>3000000001827160</v>
      </c>
      <c r="P210" t="s">
        <v>6782</v>
      </c>
      <c r="Q210" t="s">
        <v>7212</v>
      </c>
      <c r="W210" t="str">
        <f>Tabla_Consulta_desde_Proyectos10[[#This Row],[PRYcodigo]]&amp;Tabla_Consulta_desde_Proyectos10[[#This Row],[PRYApath]]</f>
        <v>151-400-RGT2.0/0020</v>
      </c>
      <c r="X210" t="str">
        <f>Tabla_Consulta_desde_Proyectos10[[#This Row],[PRYAcodigo]]&amp;" - "&amp;Tabla_Consulta_desde_Proyectos10[[#This Row],[PRYAdescripcion]]</f>
        <v>500.1_RM - ACTIVIDADES DEL EQUIPO DE RELEASE MANAGMENT</v>
      </c>
      <c r="Y210" t="str">
        <f>SUBSTITUTE(IFERROR(VLOOKUP(LEFT(Tabla_Consulta_desde_Proyectos10[[#This Row],[Nivel1]],LEN(Tabla_Consulta_desde_Proyectos10[[#This Row],[Nivel1]])-5),Tabla_Consulta_desde_Proyectos10[[#All],[Nivel1]:[Actividad]],2,FALSE),""),"_","-")</f>
        <v/>
      </c>
      <c r="Z210" t="str">
        <f>IFERROR(VLOOKUP(Tabla_Consulta_desde_Proyectos10[[#This Row],[PRYRAfecha]],'Fechas Mes'!G:J,4,TRUE),"")</f>
        <v/>
      </c>
      <c r="AA210" t="e" cm="1">
        <f t="array" ref="AA210">INDEX('Fechas Mes'!F:F,MATCH(Tabla_Consulta_desde_Proyectos10[[#This Row],[Semana]],'Fechas Mes'!J:J,0),)</f>
        <v>#N/A</v>
      </c>
      <c r="AB210">
        <f>YEAR(Tabla_Consulta_desde_Proyectos10[[#This Row],[PRYRAfecha]])</f>
        <v>1900</v>
      </c>
      <c r="AC210" t="e">
        <f>VLOOKUP(Tabla_Consulta_desde_Proyectos10[[#This Row],[PRYRAfecha]],'Fechas Mes'!G:J,4,TRUE)</f>
        <v>#N/A</v>
      </c>
      <c r="AD210" t="str">
        <f>IFERROR(VLOOKUP(Tabla_Consulta_desde_Proyectos10[[#This Row],[PRYcodigo]],Catálogo!A:B,2,FALSE),"Otros")</f>
        <v>Otros</v>
      </c>
      <c r="AE210" t="str">
        <f>IF(LEN(Tabla_Consulta_desde_Proyectos10[[#This Row],[Semana]])&lt;13,"CI",RIGHT(Tabla_Consulta_desde_Proyectos10[[#This Row],[Semana]],4))</f>
        <v>CI</v>
      </c>
    </row>
    <row r="211" spans="1:31" hidden="1">
      <c r="A211" t="s">
        <v>4032</v>
      </c>
      <c r="B211" t="s">
        <v>5344</v>
      </c>
      <c r="C211" t="s">
        <v>5345</v>
      </c>
      <c r="D211" t="s">
        <v>7220</v>
      </c>
      <c r="E211" t="s">
        <v>7195</v>
      </c>
      <c r="F211">
        <v>0</v>
      </c>
      <c r="G211" t="s">
        <v>7221</v>
      </c>
      <c r="L211" s="4"/>
      <c r="O211">
        <v>3000000001827230</v>
      </c>
      <c r="P211" t="s">
        <v>6782</v>
      </c>
      <c r="Q211" t="s">
        <v>7212</v>
      </c>
      <c r="W211" t="str">
        <f>Tabla_Consulta_desde_Proyectos10[[#This Row],[PRYcodigo]]&amp;Tabla_Consulta_desde_Proyectos10[[#This Row],[PRYApath]]</f>
        <v>151-400-RGT2.0/0020</v>
      </c>
      <c r="X211" t="str">
        <f>Tabla_Consulta_desde_Proyectos10[[#This Row],[PRYAcodigo]]&amp;" - "&amp;Tabla_Consulta_desde_Proyectos10[[#This Row],[PRYAdescripcion]]</f>
        <v>500.1_RM - ACTIVIDADES DEL EQUIPO DE RELEASE MANAGMENT</v>
      </c>
      <c r="Y211" t="str">
        <f>SUBSTITUTE(IFERROR(VLOOKUP(LEFT(Tabla_Consulta_desde_Proyectos10[[#This Row],[Nivel1]],LEN(Tabla_Consulta_desde_Proyectos10[[#This Row],[Nivel1]])-5),Tabla_Consulta_desde_Proyectos10[[#All],[Nivel1]:[Actividad]],2,FALSE),""),"_","-")</f>
        <v/>
      </c>
      <c r="Z211" t="str">
        <f>IFERROR(VLOOKUP(Tabla_Consulta_desde_Proyectos10[[#This Row],[PRYRAfecha]],'Fechas Mes'!G:J,4,TRUE),"")</f>
        <v/>
      </c>
      <c r="AA211" t="e" cm="1">
        <f t="array" ref="AA211">INDEX('Fechas Mes'!F:F,MATCH(Tabla_Consulta_desde_Proyectos10[[#This Row],[Semana]],'Fechas Mes'!J:J,0),)</f>
        <v>#N/A</v>
      </c>
      <c r="AB211">
        <f>YEAR(Tabla_Consulta_desde_Proyectos10[[#This Row],[PRYRAfecha]])</f>
        <v>1900</v>
      </c>
      <c r="AC211" t="e">
        <f>VLOOKUP(Tabla_Consulta_desde_Proyectos10[[#This Row],[PRYRAfecha]],'Fechas Mes'!G:J,4,TRUE)</f>
        <v>#N/A</v>
      </c>
      <c r="AD211" t="str">
        <f>IFERROR(VLOOKUP(Tabla_Consulta_desde_Proyectos10[[#This Row],[PRYcodigo]],Catálogo!A:B,2,FALSE),"Otros")</f>
        <v>Otros</v>
      </c>
      <c r="AE211" t="str">
        <f>IF(LEN(Tabla_Consulta_desde_Proyectos10[[#This Row],[Semana]])&lt;13,"CI",RIGHT(Tabla_Consulta_desde_Proyectos10[[#This Row],[Semana]],4))</f>
        <v>CI</v>
      </c>
    </row>
    <row r="212" spans="1:31" hidden="1">
      <c r="A212" t="s">
        <v>4032</v>
      </c>
      <c r="B212" t="s">
        <v>5344</v>
      </c>
      <c r="C212" t="s">
        <v>5345</v>
      </c>
      <c r="D212" t="s">
        <v>7220</v>
      </c>
      <c r="E212" t="s">
        <v>7195</v>
      </c>
      <c r="F212">
        <v>0</v>
      </c>
      <c r="G212" t="s">
        <v>7221</v>
      </c>
      <c r="L212" s="4"/>
      <c r="O212">
        <v>3000000001827563</v>
      </c>
      <c r="P212" t="s">
        <v>6782</v>
      </c>
      <c r="Q212" t="s">
        <v>7212</v>
      </c>
      <c r="W212" t="str">
        <f>Tabla_Consulta_desde_Proyectos10[[#This Row],[PRYcodigo]]&amp;Tabla_Consulta_desde_Proyectos10[[#This Row],[PRYApath]]</f>
        <v>151-400-RGT2.0/0020</v>
      </c>
      <c r="X212" t="str">
        <f>Tabla_Consulta_desde_Proyectos10[[#This Row],[PRYAcodigo]]&amp;" - "&amp;Tabla_Consulta_desde_Proyectos10[[#This Row],[PRYAdescripcion]]</f>
        <v>500.1_RM - ACTIVIDADES DEL EQUIPO DE RELEASE MANAGMENT</v>
      </c>
      <c r="Y212" t="str">
        <f>SUBSTITUTE(IFERROR(VLOOKUP(LEFT(Tabla_Consulta_desde_Proyectos10[[#This Row],[Nivel1]],LEN(Tabla_Consulta_desde_Proyectos10[[#This Row],[Nivel1]])-5),Tabla_Consulta_desde_Proyectos10[[#All],[Nivel1]:[Actividad]],2,FALSE),""),"_","-")</f>
        <v/>
      </c>
      <c r="Z212" t="str">
        <f>IFERROR(VLOOKUP(Tabla_Consulta_desde_Proyectos10[[#This Row],[PRYRAfecha]],'Fechas Mes'!G:J,4,TRUE),"")</f>
        <v/>
      </c>
      <c r="AA212" t="e" cm="1">
        <f t="array" ref="AA212">INDEX('Fechas Mes'!F:F,MATCH(Tabla_Consulta_desde_Proyectos10[[#This Row],[Semana]],'Fechas Mes'!J:J,0),)</f>
        <v>#N/A</v>
      </c>
      <c r="AB212">
        <f>YEAR(Tabla_Consulta_desde_Proyectos10[[#This Row],[PRYRAfecha]])</f>
        <v>1900</v>
      </c>
      <c r="AC212" t="e">
        <f>VLOOKUP(Tabla_Consulta_desde_Proyectos10[[#This Row],[PRYRAfecha]],'Fechas Mes'!G:J,4,TRUE)</f>
        <v>#N/A</v>
      </c>
      <c r="AD212" t="str">
        <f>IFERROR(VLOOKUP(Tabla_Consulta_desde_Proyectos10[[#This Row],[PRYcodigo]],Catálogo!A:B,2,FALSE),"Otros")</f>
        <v>Otros</v>
      </c>
      <c r="AE212" t="str">
        <f>IF(LEN(Tabla_Consulta_desde_Proyectos10[[#This Row],[Semana]])&lt;13,"CI",RIGHT(Tabla_Consulta_desde_Proyectos10[[#This Row],[Semana]],4))</f>
        <v>CI</v>
      </c>
    </row>
    <row r="213" spans="1:31" hidden="1">
      <c r="A213" t="s">
        <v>4032</v>
      </c>
      <c r="B213" t="s">
        <v>5344</v>
      </c>
      <c r="C213" t="s">
        <v>5345</v>
      </c>
      <c r="D213" t="s">
        <v>7220</v>
      </c>
      <c r="E213" t="s">
        <v>7195</v>
      </c>
      <c r="F213">
        <v>0</v>
      </c>
      <c r="G213" t="s">
        <v>7221</v>
      </c>
      <c r="L213" s="4"/>
      <c r="O213">
        <v>3000000001827565</v>
      </c>
      <c r="P213" t="s">
        <v>6782</v>
      </c>
      <c r="Q213" t="s">
        <v>7210</v>
      </c>
      <c r="W213" t="str">
        <f>Tabla_Consulta_desde_Proyectos10[[#This Row],[PRYcodigo]]&amp;Tabla_Consulta_desde_Proyectos10[[#This Row],[PRYApath]]</f>
        <v>151-400-RGT2.0/0020</v>
      </c>
      <c r="X213" t="str">
        <f>Tabla_Consulta_desde_Proyectos10[[#This Row],[PRYAcodigo]]&amp;" - "&amp;Tabla_Consulta_desde_Proyectos10[[#This Row],[PRYAdescripcion]]</f>
        <v>500.1_RM - ACTIVIDADES DEL EQUIPO DE RELEASE MANAGMENT</v>
      </c>
      <c r="Y213" t="str">
        <f>SUBSTITUTE(IFERROR(VLOOKUP(LEFT(Tabla_Consulta_desde_Proyectos10[[#This Row],[Nivel1]],LEN(Tabla_Consulta_desde_Proyectos10[[#This Row],[Nivel1]])-5),Tabla_Consulta_desde_Proyectos10[[#All],[Nivel1]:[Actividad]],2,FALSE),""),"_","-")</f>
        <v/>
      </c>
      <c r="Z213" t="str">
        <f>IFERROR(VLOOKUP(Tabla_Consulta_desde_Proyectos10[[#This Row],[PRYRAfecha]],'Fechas Mes'!G:J,4,TRUE),"")</f>
        <v/>
      </c>
      <c r="AA213" t="e" cm="1">
        <f t="array" ref="AA213">INDEX('Fechas Mes'!F:F,MATCH(Tabla_Consulta_desde_Proyectos10[[#This Row],[Semana]],'Fechas Mes'!J:J,0),)</f>
        <v>#N/A</v>
      </c>
      <c r="AB213">
        <f>YEAR(Tabla_Consulta_desde_Proyectos10[[#This Row],[PRYRAfecha]])</f>
        <v>1900</v>
      </c>
      <c r="AC213" t="e">
        <f>VLOOKUP(Tabla_Consulta_desde_Proyectos10[[#This Row],[PRYRAfecha]],'Fechas Mes'!G:J,4,TRUE)</f>
        <v>#N/A</v>
      </c>
      <c r="AD213" t="str">
        <f>IFERROR(VLOOKUP(Tabla_Consulta_desde_Proyectos10[[#This Row],[PRYcodigo]],Catálogo!A:B,2,FALSE),"Otros")</f>
        <v>Otros</v>
      </c>
      <c r="AE213" t="str">
        <f>IF(LEN(Tabla_Consulta_desde_Proyectos10[[#This Row],[Semana]])&lt;13,"CI",RIGHT(Tabla_Consulta_desde_Proyectos10[[#This Row],[Semana]],4))</f>
        <v>CI</v>
      </c>
    </row>
    <row r="214" spans="1:31" hidden="1">
      <c r="A214" t="s">
        <v>4032</v>
      </c>
      <c r="B214" t="s">
        <v>5344</v>
      </c>
      <c r="C214" t="s">
        <v>5345</v>
      </c>
      <c r="D214" t="s">
        <v>7220</v>
      </c>
      <c r="E214" t="s">
        <v>7195</v>
      </c>
      <c r="F214">
        <v>0</v>
      </c>
      <c r="G214" t="s">
        <v>7221</v>
      </c>
      <c r="L214" s="4"/>
      <c r="O214">
        <v>3000000001827653</v>
      </c>
      <c r="P214" t="s">
        <v>6782</v>
      </c>
      <c r="Q214" t="s">
        <v>7212</v>
      </c>
      <c r="W214" t="str">
        <f>Tabla_Consulta_desde_Proyectos10[[#This Row],[PRYcodigo]]&amp;Tabla_Consulta_desde_Proyectos10[[#This Row],[PRYApath]]</f>
        <v>151-400-RGT2.0/0020</v>
      </c>
      <c r="X214" t="str">
        <f>Tabla_Consulta_desde_Proyectos10[[#This Row],[PRYAcodigo]]&amp;" - "&amp;Tabla_Consulta_desde_Proyectos10[[#This Row],[PRYAdescripcion]]</f>
        <v>500.1_RM - ACTIVIDADES DEL EQUIPO DE RELEASE MANAGMENT</v>
      </c>
      <c r="Y214" t="str">
        <f>SUBSTITUTE(IFERROR(VLOOKUP(LEFT(Tabla_Consulta_desde_Proyectos10[[#This Row],[Nivel1]],LEN(Tabla_Consulta_desde_Proyectos10[[#This Row],[Nivel1]])-5),Tabla_Consulta_desde_Proyectos10[[#All],[Nivel1]:[Actividad]],2,FALSE),""),"_","-")</f>
        <v/>
      </c>
      <c r="Z214" t="str">
        <f>IFERROR(VLOOKUP(Tabla_Consulta_desde_Proyectos10[[#This Row],[PRYRAfecha]],'Fechas Mes'!G:J,4,TRUE),"")</f>
        <v/>
      </c>
      <c r="AA214" t="e" cm="1">
        <f t="array" ref="AA214">INDEX('Fechas Mes'!F:F,MATCH(Tabla_Consulta_desde_Proyectos10[[#This Row],[Semana]],'Fechas Mes'!J:J,0),)</f>
        <v>#N/A</v>
      </c>
      <c r="AB214">
        <f>YEAR(Tabla_Consulta_desde_Proyectos10[[#This Row],[PRYRAfecha]])</f>
        <v>1900</v>
      </c>
      <c r="AC214" t="e">
        <f>VLOOKUP(Tabla_Consulta_desde_Proyectos10[[#This Row],[PRYRAfecha]],'Fechas Mes'!G:J,4,TRUE)</f>
        <v>#N/A</v>
      </c>
      <c r="AD214" t="str">
        <f>IFERROR(VLOOKUP(Tabla_Consulta_desde_Proyectos10[[#This Row],[PRYcodigo]],Catálogo!A:B,2,FALSE),"Otros")</f>
        <v>Otros</v>
      </c>
      <c r="AE214" t="str">
        <f>IF(LEN(Tabla_Consulta_desde_Proyectos10[[#This Row],[Semana]])&lt;13,"CI",RIGHT(Tabla_Consulta_desde_Proyectos10[[#This Row],[Semana]],4))</f>
        <v>CI</v>
      </c>
    </row>
    <row r="215" spans="1:31" hidden="1">
      <c r="A215" t="s">
        <v>4032</v>
      </c>
      <c r="B215" t="s">
        <v>5344</v>
      </c>
      <c r="C215" t="s">
        <v>5345</v>
      </c>
      <c r="D215" t="s">
        <v>7220</v>
      </c>
      <c r="E215" t="s">
        <v>7195</v>
      </c>
      <c r="F215">
        <v>0</v>
      </c>
      <c r="G215" t="s">
        <v>7221</v>
      </c>
      <c r="L215" s="4"/>
      <c r="O215">
        <v>3000000001828036</v>
      </c>
      <c r="P215" t="s">
        <v>6782</v>
      </c>
      <c r="Q215" t="s">
        <v>7210</v>
      </c>
      <c r="W215" t="str">
        <f>Tabla_Consulta_desde_Proyectos10[[#This Row],[PRYcodigo]]&amp;Tabla_Consulta_desde_Proyectos10[[#This Row],[PRYApath]]</f>
        <v>151-400-RGT2.0/0020</v>
      </c>
      <c r="X215" t="str">
        <f>Tabla_Consulta_desde_Proyectos10[[#This Row],[PRYAcodigo]]&amp;" - "&amp;Tabla_Consulta_desde_Proyectos10[[#This Row],[PRYAdescripcion]]</f>
        <v>500.1_RM - ACTIVIDADES DEL EQUIPO DE RELEASE MANAGMENT</v>
      </c>
      <c r="Y215" t="str">
        <f>SUBSTITUTE(IFERROR(VLOOKUP(LEFT(Tabla_Consulta_desde_Proyectos10[[#This Row],[Nivel1]],LEN(Tabla_Consulta_desde_Proyectos10[[#This Row],[Nivel1]])-5),Tabla_Consulta_desde_Proyectos10[[#All],[Nivel1]:[Actividad]],2,FALSE),""),"_","-")</f>
        <v/>
      </c>
      <c r="Z215" t="str">
        <f>IFERROR(VLOOKUP(Tabla_Consulta_desde_Proyectos10[[#This Row],[PRYRAfecha]],'Fechas Mes'!G:J,4,TRUE),"")</f>
        <v/>
      </c>
      <c r="AA215" t="e" cm="1">
        <f t="array" ref="AA215">INDEX('Fechas Mes'!F:F,MATCH(Tabla_Consulta_desde_Proyectos10[[#This Row],[Semana]],'Fechas Mes'!J:J,0),)</f>
        <v>#N/A</v>
      </c>
      <c r="AB215">
        <f>YEAR(Tabla_Consulta_desde_Proyectos10[[#This Row],[PRYRAfecha]])</f>
        <v>1900</v>
      </c>
      <c r="AC215" t="e">
        <f>VLOOKUP(Tabla_Consulta_desde_Proyectos10[[#This Row],[PRYRAfecha]],'Fechas Mes'!G:J,4,TRUE)</f>
        <v>#N/A</v>
      </c>
      <c r="AD215" t="str">
        <f>IFERROR(VLOOKUP(Tabla_Consulta_desde_Proyectos10[[#This Row],[PRYcodigo]],Catálogo!A:B,2,FALSE),"Otros")</f>
        <v>Otros</v>
      </c>
      <c r="AE215" t="str">
        <f>IF(LEN(Tabla_Consulta_desde_Proyectos10[[#This Row],[Semana]])&lt;13,"CI",RIGHT(Tabla_Consulta_desde_Proyectos10[[#This Row],[Semana]],4))</f>
        <v>CI</v>
      </c>
    </row>
    <row r="216" spans="1:31" hidden="1">
      <c r="A216" t="s">
        <v>4032</v>
      </c>
      <c r="B216" t="s">
        <v>5344</v>
      </c>
      <c r="C216" t="s">
        <v>5345</v>
      </c>
      <c r="D216" t="s">
        <v>7220</v>
      </c>
      <c r="E216" t="s">
        <v>7195</v>
      </c>
      <c r="F216">
        <v>0</v>
      </c>
      <c r="G216" t="s">
        <v>7221</v>
      </c>
      <c r="L216" s="4"/>
      <c r="O216">
        <v>3000000001828191</v>
      </c>
      <c r="P216" t="s">
        <v>6782</v>
      </c>
      <c r="Q216" t="s">
        <v>7198</v>
      </c>
      <c r="W216" t="str">
        <f>Tabla_Consulta_desde_Proyectos10[[#This Row],[PRYcodigo]]&amp;Tabla_Consulta_desde_Proyectos10[[#This Row],[PRYApath]]</f>
        <v>151-400-RGT2.0/0020</v>
      </c>
      <c r="X216" t="str">
        <f>Tabla_Consulta_desde_Proyectos10[[#This Row],[PRYAcodigo]]&amp;" - "&amp;Tabla_Consulta_desde_Proyectos10[[#This Row],[PRYAdescripcion]]</f>
        <v>500.1_RM - ACTIVIDADES DEL EQUIPO DE RELEASE MANAGMENT</v>
      </c>
      <c r="Y216" t="str">
        <f>SUBSTITUTE(IFERROR(VLOOKUP(LEFT(Tabla_Consulta_desde_Proyectos10[[#This Row],[Nivel1]],LEN(Tabla_Consulta_desde_Proyectos10[[#This Row],[Nivel1]])-5),Tabla_Consulta_desde_Proyectos10[[#All],[Nivel1]:[Actividad]],2,FALSE),""),"_","-")</f>
        <v/>
      </c>
      <c r="Z216" t="str">
        <f>IFERROR(VLOOKUP(Tabla_Consulta_desde_Proyectos10[[#This Row],[PRYRAfecha]],'Fechas Mes'!G:J,4,TRUE),"")</f>
        <v/>
      </c>
      <c r="AA216" t="e" cm="1">
        <f t="array" ref="AA216">INDEX('Fechas Mes'!F:F,MATCH(Tabla_Consulta_desde_Proyectos10[[#This Row],[Semana]],'Fechas Mes'!J:J,0),)</f>
        <v>#N/A</v>
      </c>
      <c r="AB216">
        <f>YEAR(Tabla_Consulta_desde_Proyectos10[[#This Row],[PRYRAfecha]])</f>
        <v>1900</v>
      </c>
      <c r="AC216" t="e">
        <f>VLOOKUP(Tabla_Consulta_desde_Proyectos10[[#This Row],[PRYRAfecha]],'Fechas Mes'!G:J,4,TRUE)</f>
        <v>#N/A</v>
      </c>
      <c r="AD216" t="str">
        <f>IFERROR(VLOOKUP(Tabla_Consulta_desde_Proyectos10[[#This Row],[PRYcodigo]],Catálogo!A:B,2,FALSE),"Otros")</f>
        <v>Otros</v>
      </c>
      <c r="AE216" t="str">
        <f>IF(LEN(Tabla_Consulta_desde_Proyectos10[[#This Row],[Semana]])&lt;13,"CI",RIGHT(Tabla_Consulta_desde_Proyectos10[[#This Row],[Semana]],4))</f>
        <v>CI</v>
      </c>
    </row>
    <row r="217" spans="1:31" hidden="1">
      <c r="A217" t="s">
        <v>4032</v>
      </c>
      <c r="B217" t="s">
        <v>5344</v>
      </c>
      <c r="C217" t="s">
        <v>5345</v>
      </c>
      <c r="D217" t="s">
        <v>7220</v>
      </c>
      <c r="E217" t="s">
        <v>7195</v>
      </c>
      <c r="F217">
        <v>0</v>
      </c>
      <c r="G217" t="s">
        <v>7221</v>
      </c>
      <c r="L217" s="4"/>
      <c r="O217">
        <v>3000000001828378</v>
      </c>
      <c r="P217" t="s">
        <v>6782</v>
      </c>
      <c r="Q217" t="s">
        <v>7212</v>
      </c>
      <c r="W217" t="str">
        <f>Tabla_Consulta_desde_Proyectos10[[#This Row],[PRYcodigo]]&amp;Tabla_Consulta_desde_Proyectos10[[#This Row],[PRYApath]]</f>
        <v>151-400-RGT2.0/0020</v>
      </c>
      <c r="X217" t="str">
        <f>Tabla_Consulta_desde_Proyectos10[[#This Row],[PRYAcodigo]]&amp;" - "&amp;Tabla_Consulta_desde_Proyectos10[[#This Row],[PRYAdescripcion]]</f>
        <v>500.1_RM - ACTIVIDADES DEL EQUIPO DE RELEASE MANAGMENT</v>
      </c>
      <c r="Y217" t="str">
        <f>SUBSTITUTE(IFERROR(VLOOKUP(LEFT(Tabla_Consulta_desde_Proyectos10[[#This Row],[Nivel1]],LEN(Tabla_Consulta_desde_Proyectos10[[#This Row],[Nivel1]])-5),Tabla_Consulta_desde_Proyectos10[[#All],[Nivel1]:[Actividad]],2,FALSE),""),"_","-")</f>
        <v/>
      </c>
      <c r="Z217" t="str">
        <f>IFERROR(VLOOKUP(Tabla_Consulta_desde_Proyectos10[[#This Row],[PRYRAfecha]],'Fechas Mes'!G:J,4,TRUE),"")</f>
        <v/>
      </c>
      <c r="AA217" t="e" cm="1">
        <f t="array" ref="AA217">INDEX('Fechas Mes'!F:F,MATCH(Tabla_Consulta_desde_Proyectos10[[#This Row],[Semana]],'Fechas Mes'!J:J,0),)</f>
        <v>#N/A</v>
      </c>
      <c r="AB217">
        <f>YEAR(Tabla_Consulta_desde_Proyectos10[[#This Row],[PRYRAfecha]])</f>
        <v>1900</v>
      </c>
      <c r="AC217" t="e">
        <f>VLOOKUP(Tabla_Consulta_desde_Proyectos10[[#This Row],[PRYRAfecha]],'Fechas Mes'!G:J,4,TRUE)</f>
        <v>#N/A</v>
      </c>
      <c r="AD217" t="str">
        <f>IFERROR(VLOOKUP(Tabla_Consulta_desde_Proyectos10[[#This Row],[PRYcodigo]],Catálogo!A:B,2,FALSE),"Otros")</f>
        <v>Otros</v>
      </c>
      <c r="AE217" t="str">
        <f>IF(LEN(Tabla_Consulta_desde_Proyectos10[[#This Row],[Semana]])&lt;13,"CI",RIGHT(Tabla_Consulta_desde_Proyectos10[[#This Row],[Semana]],4))</f>
        <v>CI</v>
      </c>
    </row>
    <row r="218" spans="1:31" hidden="1">
      <c r="A218" t="s">
        <v>4032</v>
      </c>
      <c r="B218" t="s">
        <v>5344</v>
      </c>
      <c r="C218" t="s">
        <v>5345</v>
      </c>
      <c r="D218" t="s">
        <v>7220</v>
      </c>
      <c r="E218" t="s">
        <v>7195</v>
      </c>
      <c r="F218">
        <v>0</v>
      </c>
      <c r="G218" t="s">
        <v>7221</v>
      </c>
      <c r="L218" s="4"/>
      <c r="O218">
        <v>3000000001829472</v>
      </c>
      <c r="P218" t="s">
        <v>6782</v>
      </c>
      <c r="Q218" t="s">
        <v>7210</v>
      </c>
      <c r="W218" t="str">
        <f>Tabla_Consulta_desde_Proyectos10[[#This Row],[PRYcodigo]]&amp;Tabla_Consulta_desde_Proyectos10[[#This Row],[PRYApath]]</f>
        <v>151-400-RGT2.0/0020</v>
      </c>
      <c r="X218" t="str">
        <f>Tabla_Consulta_desde_Proyectos10[[#This Row],[PRYAcodigo]]&amp;" - "&amp;Tabla_Consulta_desde_Proyectos10[[#This Row],[PRYAdescripcion]]</f>
        <v>500.1_RM - ACTIVIDADES DEL EQUIPO DE RELEASE MANAGMENT</v>
      </c>
      <c r="Y218" t="str">
        <f>SUBSTITUTE(IFERROR(VLOOKUP(LEFT(Tabla_Consulta_desde_Proyectos10[[#This Row],[Nivel1]],LEN(Tabla_Consulta_desde_Proyectos10[[#This Row],[Nivel1]])-5),Tabla_Consulta_desde_Proyectos10[[#All],[Nivel1]:[Actividad]],2,FALSE),""),"_","-")</f>
        <v/>
      </c>
      <c r="Z218" t="str">
        <f>IFERROR(VLOOKUP(Tabla_Consulta_desde_Proyectos10[[#This Row],[PRYRAfecha]],'Fechas Mes'!G:J,4,TRUE),"")</f>
        <v/>
      </c>
      <c r="AA218" t="e" cm="1">
        <f t="array" ref="AA218">INDEX('Fechas Mes'!F:F,MATCH(Tabla_Consulta_desde_Proyectos10[[#This Row],[Semana]],'Fechas Mes'!J:J,0),)</f>
        <v>#N/A</v>
      </c>
      <c r="AB218">
        <f>YEAR(Tabla_Consulta_desde_Proyectos10[[#This Row],[PRYRAfecha]])</f>
        <v>1900</v>
      </c>
      <c r="AC218" t="e">
        <f>VLOOKUP(Tabla_Consulta_desde_Proyectos10[[#This Row],[PRYRAfecha]],'Fechas Mes'!G:J,4,TRUE)</f>
        <v>#N/A</v>
      </c>
      <c r="AD218" t="str">
        <f>IFERROR(VLOOKUP(Tabla_Consulta_desde_Proyectos10[[#This Row],[PRYcodigo]],Catálogo!A:B,2,FALSE),"Otros")</f>
        <v>Otros</v>
      </c>
      <c r="AE218" t="str">
        <f>IF(LEN(Tabla_Consulta_desde_Proyectos10[[#This Row],[Semana]])&lt;13,"CI",RIGHT(Tabla_Consulta_desde_Proyectos10[[#This Row],[Semana]],4))</f>
        <v>CI</v>
      </c>
    </row>
    <row r="219" spans="1:31" hidden="1">
      <c r="A219" t="s">
        <v>4032</v>
      </c>
      <c r="B219" t="s">
        <v>5344</v>
      </c>
      <c r="C219" t="s">
        <v>5345</v>
      </c>
      <c r="D219" t="s">
        <v>7220</v>
      </c>
      <c r="E219" t="s">
        <v>7195</v>
      </c>
      <c r="F219">
        <v>0</v>
      </c>
      <c r="G219" t="s">
        <v>7221</v>
      </c>
      <c r="L219" s="4"/>
      <c r="O219">
        <v>3000000001829486</v>
      </c>
      <c r="P219" t="s">
        <v>6782</v>
      </c>
      <c r="Q219" t="s">
        <v>7210</v>
      </c>
      <c r="W219" t="str">
        <f>Tabla_Consulta_desde_Proyectos10[[#This Row],[PRYcodigo]]&amp;Tabla_Consulta_desde_Proyectos10[[#This Row],[PRYApath]]</f>
        <v>151-400-RGT2.0/0020</v>
      </c>
      <c r="X219" t="str">
        <f>Tabla_Consulta_desde_Proyectos10[[#This Row],[PRYAcodigo]]&amp;" - "&amp;Tabla_Consulta_desde_Proyectos10[[#This Row],[PRYAdescripcion]]</f>
        <v>500.1_RM - ACTIVIDADES DEL EQUIPO DE RELEASE MANAGMENT</v>
      </c>
      <c r="Y219" t="str">
        <f>SUBSTITUTE(IFERROR(VLOOKUP(LEFT(Tabla_Consulta_desde_Proyectos10[[#This Row],[Nivel1]],LEN(Tabla_Consulta_desde_Proyectos10[[#This Row],[Nivel1]])-5),Tabla_Consulta_desde_Proyectos10[[#All],[Nivel1]:[Actividad]],2,FALSE),""),"_","-")</f>
        <v/>
      </c>
      <c r="Z219" t="str">
        <f>IFERROR(VLOOKUP(Tabla_Consulta_desde_Proyectos10[[#This Row],[PRYRAfecha]],'Fechas Mes'!G:J,4,TRUE),"")</f>
        <v/>
      </c>
      <c r="AA219" t="e" cm="1">
        <f t="array" ref="AA219">INDEX('Fechas Mes'!F:F,MATCH(Tabla_Consulta_desde_Proyectos10[[#This Row],[Semana]],'Fechas Mes'!J:J,0),)</f>
        <v>#N/A</v>
      </c>
      <c r="AB219">
        <f>YEAR(Tabla_Consulta_desde_Proyectos10[[#This Row],[PRYRAfecha]])</f>
        <v>1900</v>
      </c>
      <c r="AC219" t="e">
        <f>VLOOKUP(Tabla_Consulta_desde_Proyectos10[[#This Row],[PRYRAfecha]],'Fechas Mes'!G:J,4,TRUE)</f>
        <v>#N/A</v>
      </c>
      <c r="AD219" t="str">
        <f>IFERROR(VLOOKUP(Tabla_Consulta_desde_Proyectos10[[#This Row],[PRYcodigo]],Catálogo!A:B,2,FALSE),"Otros")</f>
        <v>Otros</v>
      </c>
      <c r="AE219" t="str">
        <f>IF(LEN(Tabla_Consulta_desde_Proyectos10[[#This Row],[Semana]])&lt;13,"CI",RIGHT(Tabla_Consulta_desde_Proyectos10[[#This Row],[Semana]],4))</f>
        <v>CI</v>
      </c>
    </row>
    <row r="220" spans="1:31" hidden="1">
      <c r="A220" t="s">
        <v>4032</v>
      </c>
      <c r="B220" t="s">
        <v>5344</v>
      </c>
      <c r="C220" t="s">
        <v>5345</v>
      </c>
      <c r="D220" t="s">
        <v>7220</v>
      </c>
      <c r="E220" t="s">
        <v>7195</v>
      </c>
      <c r="F220">
        <v>0</v>
      </c>
      <c r="G220" t="s">
        <v>7221</v>
      </c>
      <c r="L220" s="4"/>
      <c r="O220">
        <v>3000000001829488</v>
      </c>
      <c r="P220" t="s">
        <v>6792</v>
      </c>
      <c r="Q220" t="s">
        <v>7565</v>
      </c>
      <c r="W220" t="str">
        <f>Tabla_Consulta_desde_Proyectos10[[#This Row],[PRYcodigo]]&amp;Tabla_Consulta_desde_Proyectos10[[#This Row],[PRYApath]]</f>
        <v>151-400-RGT2.0/0020</v>
      </c>
      <c r="X220" t="str">
        <f>Tabla_Consulta_desde_Proyectos10[[#This Row],[PRYAcodigo]]&amp;" - "&amp;Tabla_Consulta_desde_Proyectos10[[#This Row],[PRYAdescripcion]]</f>
        <v>500.1_RM - ACTIVIDADES DEL EQUIPO DE RELEASE MANAGMENT</v>
      </c>
      <c r="Y220" t="str">
        <f>SUBSTITUTE(IFERROR(VLOOKUP(LEFT(Tabla_Consulta_desde_Proyectos10[[#This Row],[Nivel1]],LEN(Tabla_Consulta_desde_Proyectos10[[#This Row],[Nivel1]])-5),Tabla_Consulta_desde_Proyectos10[[#All],[Nivel1]:[Actividad]],2,FALSE),""),"_","-")</f>
        <v/>
      </c>
      <c r="Z220" t="str">
        <f>IFERROR(VLOOKUP(Tabla_Consulta_desde_Proyectos10[[#This Row],[PRYRAfecha]],'Fechas Mes'!G:J,4,TRUE),"")</f>
        <v/>
      </c>
      <c r="AA220" t="e" cm="1">
        <f t="array" ref="AA220">INDEX('Fechas Mes'!F:F,MATCH(Tabla_Consulta_desde_Proyectos10[[#This Row],[Semana]],'Fechas Mes'!J:J,0),)</f>
        <v>#N/A</v>
      </c>
      <c r="AB220">
        <f>YEAR(Tabla_Consulta_desde_Proyectos10[[#This Row],[PRYRAfecha]])</f>
        <v>1900</v>
      </c>
      <c r="AC220" t="e">
        <f>VLOOKUP(Tabla_Consulta_desde_Proyectos10[[#This Row],[PRYRAfecha]],'Fechas Mes'!G:J,4,TRUE)</f>
        <v>#N/A</v>
      </c>
      <c r="AD220" t="str">
        <f>IFERROR(VLOOKUP(Tabla_Consulta_desde_Proyectos10[[#This Row],[PRYcodigo]],Catálogo!A:B,2,FALSE),"Otros")</f>
        <v>Otros</v>
      </c>
      <c r="AE220" t="str">
        <f>IF(LEN(Tabla_Consulta_desde_Proyectos10[[#This Row],[Semana]])&lt;13,"CI",RIGHT(Tabla_Consulta_desde_Proyectos10[[#This Row],[Semana]],4))</f>
        <v>CI</v>
      </c>
    </row>
    <row r="221" spans="1:31" hidden="1">
      <c r="A221" t="s">
        <v>4032</v>
      </c>
      <c r="B221" t="s">
        <v>5344</v>
      </c>
      <c r="C221" t="s">
        <v>5345</v>
      </c>
      <c r="D221" t="s">
        <v>7220</v>
      </c>
      <c r="E221" t="s">
        <v>7195</v>
      </c>
      <c r="F221">
        <v>0</v>
      </c>
      <c r="G221" t="s">
        <v>7221</v>
      </c>
      <c r="L221" s="4"/>
      <c r="O221">
        <v>3000000001829500</v>
      </c>
      <c r="P221" t="s">
        <v>6792</v>
      </c>
      <c r="Q221" t="s">
        <v>7553</v>
      </c>
      <c r="W221" t="str">
        <f>Tabla_Consulta_desde_Proyectos10[[#This Row],[PRYcodigo]]&amp;Tabla_Consulta_desde_Proyectos10[[#This Row],[PRYApath]]</f>
        <v>151-400-RGT2.0/0020</v>
      </c>
      <c r="X221" t="str">
        <f>Tabla_Consulta_desde_Proyectos10[[#This Row],[PRYAcodigo]]&amp;" - "&amp;Tabla_Consulta_desde_Proyectos10[[#This Row],[PRYAdescripcion]]</f>
        <v>500.1_RM - ACTIVIDADES DEL EQUIPO DE RELEASE MANAGMENT</v>
      </c>
      <c r="Y221" t="str">
        <f>SUBSTITUTE(IFERROR(VLOOKUP(LEFT(Tabla_Consulta_desde_Proyectos10[[#This Row],[Nivel1]],LEN(Tabla_Consulta_desde_Proyectos10[[#This Row],[Nivel1]])-5),Tabla_Consulta_desde_Proyectos10[[#All],[Nivel1]:[Actividad]],2,FALSE),""),"_","-")</f>
        <v/>
      </c>
      <c r="Z221" t="str">
        <f>IFERROR(VLOOKUP(Tabla_Consulta_desde_Proyectos10[[#This Row],[PRYRAfecha]],'Fechas Mes'!G:J,4,TRUE),"")</f>
        <v/>
      </c>
      <c r="AA221" t="e" cm="1">
        <f t="array" ref="AA221">INDEX('Fechas Mes'!F:F,MATCH(Tabla_Consulta_desde_Proyectos10[[#This Row],[Semana]],'Fechas Mes'!J:J,0),)</f>
        <v>#N/A</v>
      </c>
      <c r="AB221">
        <f>YEAR(Tabla_Consulta_desde_Proyectos10[[#This Row],[PRYRAfecha]])</f>
        <v>1900</v>
      </c>
      <c r="AC221" t="e">
        <f>VLOOKUP(Tabla_Consulta_desde_Proyectos10[[#This Row],[PRYRAfecha]],'Fechas Mes'!G:J,4,TRUE)</f>
        <v>#N/A</v>
      </c>
      <c r="AD221" t="str">
        <f>IFERROR(VLOOKUP(Tabla_Consulta_desde_Proyectos10[[#This Row],[PRYcodigo]],Catálogo!A:B,2,FALSE),"Otros")</f>
        <v>Otros</v>
      </c>
      <c r="AE221" t="str">
        <f>IF(LEN(Tabla_Consulta_desde_Proyectos10[[#This Row],[Semana]])&lt;13,"CI",RIGHT(Tabla_Consulta_desde_Proyectos10[[#This Row],[Semana]],4))</f>
        <v>CI</v>
      </c>
    </row>
    <row r="222" spans="1:31" hidden="1">
      <c r="A222" t="s">
        <v>4032</v>
      </c>
      <c r="B222" t="s">
        <v>5344</v>
      </c>
      <c r="C222" t="s">
        <v>5345</v>
      </c>
      <c r="D222" t="s">
        <v>7220</v>
      </c>
      <c r="E222" t="s">
        <v>7195</v>
      </c>
      <c r="F222">
        <v>0</v>
      </c>
      <c r="G222" t="s">
        <v>7221</v>
      </c>
      <c r="L222" s="4"/>
      <c r="O222">
        <v>3000000001830126</v>
      </c>
      <c r="P222" t="s">
        <v>6784</v>
      </c>
      <c r="Q222" t="s">
        <v>7213</v>
      </c>
      <c r="W222" t="str">
        <f>Tabla_Consulta_desde_Proyectos10[[#This Row],[PRYcodigo]]&amp;Tabla_Consulta_desde_Proyectos10[[#This Row],[PRYApath]]</f>
        <v>151-400-RGT2.0/0020</v>
      </c>
      <c r="X222" t="str">
        <f>Tabla_Consulta_desde_Proyectos10[[#This Row],[PRYAcodigo]]&amp;" - "&amp;Tabla_Consulta_desde_Proyectos10[[#This Row],[PRYAdescripcion]]</f>
        <v>500.1_RM - ACTIVIDADES DEL EQUIPO DE RELEASE MANAGMENT</v>
      </c>
      <c r="Y222" t="str">
        <f>SUBSTITUTE(IFERROR(VLOOKUP(LEFT(Tabla_Consulta_desde_Proyectos10[[#This Row],[Nivel1]],LEN(Tabla_Consulta_desde_Proyectos10[[#This Row],[Nivel1]])-5),Tabla_Consulta_desde_Proyectos10[[#All],[Nivel1]:[Actividad]],2,FALSE),""),"_","-")</f>
        <v/>
      </c>
      <c r="Z222" t="str">
        <f>IFERROR(VLOOKUP(Tabla_Consulta_desde_Proyectos10[[#This Row],[PRYRAfecha]],'Fechas Mes'!G:J,4,TRUE),"")</f>
        <v/>
      </c>
      <c r="AA222" t="e" cm="1">
        <f t="array" ref="AA222">INDEX('Fechas Mes'!F:F,MATCH(Tabla_Consulta_desde_Proyectos10[[#This Row],[Semana]],'Fechas Mes'!J:J,0),)</f>
        <v>#N/A</v>
      </c>
      <c r="AB222">
        <f>YEAR(Tabla_Consulta_desde_Proyectos10[[#This Row],[PRYRAfecha]])</f>
        <v>1900</v>
      </c>
      <c r="AC222" t="e">
        <f>VLOOKUP(Tabla_Consulta_desde_Proyectos10[[#This Row],[PRYRAfecha]],'Fechas Mes'!G:J,4,TRUE)</f>
        <v>#N/A</v>
      </c>
      <c r="AD222" t="str">
        <f>IFERROR(VLOOKUP(Tabla_Consulta_desde_Proyectos10[[#This Row],[PRYcodigo]],Catálogo!A:B,2,FALSE),"Otros")</f>
        <v>Otros</v>
      </c>
      <c r="AE222" t="str">
        <f>IF(LEN(Tabla_Consulta_desde_Proyectos10[[#This Row],[Semana]])&lt;13,"CI",RIGHT(Tabla_Consulta_desde_Proyectos10[[#This Row],[Semana]],4))</f>
        <v>CI</v>
      </c>
    </row>
    <row r="223" spans="1:31" hidden="1">
      <c r="A223" t="s">
        <v>4032</v>
      </c>
      <c r="B223" t="s">
        <v>5344</v>
      </c>
      <c r="C223" t="s">
        <v>5345</v>
      </c>
      <c r="D223" t="s">
        <v>7220</v>
      </c>
      <c r="E223" t="s">
        <v>7195</v>
      </c>
      <c r="F223">
        <v>0</v>
      </c>
      <c r="G223" t="s">
        <v>7221</v>
      </c>
      <c r="L223" s="4"/>
      <c r="O223">
        <v>3000000001830774</v>
      </c>
      <c r="P223" t="s">
        <v>6784</v>
      </c>
      <c r="Q223" t="s">
        <v>7197</v>
      </c>
      <c r="W223" t="str">
        <f>Tabla_Consulta_desde_Proyectos10[[#This Row],[PRYcodigo]]&amp;Tabla_Consulta_desde_Proyectos10[[#This Row],[PRYApath]]</f>
        <v>151-400-RGT2.0/0020</v>
      </c>
      <c r="X223" t="str">
        <f>Tabla_Consulta_desde_Proyectos10[[#This Row],[PRYAcodigo]]&amp;" - "&amp;Tabla_Consulta_desde_Proyectos10[[#This Row],[PRYAdescripcion]]</f>
        <v>500.1_RM - ACTIVIDADES DEL EQUIPO DE RELEASE MANAGMENT</v>
      </c>
      <c r="Y223" t="str">
        <f>SUBSTITUTE(IFERROR(VLOOKUP(LEFT(Tabla_Consulta_desde_Proyectos10[[#This Row],[Nivel1]],LEN(Tabla_Consulta_desde_Proyectos10[[#This Row],[Nivel1]])-5),Tabla_Consulta_desde_Proyectos10[[#All],[Nivel1]:[Actividad]],2,FALSE),""),"_","-")</f>
        <v/>
      </c>
      <c r="Z223" t="str">
        <f>IFERROR(VLOOKUP(Tabla_Consulta_desde_Proyectos10[[#This Row],[PRYRAfecha]],'Fechas Mes'!G:J,4,TRUE),"")</f>
        <v/>
      </c>
      <c r="AA223" t="e" cm="1">
        <f t="array" ref="AA223">INDEX('Fechas Mes'!F:F,MATCH(Tabla_Consulta_desde_Proyectos10[[#This Row],[Semana]],'Fechas Mes'!J:J,0),)</f>
        <v>#N/A</v>
      </c>
      <c r="AB223">
        <f>YEAR(Tabla_Consulta_desde_Proyectos10[[#This Row],[PRYRAfecha]])</f>
        <v>1900</v>
      </c>
      <c r="AC223" t="e">
        <f>VLOOKUP(Tabla_Consulta_desde_Proyectos10[[#This Row],[PRYRAfecha]],'Fechas Mes'!G:J,4,TRUE)</f>
        <v>#N/A</v>
      </c>
      <c r="AD223" t="str">
        <f>IFERROR(VLOOKUP(Tabla_Consulta_desde_Proyectos10[[#This Row],[PRYcodigo]],Catálogo!A:B,2,FALSE),"Otros")</f>
        <v>Otros</v>
      </c>
      <c r="AE223" t="str">
        <f>IF(LEN(Tabla_Consulta_desde_Proyectos10[[#This Row],[Semana]])&lt;13,"CI",RIGHT(Tabla_Consulta_desde_Proyectos10[[#This Row],[Semana]],4))</f>
        <v>CI</v>
      </c>
    </row>
    <row r="224" spans="1:31" hidden="1">
      <c r="A224" t="s">
        <v>4032</v>
      </c>
      <c r="B224" t="s">
        <v>5344</v>
      </c>
      <c r="C224" t="s">
        <v>5345</v>
      </c>
      <c r="D224" t="s">
        <v>7220</v>
      </c>
      <c r="E224" t="s">
        <v>7195</v>
      </c>
      <c r="F224">
        <v>0</v>
      </c>
      <c r="G224" t="s">
        <v>7221</v>
      </c>
      <c r="L224" s="4"/>
      <c r="O224">
        <v>3000000001830823</v>
      </c>
      <c r="P224" t="s">
        <v>6786</v>
      </c>
      <c r="Q224" t="s">
        <v>7234</v>
      </c>
      <c r="W224" t="str">
        <f>Tabla_Consulta_desde_Proyectos10[[#This Row],[PRYcodigo]]&amp;Tabla_Consulta_desde_Proyectos10[[#This Row],[PRYApath]]</f>
        <v>151-400-RGT2.0/0020</v>
      </c>
      <c r="X224" t="str">
        <f>Tabla_Consulta_desde_Proyectos10[[#This Row],[PRYAcodigo]]&amp;" - "&amp;Tabla_Consulta_desde_Proyectos10[[#This Row],[PRYAdescripcion]]</f>
        <v>500.1_RM - ACTIVIDADES DEL EQUIPO DE RELEASE MANAGMENT</v>
      </c>
      <c r="Y224" t="str">
        <f>SUBSTITUTE(IFERROR(VLOOKUP(LEFT(Tabla_Consulta_desde_Proyectos10[[#This Row],[Nivel1]],LEN(Tabla_Consulta_desde_Proyectos10[[#This Row],[Nivel1]])-5),Tabla_Consulta_desde_Proyectos10[[#All],[Nivel1]:[Actividad]],2,FALSE),""),"_","-")</f>
        <v/>
      </c>
      <c r="Z224" t="str">
        <f>IFERROR(VLOOKUP(Tabla_Consulta_desde_Proyectos10[[#This Row],[PRYRAfecha]],'Fechas Mes'!G:J,4,TRUE),"")</f>
        <v/>
      </c>
      <c r="AA224" t="e" cm="1">
        <f t="array" ref="AA224">INDEX('Fechas Mes'!F:F,MATCH(Tabla_Consulta_desde_Proyectos10[[#This Row],[Semana]],'Fechas Mes'!J:J,0),)</f>
        <v>#N/A</v>
      </c>
      <c r="AB224">
        <f>YEAR(Tabla_Consulta_desde_Proyectos10[[#This Row],[PRYRAfecha]])</f>
        <v>1900</v>
      </c>
      <c r="AC224" t="e">
        <f>VLOOKUP(Tabla_Consulta_desde_Proyectos10[[#This Row],[PRYRAfecha]],'Fechas Mes'!G:J,4,TRUE)</f>
        <v>#N/A</v>
      </c>
      <c r="AD224" t="str">
        <f>IFERROR(VLOOKUP(Tabla_Consulta_desde_Proyectos10[[#This Row],[PRYcodigo]],Catálogo!A:B,2,FALSE),"Otros")</f>
        <v>Otros</v>
      </c>
      <c r="AE224" t="str">
        <f>IF(LEN(Tabla_Consulta_desde_Proyectos10[[#This Row],[Semana]])&lt;13,"CI",RIGHT(Tabla_Consulta_desde_Proyectos10[[#This Row],[Semana]],4))</f>
        <v>CI</v>
      </c>
    </row>
    <row r="225" spans="1:31" hidden="1">
      <c r="A225" t="s">
        <v>4032</v>
      </c>
      <c r="B225" t="s">
        <v>5344</v>
      </c>
      <c r="C225" t="s">
        <v>5345</v>
      </c>
      <c r="D225" t="s">
        <v>7220</v>
      </c>
      <c r="E225" t="s">
        <v>7195</v>
      </c>
      <c r="F225">
        <v>0</v>
      </c>
      <c r="G225" t="s">
        <v>7221</v>
      </c>
      <c r="L225" s="4"/>
      <c r="O225">
        <v>3000000001830824</v>
      </c>
      <c r="P225" t="s">
        <v>6796</v>
      </c>
      <c r="Q225" t="s">
        <v>7215</v>
      </c>
      <c r="W225" t="str">
        <f>Tabla_Consulta_desde_Proyectos10[[#This Row],[PRYcodigo]]&amp;Tabla_Consulta_desde_Proyectos10[[#This Row],[PRYApath]]</f>
        <v>151-400-RGT2.0/0020</v>
      </c>
      <c r="X225" t="str">
        <f>Tabla_Consulta_desde_Proyectos10[[#This Row],[PRYAcodigo]]&amp;" - "&amp;Tabla_Consulta_desde_Proyectos10[[#This Row],[PRYAdescripcion]]</f>
        <v>500.1_RM - ACTIVIDADES DEL EQUIPO DE RELEASE MANAGMENT</v>
      </c>
      <c r="Y225" t="str">
        <f>SUBSTITUTE(IFERROR(VLOOKUP(LEFT(Tabla_Consulta_desde_Proyectos10[[#This Row],[Nivel1]],LEN(Tabla_Consulta_desde_Proyectos10[[#This Row],[Nivel1]])-5),Tabla_Consulta_desde_Proyectos10[[#All],[Nivel1]:[Actividad]],2,FALSE),""),"_","-")</f>
        <v/>
      </c>
      <c r="Z225" t="str">
        <f>IFERROR(VLOOKUP(Tabla_Consulta_desde_Proyectos10[[#This Row],[PRYRAfecha]],'Fechas Mes'!G:J,4,TRUE),"")</f>
        <v/>
      </c>
      <c r="AA225" t="e" cm="1">
        <f t="array" ref="AA225">INDEX('Fechas Mes'!F:F,MATCH(Tabla_Consulta_desde_Proyectos10[[#This Row],[Semana]],'Fechas Mes'!J:J,0),)</f>
        <v>#N/A</v>
      </c>
      <c r="AB225">
        <f>YEAR(Tabla_Consulta_desde_Proyectos10[[#This Row],[PRYRAfecha]])</f>
        <v>1900</v>
      </c>
      <c r="AC225" t="e">
        <f>VLOOKUP(Tabla_Consulta_desde_Proyectos10[[#This Row],[PRYRAfecha]],'Fechas Mes'!G:J,4,TRUE)</f>
        <v>#N/A</v>
      </c>
      <c r="AD225" t="str">
        <f>IFERROR(VLOOKUP(Tabla_Consulta_desde_Proyectos10[[#This Row],[PRYcodigo]],Catálogo!A:B,2,FALSE),"Otros")</f>
        <v>Otros</v>
      </c>
      <c r="AE225" t="str">
        <f>IF(LEN(Tabla_Consulta_desde_Proyectos10[[#This Row],[Semana]])&lt;13,"CI",RIGHT(Tabla_Consulta_desde_Proyectos10[[#This Row],[Semana]],4))</f>
        <v>CI</v>
      </c>
    </row>
    <row r="226" spans="1:31" hidden="1">
      <c r="A226" t="s">
        <v>4032</v>
      </c>
      <c r="B226" t="s">
        <v>5344</v>
      </c>
      <c r="C226" t="s">
        <v>5345</v>
      </c>
      <c r="D226" t="s">
        <v>7220</v>
      </c>
      <c r="E226" t="s">
        <v>7195</v>
      </c>
      <c r="F226">
        <v>0</v>
      </c>
      <c r="G226" t="s">
        <v>7221</v>
      </c>
      <c r="L226" s="4"/>
      <c r="O226">
        <v>3000000001830962</v>
      </c>
      <c r="P226" t="s">
        <v>6782</v>
      </c>
      <c r="Q226" t="s">
        <v>7210</v>
      </c>
      <c r="W226" t="str">
        <f>Tabla_Consulta_desde_Proyectos10[[#This Row],[PRYcodigo]]&amp;Tabla_Consulta_desde_Proyectos10[[#This Row],[PRYApath]]</f>
        <v>151-400-RGT2.0/0020</v>
      </c>
      <c r="X226" t="str">
        <f>Tabla_Consulta_desde_Proyectos10[[#This Row],[PRYAcodigo]]&amp;" - "&amp;Tabla_Consulta_desde_Proyectos10[[#This Row],[PRYAdescripcion]]</f>
        <v>500.1_RM - ACTIVIDADES DEL EQUIPO DE RELEASE MANAGMENT</v>
      </c>
      <c r="Y226" t="str">
        <f>SUBSTITUTE(IFERROR(VLOOKUP(LEFT(Tabla_Consulta_desde_Proyectos10[[#This Row],[Nivel1]],LEN(Tabla_Consulta_desde_Proyectos10[[#This Row],[Nivel1]])-5),Tabla_Consulta_desde_Proyectos10[[#All],[Nivel1]:[Actividad]],2,FALSE),""),"_","-")</f>
        <v/>
      </c>
      <c r="Z226" t="str">
        <f>IFERROR(VLOOKUP(Tabla_Consulta_desde_Proyectos10[[#This Row],[PRYRAfecha]],'Fechas Mes'!G:J,4,TRUE),"")</f>
        <v/>
      </c>
      <c r="AA226" t="e" cm="1">
        <f t="array" ref="AA226">INDEX('Fechas Mes'!F:F,MATCH(Tabla_Consulta_desde_Proyectos10[[#This Row],[Semana]],'Fechas Mes'!J:J,0),)</f>
        <v>#N/A</v>
      </c>
      <c r="AB226">
        <f>YEAR(Tabla_Consulta_desde_Proyectos10[[#This Row],[PRYRAfecha]])</f>
        <v>1900</v>
      </c>
      <c r="AC226" t="e">
        <f>VLOOKUP(Tabla_Consulta_desde_Proyectos10[[#This Row],[PRYRAfecha]],'Fechas Mes'!G:J,4,TRUE)</f>
        <v>#N/A</v>
      </c>
      <c r="AD226" t="str">
        <f>IFERROR(VLOOKUP(Tabla_Consulta_desde_Proyectos10[[#This Row],[PRYcodigo]],Catálogo!A:B,2,FALSE),"Otros")</f>
        <v>Otros</v>
      </c>
      <c r="AE226" t="str">
        <f>IF(LEN(Tabla_Consulta_desde_Proyectos10[[#This Row],[Semana]])&lt;13,"CI",RIGHT(Tabla_Consulta_desde_Proyectos10[[#This Row],[Semana]],4))</f>
        <v>CI</v>
      </c>
    </row>
    <row r="227" spans="1:31" hidden="1">
      <c r="A227" t="s">
        <v>4032</v>
      </c>
      <c r="B227" t="s">
        <v>5344</v>
      </c>
      <c r="C227" t="s">
        <v>5345</v>
      </c>
      <c r="D227" t="s">
        <v>7220</v>
      </c>
      <c r="E227" t="s">
        <v>7195</v>
      </c>
      <c r="F227">
        <v>0</v>
      </c>
      <c r="G227" t="s">
        <v>7221</v>
      </c>
      <c r="L227" s="4"/>
      <c r="O227">
        <v>3000000001831243</v>
      </c>
      <c r="P227" t="s">
        <v>6782</v>
      </c>
      <c r="Q227" t="s">
        <v>7198</v>
      </c>
      <c r="W227" t="str">
        <f>Tabla_Consulta_desde_Proyectos10[[#This Row],[PRYcodigo]]&amp;Tabla_Consulta_desde_Proyectos10[[#This Row],[PRYApath]]</f>
        <v>151-400-RGT2.0/0020</v>
      </c>
      <c r="X227" t="str">
        <f>Tabla_Consulta_desde_Proyectos10[[#This Row],[PRYAcodigo]]&amp;" - "&amp;Tabla_Consulta_desde_Proyectos10[[#This Row],[PRYAdescripcion]]</f>
        <v>500.1_RM - ACTIVIDADES DEL EQUIPO DE RELEASE MANAGMENT</v>
      </c>
      <c r="Y227" t="str">
        <f>SUBSTITUTE(IFERROR(VLOOKUP(LEFT(Tabla_Consulta_desde_Proyectos10[[#This Row],[Nivel1]],LEN(Tabla_Consulta_desde_Proyectos10[[#This Row],[Nivel1]])-5),Tabla_Consulta_desde_Proyectos10[[#All],[Nivel1]:[Actividad]],2,FALSE),""),"_","-")</f>
        <v/>
      </c>
      <c r="Z227" t="str">
        <f>IFERROR(VLOOKUP(Tabla_Consulta_desde_Proyectos10[[#This Row],[PRYRAfecha]],'Fechas Mes'!G:J,4,TRUE),"")</f>
        <v/>
      </c>
      <c r="AA227" t="e" cm="1">
        <f t="array" ref="AA227">INDEX('Fechas Mes'!F:F,MATCH(Tabla_Consulta_desde_Proyectos10[[#This Row],[Semana]],'Fechas Mes'!J:J,0),)</f>
        <v>#N/A</v>
      </c>
      <c r="AB227">
        <f>YEAR(Tabla_Consulta_desde_Proyectos10[[#This Row],[PRYRAfecha]])</f>
        <v>1900</v>
      </c>
      <c r="AC227" t="e">
        <f>VLOOKUP(Tabla_Consulta_desde_Proyectos10[[#This Row],[PRYRAfecha]],'Fechas Mes'!G:J,4,TRUE)</f>
        <v>#N/A</v>
      </c>
      <c r="AD227" t="str">
        <f>IFERROR(VLOOKUP(Tabla_Consulta_desde_Proyectos10[[#This Row],[PRYcodigo]],Catálogo!A:B,2,FALSE),"Otros")</f>
        <v>Otros</v>
      </c>
      <c r="AE227" t="str">
        <f>IF(LEN(Tabla_Consulta_desde_Proyectos10[[#This Row],[Semana]])&lt;13,"CI",RIGHT(Tabla_Consulta_desde_Proyectos10[[#This Row],[Semana]],4))</f>
        <v>CI</v>
      </c>
    </row>
    <row r="228" spans="1:31" hidden="1">
      <c r="A228" t="s">
        <v>4032</v>
      </c>
      <c r="B228" t="s">
        <v>5344</v>
      </c>
      <c r="C228" t="s">
        <v>5345</v>
      </c>
      <c r="D228" t="s">
        <v>7220</v>
      </c>
      <c r="E228" t="s">
        <v>7195</v>
      </c>
      <c r="F228">
        <v>0</v>
      </c>
      <c r="G228" t="s">
        <v>7221</v>
      </c>
      <c r="L228" s="4"/>
      <c r="O228">
        <v>3000000001831904</v>
      </c>
      <c r="P228" t="s">
        <v>6782</v>
      </c>
      <c r="Q228" t="s">
        <v>7212</v>
      </c>
      <c r="W228" t="str">
        <f>Tabla_Consulta_desde_Proyectos10[[#This Row],[PRYcodigo]]&amp;Tabla_Consulta_desde_Proyectos10[[#This Row],[PRYApath]]</f>
        <v>151-400-RGT2.0/0020</v>
      </c>
      <c r="X228" t="str">
        <f>Tabla_Consulta_desde_Proyectos10[[#This Row],[PRYAcodigo]]&amp;" - "&amp;Tabla_Consulta_desde_Proyectos10[[#This Row],[PRYAdescripcion]]</f>
        <v>500.1_RM - ACTIVIDADES DEL EQUIPO DE RELEASE MANAGMENT</v>
      </c>
      <c r="Y228" t="str">
        <f>SUBSTITUTE(IFERROR(VLOOKUP(LEFT(Tabla_Consulta_desde_Proyectos10[[#This Row],[Nivel1]],LEN(Tabla_Consulta_desde_Proyectos10[[#This Row],[Nivel1]])-5),Tabla_Consulta_desde_Proyectos10[[#All],[Nivel1]:[Actividad]],2,FALSE),""),"_","-")</f>
        <v/>
      </c>
      <c r="Z228" t="str">
        <f>IFERROR(VLOOKUP(Tabla_Consulta_desde_Proyectos10[[#This Row],[PRYRAfecha]],'Fechas Mes'!G:J,4,TRUE),"")</f>
        <v/>
      </c>
      <c r="AA228" t="e" cm="1">
        <f t="array" ref="AA228">INDEX('Fechas Mes'!F:F,MATCH(Tabla_Consulta_desde_Proyectos10[[#This Row],[Semana]],'Fechas Mes'!J:J,0),)</f>
        <v>#N/A</v>
      </c>
      <c r="AB228">
        <f>YEAR(Tabla_Consulta_desde_Proyectos10[[#This Row],[PRYRAfecha]])</f>
        <v>1900</v>
      </c>
      <c r="AC228" t="e">
        <f>VLOOKUP(Tabla_Consulta_desde_Proyectos10[[#This Row],[PRYRAfecha]],'Fechas Mes'!G:J,4,TRUE)</f>
        <v>#N/A</v>
      </c>
      <c r="AD228" t="str">
        <f>IFERROR(VLOOKUP(Tabla_Consulta_desde_Proyectos10[[#This Row],[PRYcodigo]],Catálogo!A:B,2,FALSE),"Otros")</f>
        <v>Otros</v>
      </c>
      <c r="AE228" t="str">
        <f>IF(LEN(Tabla_Consulta_desde_Proyectos10[[#This Row],[Semana]])&lt;13,"CI",RIGHT(Tabla_Consulta_desde_Proyectos10[[#This Row],[Semana]],4))</f>
        <v>CI</v>
      </c>
    </row>
    <row r="229" spans="1:31" hidden="1">
      <c r="A229" t="s">
        <v>4032</v>
      </c>
      <c r="B229" t="s">
        <v>5344</v>
      </c>
      <c r="C229" t="s">
        <v>5345</v>
      </c>
      <c r="D229" t="s">
        <v>7220</v>
      </c>
      <c r="E229" t="s">
        <v>7195</v>
      </c>
      <c r="F229">
        <v>0</v>
      </c>
      <c r="G229" t="s">
        <v>7221</v>
      </c>
      <c r="L229" s="4"/>
      <c r="O229">
        <v>3000000001831916</v>
      </c>
      <c r="P229" t="s">
        <v>6782</v>
      </c>
      <c r="Q229" t="s">
        <v>7212</v>
      </c>
      <c r="W229" t="str">
        <f>Tabla_Consulta_desde_Proyectos10[[#This Row],[PRYcodigo]]&amp;Tabla_Consulta_desde_Proyectos10[[#This Row],[PRYApath]]</f>
        <v>151-400-RGT2.0/0020</v>
      </c>
      <c r="X229" t="str">
        <f>Tabla_Consulta_desde_Proyectos10[[#This Row],[PRYAcodigo]]&amp;" - "&amp;Tabla_Consulta_desde_Proyectos10[[#This Row],[PRYAdescripcion]]</f>
        <v>500.1_RM - ACTIVIDADES DEL EQUIPO DE RELEASE MANAGMENT</v>
      </c>
      <c r="Y229" t="str">
        <f>SUBSTITUTE(IFERROR(VLOOKUP(LEFT(Tabla_Consulta_desde_Proyectos10[[#This Row],[Nivel1]],LEN(Tabla_Consulta_desde_Proyectos10[[#This Row],[Nivel1]])-5),Tabla_Consulta_desde_Proyectos10[[#All],[Nivel1]:[Actividad]],2,FALSE),""),"_","-")</f>
        <v/>
      </c>
      <c r="Z229" t="str">
        <f>IFERROR(VLOOKUP(Tabla_Consulta_desde_Proyectos10[[#This Row],[PRYRAfecha]],'Fechas Mes'!G:J,4,TRUE),"")</f>
        <v/>
      </c>
      <c r="AA229" t="e" cm="1">
        <f t="array" ref="AA229">INDEX('Fechas Mes'!F:F,MATCH(Tabla_Consulta_desde_Proyectos10[[#This Row],[Semana]],'Fechas Mes'!J:J,0),)</f>
        <v>#N/A</v>
      </c>
      <c r="AB229">
        <f>YEAR(Tabla_Consulta_desde_Proyectos10[[#This Row],[PRYRAfecha]])</f>
        <v>1900</v>
      </c>
      <c r="AC229" t="e">
        <f>VLOOKUP(Tabla_Consulta_desde_Proyectos10[[#This Row],[PRYRAfecha]],'Fechas Mes'!G:J,4,TRUE)</f>
        <v>#N/A</v>
      </c>
      <c r="AD229" t="str">
        <f>IFERROR(VLOOKUP(Tabla_Consulta_desde_Proyectos10[[#This Row],[PRYcodigo]],Catálogo!A:B,2,FALSE),"Otros")</f>
        <v>Otros</v>
      </c>
      <c r="AE229" t="str">
        <f>IF(LEN(Tabla_Consulta_desde_Proyectos10[[#This Row],[Semana]])&lt;13,"CI",RIGHT(Tabla_Consulta_desde_Proyectos10[[#This Row],[Semana]],4))</f>
        <v>CI</v>
      </c>
    </row>
    <row r="230" spans="1:31" hidden="1">
      <c r="A230" t="s">
        <v>4032</v>
      </c>
      <c r="B230" t="s">
        <v>5344</v>
      </c>
      <c r="C230" t="s">
        <v>5345</v>
      </c>
      <c r="D230" t="s">
        <v>7220</v>
      </c>
      <c r="E230" t="s">
        <v>7195</v>
      </c>
      <c r="F230">
        <v>0</v>
      </c>
      <c r="G230" t="s">
        <v>7221</v>
      </c>
      <c r="L230" s="4"/>
      <c r="O230">
        <v>3000000001832858</v>
      </c>
      <c r="P230" t="s">
        <v>6792</v>
      </c>
      <c r="Q230" t="s">
        <v>7565</v>
      </c>
      <c r="W230" t="str">
        <f>Tabla_Consulta_desde_Proyectos10[[#This Row],[PRYcodigo]]&amp;Tabla_Consulta_desde_Proyectos10[[#This Row],[PRYApath]]</f>
        <v>151-400-RGT2.0/0020</v>
      </c>
      <c r="X230" t="str">
        <f>Tabla_Consulta_desde_Proyectos10[[#This Row],[PRYAcodigo]]&amp;" - "&amp;Tabla_Consulta_desde_Proyectos10[[#This Row],[PRYAdescripcion]]</f>
        <v>500.1_RM - ACTIVIDADES DEL EQUIPO DE RELEASE MANAGMENT</v>
      </c>
      <c r="Y230" t="str">
        <f>SUBSTITUTE(IFERROR(VLOOKUP(LEFT(Tabla_Consulta_desde_Proyectos10[[#This Row],[Nivel1]],LEN(Tabla_Consulta_desde_Proyectos10[[#This Row],[Nivel1]])-5),Tabla_Consulta_desde_Proyectos10[[#All],[Nivel1]:[Actividad]],2,FALSE),""),"_","-")</f>
        <v/>
      </c>
      <c r="Z230" t="str">
        <f>IFERROR(VLOOKUP(Tabla_Consulta_desde_Proyectos10[[#This Row],[PRYRAfecha]],'Fechas Mes'!G:J,4,TRUE),"")</f>
        <v/>
      </c>
      <c r="AA230" t="e" cm="1">
        <f t="array" ref="AA230">INDEX('Fechas Mes'!F:F,MATCH(Tabla_Consulta_desde_Proyectos10[[#This Row],[Semana]],'Fechas Mes'!J:J,0),)</f>
        <v>#N/A</v>
      </c>
      <c r="AB230">
        <f>YEAR(Tabla_Consulta_desde_Proyectos10[[#This Row],[PRYRAfecha]])</f>
        <v>1900</v>
      </c>
      <c r="AC230" t="e">
        <f>VLOOKUP(Tabla_Consulta_desde_Proyectos10[[#This Row],[PRYRAfecha]],'Fechas Mes'!G:J,4,TRUE)</f>
        <v>#N/A</v>
      </c>
      <c r="AD230" t="str">
        <f>IFERROR(VLOOKUP(Tabla_Consulta_desde_Proyectos10[[#This Row],[PRYcodigo]],Catálogo!A:B,2,FALSE),"Otros")</f>
        <v>Otros</v>
      </c>
      <c r="AE230" t="str">
        <f>IF(LEN(Tabla_Consulta_desde_Proyectos10[[#This Row],[Semana]])&lt;13,"CI",RIGHT(Tabla_Consulta_desde_Proyectos10[[#This Row],[Semana]],4))</f>
        <v>CI</v>
      </c>
    </row>
    <row r="231" spans="1:31" hidden="1">
      <c r="A231" t="s">
        <v>4032</v>
      </c>
      <c r="B231" t="s">
        <v>5344</v>
      </c>
      <c r="C231" t="s">
        <v>5345</v>
      </c>
      <c r="D231" t="s">
        <v>7220</v>
      </c>
      <c r="E231" t="s">
        <v>7195</v>
      </c>
      <c r="F231">
        <v>0</v>
      </c>
      <c r="G231" t="s">
        <v>7221</v>
      </c>
      <c r="L231" s="4"/>
      <c r="O231">
        <v>3000000001834475</v>
      </c>
      <c r="P231" t="s">
        <v>6782</v>
      </c>
      <c r="Q231" t="s">
        <v>7210</v>
      </c>
      <c r="W231" t="str">
        <f>Tabla_Consulta_desde_Proyectos10[[#This Row],[PRYcodigo]]&amp;Tabla_Consulta_desde_Proyectos10[[#This Row],[PRYApath]]</f>
        <v>151-400-RGT2.0/0020</v>
      </c>
      <c r="X231" t="str">
        <f>Tabla_Consulta_desde_Proyectos10[[#This Row],[PRYAcodigo]]&amp;" - "&amp;Tabla_Consulta_desde_Proyectos10[[#This Row],[PRYAdescripcion]]</f>
        <v>500.1_RM - ACTIVIDADES DEL EQUIPO DE RELEASE MANAGMENT</v>
      </c>
      <c r="Y231" t="str">
        <f>SUBSTITUTE(IFERROR(VLOOKUP(LEFT(Tabla_Consulta_desde_Proyectos10[[#This Row],[Nivel1]],LEN(Tabla_Consulta_desde_Proyectos10[[#This Row],[Nivel1]])-5),Tabla_Consulta_desde_Proyectos10[[#All],[Nivel1]:[Actividad]],2,FALSE),""),"_","-")</f>
        <v/>
      </c>
      <c r="Z231" t="str">
        <f>IFERROR(VLOOKUP(Tabla_Consulta_desde_Proyectos10[[#This Row],[PRYRAfecha]],'Fechas Mes'!G:J,4,TRUE),"")</f>
        <v/>
      </c>
      <c r="AA231" t="e" cm="1">
        <f t="array" ref="AA231">INDEX('Fechas Mes'!F:F,MATCH(Tabla_Consulta_desde_Proyectos10[[#This Row],[Semana]],'Fechas Mes'!J:J,0),)</f>
        <v>#N/A</v>
      </c>
      <c r="AB231">
        <f>YEAR(Tabla_Consulta_desde_Proyectos10[[#This Row],[PRYRAfecha]])</f>
        <v>1900</v>
      </c>
      <c r="AC231" t="e">
        <f>VLOOKUP(Tabla_Consulta_desde_Proyectos10[[#This Row],[PRYRAfecha]],'Fechas Mes'!G:J,4,TRUE)</f>
        <v>#N/A</v>
      </c>
      <c r="AD231" t="str">
        <f>IFERROR(VLOOKUP(Tabla_Consulta_desde_Proyectos10[[#This Row],[PRYcodigo]],Catálogo!A:B,2,FALSE),"Otros")</f>
        <v>Otros</v>
      </c>
      <c r="AE231" t="str">
        <f>IF(LEN(Tabla_Consulta_desde_Proyectos10[[#This Row],[Semana]])&lt;13,"CI",RIGHT(Tabla_Consulta_desde_Proyectos10[[#This Row],[Semana]],4))</f>
        <v>CI</v>
      </c>
    </row>
    <row r="232" spans="1:31" hidden="1">
      <c r="A232" t="s">
        <v>4032</v>
      </c>
      <c r="B232" t="s">
        <v>5344</v>
      </c>
      <c r="C232" t="s">
        <v>5345</v>
      </c>
      <c r="D232" t="s">
        <v>7220</v>
      </c>
      <c r="E232" t="s">
        <v>7195</v>
      </c>
      <c r="F232">
        <v>0</v>
      </c>
      <c r="G232" t="s">
        <v>7221</v>
      </c>
      <c r="L232" s="4"/>
      <c r="O232">
        <v>3000000001834702</v>
      </c>
      <c r="P232" t="s">
        <v>6782</v>
      </c>
      <c r="Q232" t="s">
        <v>7210</v>
      </c>
      <c r="W232" t="str">
        <f>Tabla_Consulta_desde_Proyectos10[[#This Row],[PRYcodigo]]&amp;Tabla_Consulta_desde_Proyectos10[[#This Row],[PRYApath]]</f>
        <v>151-400-RGT2.0/0020</v>
      </c>
      <c r="X232" t="str">
        <f>Tabla_Consulta_desde_Proyectos10[[#This Row],[PRYAcodigo]]&amp;" - "&amp;Tabla_Consulta_desde_Proyectos10[[#This Row],[PRYAdescripcion]]</f>
        <v>500.1_RM - ACTIVIDADES DEL EQUIPO DE RELEASE MANAGMENT</v>
      </c>
      <c r="Y232" t="str">
        <f>SUBSTITUTE(IFERROR(VLOOKUP(LEFT(Tabla_Consulta_desde_Proyectos10[[#This Row],[Nivel1]],LEN(Tabla_Consulta_desde_Proyectos10[[#This Row],[Nivel1]])-5),Tabla_Consulta_desde_Proyectos10[[#All],[Nivel1]:[Actividad]],2,FALSE),""),"_","-")</f>
        <v/>
      </c>
      <c r="Z232" t="str">
        <f>IFERROR(VLOOKUP(Tabla_Consulta_desde_Proyectos10[[#This Row],[PRYRAfecha]],'Fechas Mes'!G:J,4,TRUE),"")</f>
        <v/>
      </c>
      <c r="AA232" t="e" cm="1">
        <f t="array" ref="AA232">INDEX('Fechas Mes'!F:F,MATCH(Tabla_Consulta_desde_Proyectos10[[#This Row],[Semana]],'Fechas Mes'!J:J,0),)</f>
        <v>#N/A</v>
      </c>
      <c r="AB232">
        <f>YEAR(Tabla_Consulta_desde_Proyectos10[[#This Row],[PRYRAfecha]])</f>
        <v>1900</v>
      </c>
      <c r="AC232" t="e">
        <f>VLOOKUP(Tabla_Consulta_desde_Proyectos10[[#This Row],[PRYRAfecha]],'Fechas Mes'!G:J,4,TRUE)</f>
        <v>#N/A</v>
      </c>
      <c r="AD232" t="str">
        <f>IFERROR(VLOOKUP(Tabla_Consulta_desde_Proyectos10[[#This Row],[PRYcodigo]],Catálogo!A:B,2,FALSE),"Otros")</f>
        <v>Otros</v>
      </c>
      <c r="AE232" t="str">
        <f>IF(LEN(Tabla_Consulta_desde_Proyectos10[[#This Row],[Semana]])&lt;13,"CI",RIGHT(Tabla_Consulta_desde_Proyectos10[[#This Row],[Semana]],4))</f>
        <v>CI</v>
      </c>
    </row>
    <row r="233" spans="1:31" hidden="1">
      <c r="A233" t="s">
        <v>4032</v>
      </c>
      <c r="B233" t="s">
        <v>5344</v>
      </c>
      <c r="C233" t="s">
        <v>5345</v>
      </c>
      <c r="D233" t="s">
        <v>7220</v>
      </c>
      <c r="E233" t="s">
        <v>7195</v>
      </c>
      <c r="F233">
        <v>0</v>
      </c>
      <c r="G233" t="s">
        <v>7221</v>
      </c>
      <c r="L233" s="4"/>
      <c r="O233">
        <v>3000000001834889</v>
      </c>
      <c r="P233" t="s">
        <v>6782</v>
      </c>
      <c r="Q233" t="s">
        <v>7210</v>
      </c>
      <c r="W233" t="str">
        <f>Tabla_Consulta_desde_Proyectos10[[#This Row],[PRYcodigo]]&amp;Tabla_Consulta_desde_Proyectos10[[#This Row],[PRYApath]]</f>
        <v>151-400-RGT2.0/0020</v>
      </c>
      <c r="X233" t="str">
        <f>Tabla_Consulta_desde_Proyectos10[[#This Row],[PRYAcodigo]]&amp;" - "&amp;Tabla_Consulta_desde_Proyectos10[[#This Row],[PRYAdescripcion]]</f>
        <v>500.1_RM - ACTIVIDADES DEL EQUIPO DE RELEASE MANAGMENT</v>
      </c>
      <c r="Y233" t="str">
        <f>SUBSTITUTE(IFERROR(VLOOKUP(LEFT(Tabla_Consulta_desde_Proyectos10[[#This Row],[Nivel1]],LEN(Tabla_Consulta_desde_Proyectos10[[#This Row],[Nivel1]])-5),Tabla_Consulta_desde_Proyectos10[[#All],[Nivel1]:[Actividad]],2,FALSE),""),"_","-")</f>
        <v/>
      </c>
      <c r="Z233" t="str">
        <f>IFERROR(VLOOKUP(Tabla_Consulta_desde_Proyectos10[[#This Row],[PRYRAfecha]],'Fechas Mes'!G:J,4,TRUE),"")</f>
        <v/>
      </c>
      <c r="AA233" t="e" cm="1">
        <f t="array" ref="AA233">INDEX('Fechas Mes'!F:F,MATCH(Tabla_Consulta_desde_Proyectos10[[#This Row],[Semana]],'Fechas Mes'!J:J,0),)</f>
        <v>#N/A</v>
      </c>
      <c r="AB233">
        <f>YEAR(Tabla_Consulta_desde_Proyectos10[[#This Row],[PRYRAfecha]])</f>
        <v>1900</v>
      </c>
      <c r="AC233" t="e">
        <f>VLOOKUP(Tabla_Consulta_desde_Proyectos10[[#This Row],[PRYRAfecha]],'Fechas Mes'!G:J,4,TRUE)</f>
        <v>#N/A</v>
      </c>
      <c r="AD233" t="str">
        <f>IFERROR(VLOOKUP(Tabla_Consulta_desde_Proyectos10[[#This Row],[PRYcodigo]],Catálogo!A:B,2,FALSE),"Otros")</f>
        <v>Otros</v>
      </c>
      <c r="AE233" t="str">
        <f>IF(LEN(Tabla_Consulta_desde_Proyectos10[[#This Row],[Semana]])&lt;13,"CI",RIGHT(Tabla_Consulta_desde_Proyectos10[[#This Row],[Semana]],4))</f>
        <v>CI</v>
      </c>
    </row>
    <row r="234" spans="1:31" hidden="1">
      <c r="A234" t="s">
        <v>4032</v>
      </c>
      <c r="B234" t="s">
        <v>5344</v>
      </c>
      <c r="C234" t="s">
        <v>5345</v>
      </c>
      <c r="D234" t="s">
        <v>7220</v>
      </c>
      <c r="E234" t="s">
        <v>7195</v>
      </c>
      <c r="F234">
        <v>0</v>
      </c>
      <c r="G234" t="s">
        <v>7221</v>
      </c>
      <c r="L234" s="4"/>
      <c r="O234">
        <v>3000000001835010</v>
      </c>
      <c r="P234" t="s">
        <v>6784</v>
      </c>
      <c r="Q234" t="s">
        <v>7197</v>
      </c>
      <c r="W234" t="str">
        <f>Tabla_Consulta_desde_Proyectos10[[#This Row],[PRYcodigo]]&amp;Tabla_Consulta_desde_Proyectos10[[#This Row],[PRYApath]]</f>
        <v>151-400-RGT2.0/0020</v>
      </c>
      <c r="X234" t="str">
        <f>Tabla_Consulta_desde_Proyectos10[[#This Row],[PRYAcodigo]]&amp;" - "&amp;Tabla_Consulta_desde_Proyectos10[[#This Row],[PRYAdescripcion]]</f>
        <v>500.1_RM - ACTIVIDADES DEL EQUIPO DE RELEASE MANAGMENT</v>
      </c>
      <c r="Y234" t="str">
        <f>SUBSTITUTE(IFERROR(VLOOKUP(LEFT(Tabla_Consulta_desde_Proyectos10[[#This Row],[Nivel1]],LEN(Tabla_Consulta_desde_Proyectos10[[#This Row],[Nivel1]])-5),Tabla_Consulta_desde_Proyectos10[[#All],[Nivel1]:[Actividad]],2,FALSE),""),"_","-")</f>
        <v/>
      </c>
      <c r="Z234" t="str">
        <f>IFERROR(VLOOKUP(Tabla_Consulta_desde_Proyectos10[[#This Row],[PRYRAfecha]],'Fechas Mes'!G:J,4,TRUE),"")</f>
        <v/>
      </c>
      <c r="AA234" t="e" cm="1">
        <f t="array" ref="AA234">INDEX('Fechas Mes'!F:F,MATCH(Tabla_Consulta_desde_Proyectos10[[#This Row],[Semana]],'Fechas Mes'!J:J,0),)</f>
        <v>#N/A</v>
      </c>
      <c r="AB234">
        <f>YEAR(Tabla_Consulta_desde_Proyectos10[[#This Row],[PRYRAfecha]])</f>
        <v>1900</v>
      </c>
      <c r="AC234" t="e">
        <f>VLOOKUP(Tabla_Consulta_desde_Proyectos10[[#This Row],[PRYRAfecha]],'Fechas Mes'!G:J,4,TRUE)</f>
        <v>#N/A</v>
      </c>
      <c r="AD234" t="str">
        <f>IFERROR(VLOOKUP(Tabla_Consulta_desde_Proyectos10[[#This Row],[PRYcodigo]],Catálogo!A:B,2,FALSE),"Otros")</f>
        <v>Otros</v>
      </c>
      <c r="AE234" t="str">
        <f>IF(LEN(Tabla_Consulta_desde_Proyectos10[[#This Row],[Semana]])&lt;13,"CI",RIGHT(Tabla_Consulta_desde_Proyectos10[[#This Row],[Semana]],4))</f>
        <v>CI</v>
      </c>
    </row>
    <row r="235" spans="1:31" hidden="1">
      <c r="A235" t="s">
        <v>4032</v>
      </c>
      <c r="B235" t="s">
        <v>5344</v>
      </c>
      <c r="C235" t="s">
        <v>5345</v>
      </c>
      <c r="D235" t="s">
        <v>7220</v>
      </c>
      <c r="E235" t="s">
        <v>7195</v>
      </c>
      <c r="F235">
        <v>0</v>
      </c>
      <c r="G235" t="s">
        <v>7221</v>
      </c>
      <c r="L235" s="4"/>
      <c r="O235">
        <v>3000000001835080</v>
      </c>
      <c r="P235" t="s">
        <v>6782</v>
      </c>
      <c r="Q235" t="s">
        <v>7210</v>
      </c>
      <c r="W235" t="str">
        <f>Tabla_Consulta_desde_Proyectos10[[#This Row],[PRYcodigo]]&amp;Tabla_Consulta_desde_Proyectos10[[#This Row],[PRYApath]]</f>
        <v>151-400-RGT2.0/0020</v>
      </c>
      <c r="X235" t="str">
        <f>Tabla_Consulta_desde_Proyectos10[[#This Row],[PRYAcodigo]]&amp;" - "&amp;Tabla_Consulta_desde_Proyectos10[[#This Row],[PRYAdescripcion]]</f>
        <v>500.1_RM - ACTIVIDADES DEL EQUIPO DE RELEASE MANAGMENT</v>
      </c>
      <c r="Y235" t="str">
        <f>SUBSTITUTE(IFERROR(VLOOKUP(LEFT(Tabla_Consulta_desde_Proyectos10[[#This Row],[Nivel1]],LEN(Tabla_Consulta_desde_Proyectos10[[#This Row],[Nivel1]])-5),Tabla_Consulta_desde_Proyectos10[[#All],[Nivel1]:[Actividad]],2,FALSE),""),"_","-")</f>
        <v/>
      </c>
      <c r="Z235" t="str">
        <f>IFERROR(VLOOKUP(Tabla_Consulta_desde_Proyectos10[[#This Row],[PRYRAfecha]],'Fechas Mes'!G:J,4,TRUE),"")</f>
        <v/>
      </c>
      <c r="AA235" t="e" cm="1">
        <f t="array" ref="AA235">INDEX('Fechas Mes'!F:F,MATCH(Tabla_Consulta_desde_Proyectos10[[#This Row],[Semana]],'Fechas Mes'!J:J,0),)</f>
        <v>#N/A</v>
      </c>
      <c r="AB235">
        <f>YEAR(Tabla_Consulta_desde_Proyectos10[[#This Row],[PRYRAfecha]])</f>
        <v>1900</v>
      </c>
      <c r="AC235" t="e">
        <f>VLOOKUP(Tabla_Consulta_desde_Proyectos10[[#This Row],[PRYRAfecha]],'Fechas Mes'!G:J,4,TRUE)</f>
        <v>#N/A</v>
      </c>
      <c r="AD235" t="str">
        <f>IFERROR(VLOOKUP(Tabla_Consulta_desde_Proyectos10[[#This Row],[PRYcodigo]],Catálogo!A:B,2,FALSE),"Otros")</f>
        <v>Otros</v>
      </c>
      <c r="AE235" t="str">
        <f>IF(LEN(Tabla_Consulta_desde_Proyectos10[[#This Row],[Semana]])&lt;13,"CI",RIGHT(Tabla_Consulta_desde_Proyectos10[[#This Row],[Semana]],4))</f>
        <v>CI</v>
      </c>
    </row>
    <row r="236" spans="1:31" hidden="1">
      <c r="A236" t="s">
        <v>4032</v>
      </c>
      <c r="B236" t="s">
        <v>5344</v>
      </c>
      <c r="C236" t="s">
        <v>5345</v>
      </c>
      <c r="D236" t="s">
        <v>7220</v>
      </c>
      <c r="E236" t="s">
        <v>7195</v>
      </c>
      <c r="F236">
        <v>0</v>
      </c>
      <c r="G236" t="s">
        <v>7221</v>
      </c>
      <c r="L236" s="4"/>
      <c r="O236">
        <v>3000000001835289</v>
      </c>
      <c r="P236" t="s">
        <v>6796</v>
      </c>
      <c r="Q236" t="s">
        <v>7215</v>
      </c>
      <c r="W236" t="str">
        <f>Tabla_Consulta_desde_Proyectos10[[#This Row],[PRYcodigo]]&amp;Tabla_Consulta_desde_Proyectos10[[#This Row],[PRYApath]]</f>
        <v>151-400-RGT2.0/0020</v>
      </c>
      <c r="X236" t="str">
        <f>Tabla_Consulta_desde_Proyectos10[[#This Row],[PRYAcodigo]]&amp;" - "&amp;Tabla_Consulta_desde_Proyectos10[[#This Row],[PRYAdescripcion]]</f>
        <v>500.1_RM - ACTIVIDADES DEL EQUIPO DE RELEASE MANAGMENT</v>
      </c>
      <c r="Y236" t="str">
        <f>SUBSTITUTE(IFERROR(VLOOKUP(LEFT(Tabla_Consulta_desde_Proyectos10[[#This Row],[Nivel1]],LEN(Tabla_Consulta_desde_Proyectos10[[#This Row],[Nivel1]])-5),Tabla_Consulta_desde_Proyectos10[[#All],[Nivel1]:[Actividad]],2,FALSE),""),"_","-")</f>
        <v/>
      </c>
      <c r="Z236" t="str">
        <f>IFERROR(VLOOKUP(Tabla_Consulta_desde_Proyectos10[[#This Row],[PRYRAfecha]],'Fechas Mes'!G:J,4,TRUE),"")</f>
        <v/>
      </c>
      <c r="AA236" t="e" cm="1">
        <f t="array" ref="AA236">INDEX('Fechas Mes'!F:F,MATCH(Tabla_Consulta_desde_Proyectos10[[#This Row],[Semana]],'Fechas Mes'!J:J,0),)</f>
        <v>#N/A</v>
      </c>
      <c r="AB236">
        <f>YEAR(Tabla_Consulta_desde_Proyectos10[[#This Row],[PRYRAfecha]])</f>
        <v>1900</v>
      </c>
      <c r="AC236" t="e">
        <f>VLOOKUP(Tabla_Consulta_desde_Proyectos10[[#This Row],[PRYRAfecha]],'Fechas Mes'!G:J,4,TRUE)</f>
        <v>#N/A</v>
      </c>
      <c r="AD236" t="str">
        <f>IFERROR(VLOOKUP(Tabla_Consulta_desde_Proyectos10[[#This Row],[PRYcodigo]],Catálogo!A:B,2,FALSE),"Otros")</f>
        <v>Otros</v>
      </c>
      <c r="AE236" t="str">
        <f>IF(LEN(Tabla_Consulta_desde_Proyectos10[[#This Row],[Semana]])&lt;13,"CI",RIGHT(Tabla_Consulta_desde_Proyectos10[[#This Row],[Semana]],4))</f>
        <v>CI</v>
      </c>
    </row>
    <row r="237" spans="1:31" hidden="1">
      <c r="A237" t="s">
        <v>4032</v>
      </c>
      <c r="B237" t="s">
        <v>5344</v>
      </c>
      <c r="C237" t="s">
        <v>5345</v>
      </c>
      <c r="D237" t="s">
        <v>7220</v>
      </c>
      <c r="E237" t="s">
        <v>7195</v>
      </c>
      <c r="F237">
        <v>0</v>
      </c>
      <c r="G237" t="s">
        <v>7221</v>
      </c>
      <c r="L237" s="4"/>
      <c r="O237">
        <v>3000000001835718</v>
      </c>
      <c r="P237" t="s">
        <v>6782</v>
      </c>
      <c r="Q237" t="s">
        <v>7210</v>
      </c>
      <c r="W237" t="str">
        <f>Tabla_Consulta_desde_Proyectos10[[#This Row],[PRYcodigo]]&amp;Tabla_Consulta_desde_Proyectos10[[#This Row],[PRYApath]]</f>
        <v>151-400-RGT2.0/0020</v>
      </c>
      <c r="X237" t="str">
        <f>Tabla_Consulta_desde_Proyectos10[[#This Row],[PRYAcodigo]]&amp;" - "&amp;Tabla_Consulta_desde_Proyectos10[[#This Row],[PRYAdescripcion]]</f>
        <v>500.1_RM - ACTIVIDADES DEL EQUIPO DE RELEASE MANAGMENT</v>
      </c>
      <c r="Y237" t="str">
        <f>SUBSTITUTE(IFERROR(VLOOKUP(LEFT(Tabla_Consulta_desde_Proyectos10[[#This Row],[Nivel1]],LEN(Tabla_Consulta_desde_Proyectos10[[#This Row],[Nivel1]])-5),Tabla_Consulta_desde_Proyectos10[[#All],[Nivel1]:[Actividad]],2,FALSE),""),"_","-")</f>
        <v/>
      </c>
      <c r="Z237" t="str">
        <f>IFERROR(VLOOKUP(Tabla_Consulta_desde_Proyectos10[[#This Row],[PRYRAfecha]],'Fechas Mes'!G:J,4,TRUE),"")</f>
        <v/>
      </c>
      <c r="AA237" t="e" cm="1">
        <f t="array" ref="AA237">INDEX('Fechas Mes'!F:F,MATCH(Tabla_Consulta_desde_Proyectos10[[#This Row],[Semana]],'Fechas Mes'!J:J,0),)</f>
        <v>#N/A</v>
      </c>
      <c r="AB237">
        <f>YEAR(Tabla_Consulta_desde_Proyectos10[[#This Row],[PRYRAfecha]])</f>
        <v>1900</v>
      </c>
      <c r="AC237" t="e">
        <f>VLOOKUP(Tabla_Consulta_desde_Proyectos10[[#This Row],[PRYRAfecha]],'Fechas Mes'!G:J,4,TRUE)</f>
        <v>#N/A</v>
      </c>
      <c r="AD237" t="str">
        <f>IFERROR(VLOOKUP(Tabla_Consulta_desde_Proyectos10[[#This Row],[PRYcodigo]],Catálogo!A:B,2,FALSE),"Otros")</f>
        <v>Otros</v>
      </c>
      <c r="AE237" t="str">
        <f>IF(LEN(Tabla_Consulta_desde_Proyectos10[[#This Row],[Semana]])&lt;13,"CI",RIGHT(Tabla_Consulta_desde_Proyectos10[[#This Row],[Semana]],4))</f>
        <v>CI</v>
      </c>
    </row>
    <row r="238" spans="1:31" hidden="1">
      <c r="A238" t="s">
        <v>4032</v>
      </c>
      <c r="B238" t="s">
        <v>5344</v>
      </c>
      <c r="C238" t="s">
        <v>5345</v>
      </c>
      <c r="D238" t="s">
        <v>7220</v>
      </c>
      <c r="E238" t="s">
        <v>7195</v>
      </c>
      <c r="F238">
        <v>0</v>
      </c>
      <c r="G238" t="s">
        <v>7221</v>
      </c>
      <c r="L238" s="4"/>
      <c r="O238">
        <v>3000000001836787</v>
      </c>
      <c r="P238" t="s">
        <v>6782</v>
      </c>
      <c r="Q238" t="s">
        <v>7210</v>
      </c>
      <c r="W238" t="str">
        <f>Tabla_Consulta_desde_Proyectos10[[#This Row],[PRYcodigo]]&amp;Tabla_Consulta_desde_Proyectos10[[#This Row],[PRYApath]]</f>
        <v>151-400-RGT2.0/0020</v>
      </c>
      <c r="X238" t="str">
        <f>Tabla_Consulta_desde_Proyectos10[[#This Row],[PRYAcodigo]]&amp;" - "&amp;Tabla_Consulta_desde_Proyectos10[[#This Row],[PRYAdescripcion]]</f>
        <v>500.1_RM - ACTIVIDADES DEL EQUIPO DE RELEASE MANAGMENT</v>
      </c>
      <c r="Y238" t="str">
        <f>SUBSTITUTE(IFERROR(VLOOKUP(LEFT(Tabla_Consulta_desde_Proyectos10[[#This Row],[Nivel1]],LEN(Tabla_Consulta_desde_Proyectos10[[#This Row],[Nivel1]])-5),Tabla_Consulta_desde_Proyectos10[[#All],[Nivel1]:[Actividad]],2,FALSE),""),"_","-")</f>
        <v/>
      </c>
      <c r="Z238" t="str">
        <f>IFERROR(VLOOKUP(Tabla_Consulta_desde_Proyectos10[[#This Row],[PRYRAfecha]],'Fechas Mes'!G:J,4,TRUE),"")</f>
        <v/>
      </c>
      <c r="AA238" t="e" cm="1">
        <f t="array" ref="AA238">INDEX('Fechas Mes'!F:F,MATCH(Tabla_Consulta_desde_Proyectos10[[#This Row],[Semana]],'Fechas Mes'!J:J,0),)</f>
        <v>#N/A</v>
      </c>
      <c r="AB238">
        <f>YEAR(Tabla_Consulta_desde_Proyectos10[[#This Row],[PRYRAfecha]])</f>
        <v>1900</v>
      </c>
      <c r="AC238" t="e">
        <f>VLOOKUP(Tabla_Consulta_desde_Proyectos10[[#This Row],[PRYRAfecha]],'Fechas Mes'!G:J,4,TRUE)</f>
        <v>#N/A</v>
      </c>
      <c r="AD238" t="str">
        <f>IFERROR(VLOOKUP(Tabla_Consulta_desde_Proyectos10[[#This Row],[PRYcodigo]],Catálogo!A:B,2,FALSE),"Otros")</f>
        <v>Otros</v>
      </c>
      <c r="AE238" t="str">
        <f>IF(LEN(Tabla_Consulta_desde_Proyectos10[[#This Row],[Semana]])&lt;13,"CI",RIGHT(Tabla_Consulta_desde_Proyectos10[[#This Row],[Semana]],4))</f>
        <v>CI</v>
      </c>
    </row>
    <row r="239" spans="1:31" hidden="1">
      <c r="A239" t="s">
        <v>4032</v>
      </c>
      <c r="B239" t="s">
        <v>5344</v>
      </c>
      <c r="C239" t="s">
        <v>5345</v>
      </c>
      <c r="D239" t="s">
        <v>7220</v>
      </c>
      <c r="E239" t="s">
        <v>7195</v>
      </c>
      <c r="F239">
        <v>0</v>
      </c>
      <c r="G239" t="s">
        <v>7221</v>
      </c>
      <c r="L239" s="4"/>
      <c r="O239">
        <v>3000000001837156</v>
      </c>
      <c r="P239" t="s">
        <v>6784</v>
      </c>
      <c r="Q239" t="s">
        <v>7213</v>
      </c>
      <c r="W239" t="str">
        <f>Tabla_Consulta_desde_Proyectos10[[#This Row],[PRYcodigo]]&amp;Tabla_Consulta_desde_Proyectos10[[#This Row],[PRYApath]]</f>
        <v>151-400-RGT2.0/0020</v>
      </c>
      <c r="X239" t="str">
        <f>Tabla_Consulta_desde_Proyectos10[[#This Row],[PRYAcodigo]]&amp;" - "&amp;Tabla_Consulta_desde_Proyectos10[[#This Row],[PRYAdescripcion]]</f>
        <v>500.1_RM - ACTIVIDADES DEL EQUIPO DE RELEASE MANAGMENT</v>
      </c>
      <c r="Y239" t="str">
        <f>SUBSTITUTE(IFERROR(VLOOKUP(LEFT(Tabla_Consulta_desde_Proyectos10[[#This Row],[Nivel1]],LEN(Tabla_Consulta_desde_Proyectos10[[#This Row],[Nivel1]])-5),Tabla_Consulta_desde_Proyectos10[[#All],[Nivel1]:[Actividad]],2,FALSE),""),"_","-")</f>
        <v/>
      </c>
      <c r="Z239" t="str">
        <f>IFERROR(VLOOKUP(Tabla_Consulta_desde_Proyectos10[[#This Row],[PRYRAfecha]],'Fechas Mes'!G:J,4,TRUE),"")</f>
        <v/>
      </c>
      <c r="AA239" t="e" cm="1">
        <f t="array" ref="AA239">INDEX('Fechas Mes'!F:F,MATCH(Tabla_Consulta_desde_Proyectos10[[#This Row],[Semana]],'Fechas Mes'!J:J,0),)</f>
        <v>#N/A</v>
      </c>
      <c r="AB239">
        <f>YEAR(Tabla_Consulta_desde_Proyectos10[[#This Row],[PRYRAfecha]])</f>
        <v>1900</v>
      </c>
      <c r="AC239" t="e">
        <f>VLOOKUP(Tabla_Consulta_desde_Proyectos10[[#This Row],[PRYRAfecha]],'Fechas Mes'!G:J,4,TRUE)</f>
        <v>#N/A</v>
      </c>
      <c r="AD239" t="str">
        <f>IFERROR(VLOOKUP(Tabla_Consulta_desde_Proyectos10[[#This Row],[PRYcodigo]],Catálogo!A:B,2,FALSE),"Otros")</f>
        <v>Otros</v>
      </c>
      <c r="AE239" t="str">
        <f>IF(LEN(Tabla_Consulta_desde_Proyectos10[[#This Row],[Semana]])&lt;13,"CI",RIGHT(Tabla_Consulta_desde_Proyectos10[[#This Row],[Semana]],4))</f>
        <v>CI</v>
      </c>
    </row>
    <row r="240" spans="1:31" hidden="1">
      <c r="A240" t="s">
        <v>4032</v>
      </c>
      <c r="B240" t="s">
        <v>5344</v>
      </c>
      <c r="C240" t="s">
        <v>5345</v>
      </c>
      <c r="D240" t="s">
        <v>7220</v>
      </c>
      <c r="E240" t="s">
        <v>7195</v>
      </c>
      <c r="F240">
        <v>0</v>
      </c>
      <c r="G240" t="s">
        <v>7221</v>
      </c>
      <c r="L240" s="4"/>
      <c r="O240">
        <v>3000000001837775</v>
      </c>
      <c r="P240" t="s">
        <v>6782</v>
      </c>
      <c r="Q240" t="s">
        <v>7210</v>
      </c>
      <c r="W240" t="str">
        <f>Tabla_Consulta_desde_Proyectos10[[#This Row],[PRYcodigo]]&amp;Tabla_Consulta_desde_Proyectos10[[#This Row],[PRYApath]]</f>
        <v>151-400-RGT2.0/0020</v>
      </c>
      <c r="X240" t="str">
        <f>Tabla_Consulta_desde_Proyectos10[[#This Row],[PRYAcodigo]]&amp;" - "&amp;Tabla_Consulta_desde_Proyectos10[[#This Row],[PRYAdescripcion]]</f>
        <v>500.1_RM - ACTIVIDADES DEL EQUIPO DE RELEASE MANAGMENT</v>
      </c>
      <c r="Y240" t="str">
        <f>SUBSTITUTE(IFERROR(VLOOKUP(LEFT(Tabla_Consulta_desde_Proyectos10[[#This Row],[Nivel1]],LEN(Tabla_Consulta_desde_Proyectos10[[#This Row],[Nivel1]])-5),Tabla_Consulta_desde_Proyectos10[[#All],[Nivel1]:[Actividad]],2,FALSE),""),"_","-")</f>
        <v/>
      </c>
      <c r="Z240" t="str">
        <f>IFERROR(VLOOKUP(Tabla_Consulta_desde_Proyectos10[[#This Row],[PRYRAfecha]],'Fechas Mes'!G:J,4,TRUE),"")</f>
        <v/>
      </c>
      <c r="AA240" t="e" cm="1">
        <f t="array" ref="AA240">INDEX('Fechas Mes'!F:F,MATCH(Tabla_Consulta_desde_Proyectos10[[#This Row],[Semana]],'Fechas Mes'!J:J,0),)</f>
        <v>#N/A</v>
      </c>
      <c r="AB240">
        <f>YEAR(Tabla_Consulta_desde_Proyectos10[[#This Row],[PRYRAfecha]])</f>
        <v>1900</v>
      </c>
      <c r="AC240" t="e">
        <f>VLOOKUP(Tabla_Consulta_desde_Proyectos10[[#This Row],[PRYRAfecha]],'Fechas Mes'!G:J,4,TRUE)</f>
        <v>#N/A</v>
      </c>
      <c r="AD240" t="str">
        <f>IFERROR(VLOOKUP(Tabla_Consulta_desde_Proyectos10[[#This Row],[PRYcodigo]],Catálogo!A:B,2,FALSE),"Otros")</f>
        <v>Otros</v>
      </c>
      <c r="AE240" t="str">
        <f>IF(LEN(Tabla_Consulta_desde_Proyectos10[[#This Row],[Semana]])&lt;13,"CI",RIGHT(Tabla_Consulta_desde_Proyectos10[[#This Row],[Semana]],4))</f>
        <v>CI</v>
      </c>
    </row>
    <row r="241" spans="1:31" hidden="1">
      <c r="A241" t="s">
        <v>4032</v>
      </c>
      <c r="B241" t="s">
        <v>5344</v>
      </c>
      <c r="C241" t="s">
        <v>5345</v>
      </c>
      <c r="D241" t="s">
        <v>7220</v>
      </c>
      <c r="E241" t="s">
        <v>7195</v>
      </c>
      <c r="F241">
        <v>0</v>
      </c>
      <c r="G241" t="s">
        <v>7221</v>
      </c>
      <c r="L241" s="4"/>
      <c r="O241">
        <v>3000000001838336</v>
      </c>
      <c r="P241" t="s">
        <v>6786</v>
      </c>
      <c r="Q241" t="s">
        <v>7589</v>
      </c>
      <c r="W241" t="str">
        <f>Tabla_Consulta_desde_Proyectos10[[#This Row],[PRYcodigo]]&amp;Tabla_Consulta_desde_Proyectos10[[#This Row],[PRYApath]]</f>
        <v>151-400-RGT2.0/0020</v>
      </c>
      <c r="X241" t="str">
        <f>Tabla_Consulta_desde_Proyectos10[[#This Row],[PRYAcodigo]]&amp;" - "&amp;Tabla_Consulta_desde_Proyectos10[[#This Row],[PRYAdescripcion]]</f>
        <v>500.1_RM - ACTIVIDADES DEL EQUIPO DE RELEASE MANAGMENT</v>
      </c>
      <c r="Y241" t="str">
        <f>SUBSTITUTE(IFERROR(VLOOKUP(LEFT(Tabla_Consulta_desde_Proyectos10[[#This Row],[Nivel1]],LEN(Tabla_Consulta_desde_Proyectos10[[#This Row],[Nivel1]])-5),Tabla_Consulta_desde_Proyectos10[[#All],[Nivel1]:[Actividad]],2,FALSE),""),"_","-")</f>
        <v/>
      </c>
      <c r="Z241" t="str">
        <f>IFERROR(VLOOKUP(Tabla_Consulta_desde_Proyectos10[[#This Row],[PRYRAfecha]],'Fechas Mes'!G:J,4,TRUE),"")</f>
        <v/>
      </c>
      <c r="AA241" t="e" cm="1">
        <f t="array" ref="AA241">INDEX('Fechas Mes'!F:F,MATCH(Tabla_Consulta_desde_Proyectos10[[#This Row],[Semana]],'Fechas Mes'!J:J,0),)</f>
        <v>#N/A</v>
      </c>
      <c r="AB241">
        <f>YEAR(Tabla_Consulta_desde_Proyectos10[[#This Row],[PRYRAfecha]])</f>
        <v>1900</v>
      </c>
      <c r="AC241" t="e">
        <f>VLOOKUP(Tabla_Consulta_desde_Proyectos10[[#This Row],[PRYRAfecha]],'Fechas Mes'!G:J,4,TRUE)</f>
        <v>#N/A</v>
      </c>
      <c r="AD241" t="str">
        <f>IFERROR(VLOOKUP(Tabla_Consulta_desde_Proyectos10[[#This Row],[PRYcodigo]],Catálogo!A:B,2,FALSE),"Otros")</f>
        <v>Otros</v>
      </c>
      <c r="AE241" t="str">
        <f>IF(LEN(Tabla_Consulta_desde_Proyectos10[[#This Row],[Semana]])&lt;13,"CI",RIGHT(Tabla_Consulta_desde_Proyectos10[[#This Row],[Semana]],4))</f>
        <v>CI</v>
      </c>
    </row>
    <row r="242" spans="1:31" hidden="1">
      <c r="A242" t="s">
        <v>4032</v>
      </c>
      <c r="B242" t="s">
        <v>5344</v>
      </c>
      <c r="C242" t="s">
        <v>5345</v>
      </c>
      <c r="D242" t="s">
        <v>7220</v>
      </c>
      <c r="E242" t="s">
        <v>7195</v>
      </c>
      <c r="F242">
        <v>0</v>
      </c>
      <c r="G242" t="s">
        <v>7221</v>
      </c>
      <c r="L242" s="4"/>
      <c r="O242">
        <v>3000000001838347</v>
      </c>
      <c r="P242" t="s">
        <v>6792</v>
      </c>
      <c r="Q242" t="s">
        <v>7565</v>
      </c>
      <c r="W242" t="str">
        <f>Tabla_Consulta_desde_Proyectos10[[#This Row],[PRYcodigo]]&amp;Tabla_Consulta_desde_Proyectos10[[#This Row],[PRYApath]]</f>
        <v>151-400-RGT2.0/0020</v>
      </c>
      <c r="X242" t="str">
        <f>Tabla_Consulta_desde_Proyectos10[[#This Row],[PRYAcodigo]]&amp;" - "&amp;Tabla_Consulta_desde_Proyectos10[[#This Row],[PRYAdescripcion]]</f>
        <v>500.1_RM - ACTIVIDADES DEL EQUIPO DE RELEASE MANAGMENT</v>
      </c>
      <c r="Y242" t="str">
        <f>SUBSTITUTE(IFERROR(VLOOKUP(LEFT(Tabla_Consulta_desde_Proyectos10[[#This Row],[Nivel1]],LEN(Tabla_Consulta_desde_Proyectos10[[#This Row],[Nivel1]])-5),Tabla_Consulta_desde_Proyectos10[[#All],[Nivel1]:[Actividad]],2,FALSE),""),"_","-")</f>
        <v/>
      </c>
      <c r="Z242" t="str">
        <f>IFERROR(VLOOKUP(Tabla_Consulta_desde_Proyectos10[[#This Row],[PRYRAfecha]],'Fechas Mes'!G:J,4,TRUE),"")</f>
        <v/>
      </c>
      <c r="AA242" t="e" cm="1">
        <f t="array" ref="AA242">INDEX('Fechas Mes'!F:F,MATCH(Tabla_Consulta_desde_Proyectos10[[#This Row],[Semana]],'Fechas Mes'!J:J,0),)</f>
        <v>#N/A</v>
      </c>
      <c r="AB242">
        <f>YEAR(Tabla_Consulta_desde_Proyectos10[[#This Row],[PRYRAfecha]])</f>
        <v>1900</v>
      </c>
      <c r="AC242" t="e">
        <f>VLOOKUP(Tabla_Consulta_desde_Proyectos10[[#This Row],[PRYRAfecha]],'Fechas Mes'!G:J,4,TRUE)</f>
        <v>#N/A</v>
      </c>
      <c r="AD242" t="str">
        <f>IFERROR(VLOOKUP(Tabla_Consulta_desde_Proyectos10[[#This Row],[PRYcodigo]],Catálogo!A:B,2,FALSE),"Otros")</f>
        <v>Otros</v>
      </c>
      <c r="AE242" t="str">
        <f>IF(LEN(Tabla_Consulta_desde_Proyectos10[[#This Row],[Semana]])&lt;13,"CI",RIGHT(Tabla_Consulta_desde_Proyectos10[[#This Row],[Semana]],4))</f>
        <v>CI</v>
      </c>
    </row>
    <row r="243" spans="1:31" hidden="1">
      <c r="A243" t="s">
        <v>4032</v>
      </c>
      <c r="B243" t="s">
        <v>5344</v>
      </c>
      <c r="C243" t="s">
        <v>5345</v>
      </c>
      <c r="D243" t="s">
        <v>7220</v>
      </c>
      <c r="E243" t="s">
        <v>7195</v>
      </c>
      <c r="F243">
        <v>0</v>
      </c>
      <c r="G243" t="s">
        <v>7221</v>
      </c>
      <c r="L243" s="4"/>
      <c r="O243">
        <v>3000000001842350</v>
      </c>
      <c r="P243" t="s">
        <v>6782</v>
      </c>
      <c r="Q243" t="s">
        <v>7210</v>
      </c>
      <c r="W243" t="str">
        <f>Tabla_Consulta_desde_Proyectos10[[#This Row],[PRYcodigo]]&amp;Tabla_Consulta_desde_Proyectos10[[#This Row],[PRYApath]]</f>
        <v>151-400-RGT2.0/0020</v>
      </c>
      <c r="X243" t="str">
        <f>Tabla_Consulta_desde_Proyectos10[[#This Row],[PRYAcodigo]]&amp;" - "&amp;Tabla_Consulta_desde_Proyectos10[[#This Row],[PRYAdescripcion]]</f>
        <v>500.1_RM - ACTIVIDADES DEL EQUIPO DE RELEASE MANAGMENT</v>
      </c>
      <c r="Y243" t="str">
        <f>SUBSTITUTE(IFERROR(VLOOKUP(LEFT(Tabla_Consulta_desde_Proyectos10[[#This Row],[Nivel1]],LEN(Tabla_Consulta_desde_Proyectos10[[#This Row],[Nivel1]])-5),Tabla_Consulta_desde_Proyectos10[[#All],[Nivel1]:[Actividad]],2,FALSE),""),"_","-")</f>
        <v/>
      </c>
      <c r="Z243" t="str">
        <f>IFERROR(VLOOKUP(Tabla_Consulta_desde_Proyectos10[[#This Row],[PRYRAfecha]],'Fechas Mes'!G:J,4,TRUE),"")</f>
        <v/>
      </c>
      <c r="AA243" t="e" cm="1">
        <f t="array" ref="AA243">INDEX('Fechas Mes'!F:F,MATCH(Tabla_Consulta_desde_Proyectos10[[#This Row],[Semana]],'Fechas Mes'!J:J,0),)</f>
        <v>#N/A</v>
      </c>
      <c r="AB243">
        <f>YEAR(Tabla_Consulta_desde_Proyectos10[[#This Row],[PRYRAfecha]])</f>
        <v>1900</v>
      </c>
      <c r="AC243" t="e">
        <f>VLOOKUP(Tabla_Consulta_desde_Proyectos10[[#This Row],[PRYRAfecha]],'Fechas Mes'!G:J,4,TRUE)</f>
        <v>#N/A</v>
      </c>
      <c r="AD243" t="str">
        <f>IFERROR(VLOOKUP(Tabla_Consulta_desde_Proyectos10[[#This Row],[PRYcodigo]],Catálogo!A:B,2,FALSE),"Otros")</f>
        <v>Otros</v>
      </c>
      <c r="AE243" t="str">
        <f>IF(LEN(Tabla_Consulta_desde_Proyectos10[[#This Row],[Semana]])&lt;13,"CI",RIGHT(Tabla_Consulta_desde_Proyectos10[[#This Row],[Semana]],4))</f>
        <v>CI</v>
      </c>
    </row>
    <row r="244" spans="1:31" hidden="1">
      <c r="A244" t="s">
        <v>4032</v>
      </c>
      <c r="B244" t="s">
        <v>5344</v>
      </c>
      <c r="C244" t="s">
        <v>5345</v>
      </c>
      <c r="D244" t="s">
        <v>7220</v>
      </c>
      <c r="E244" t="s">
        <v>7195</v>
      </c>
      <c r="F244">
        <v>0</v>
      </c>
      <c r="G244" t="s">
        <v>7221</v>
      </c>
      <c r="L244" s="4"/>
      <c r="O244">
        <v>3000000001842351</v>
      </c>
      <c r="P244" t="s">
        <v>6782</v>
      </c>
      <c r="Q244" t="s">
        <v>7210</v>
      </c>
      <c r="W244" t="str">
        <f>Tabla_Consulta_desde_Proyectos10[[#This Row],[PRYcodigo]]&amp;Tabla_Consulta_desde_Proyectos10[[#This Row],[PRYApath]]</f>
        <v>151-400-RGT2.0/0020</v>
      </c>
      <c r="X244" t="str">
        <f>Tabla_Consulta_desde_Proyectos10[[#This Row],[PRYAcodigo]]&amp;" - "&amp;Tabla_Consulta_desde_Proyectos10[[#This Row],[PRYAdescripcion]]</f>
        <v>500.1_RM - ACTIVIDADES DEL EQUIPO DE RELEASE MANAGMENT</v>
      </c>
      <c r="Y244" t="str">
        <f>SUBSTITUTE(IFERROR(VLOOKUP(LEFT(Tabla_Consulta_desde_Proyectos10[[#This Row],[Nivel1]],LEN(Tabla_Consulta_desde_Proyectos10[[#This Row],[Nivel1]])-5),Tabla_Consulta_desde_Proyectos10[[#All],[Nivel1]:[Actividad]],2,FALSE),""),"_","-")</f>
        <v/>
      </c>
      <c r="Z244" t="str">
        <f>IFERROR(VLOOKUP(Tabla_Consulta_desde_Proyectos10[[#This Row],[PRYRAfecha]],'Fechas Mes'!G:J,4,TRUE),"")</f>
        <v/>
      </c>
      <c r="AA244" t="e" cm="1">
        <f t="array" ref="AA244">INDEX('Fechas Mes'!F:F,MATCH(Tabla_Consulta_desde_Proyectos10[[#This Row],[Semana]],'Fechas Mes'!J:J,0),)</f>
        <v>#N/A</v>
      </c>
      <c r="AB244">
        <f>YEAR(Tabla_Consulta_desde_Proyectos10[[#This Row],[PRYRAfecha]])</f>
        <v>1900</v>
      </c>
      <c r="AC244" t="e">
        <f>VLOOKUP(Tabla_Consulta_desde_Proyectos10[[#This Row],[PRYRAfecha]],'Fechas Mes'!G:J,4,TRUE)</f>
        <v>#N/A</v>
      </c>
      <c r="AD244" t="str">
        <f>IFERROR(VLOOKUP(Tabla_Consulta_desde_Proyectos10[[#This Row],[PRYcodigo]],Catálogo!A:B,2,FALSE),"Otros")</f>
        <v>Otros</v>
      </c>
      <c r="AE244" t="str">
        <f>IF(LEN(Tabla_Consulta_desde_Proyectos10[[#This Row],[Semana]])&lt;13,"CI",RIGHT(Tabla_Consulta_desde_Proyectos10[[#This Row],[Semana]],4))</f>
        <v>CI</v>
      </c>
    </row>
    <row r="245" spans="1:31" hidden="1">
      <c r="A245" t="s">
        <v>4032</v>
      </c>
      <c r="B245" t="s">
        <v>5344</v>
      </c>
      <c r="C245" t="s">
        <v>5345</v>
      </c>
      <c r="D245" t="s">
        <v>7220</v>
      </c>
      <c r="E245" t="s">
        <v>7195</v>
      </c>
      <c r="F245">
        <v>0</v>
      </c>
      <c r="G245" t="s">
        <v>7221</v>
      </c>
      <c r="L245" s="4"/>
      <c r="O245">
        <v>3000000001842353</v>
      </c>
      <c r="P245" t="s">
        <v>6782</v>
      </c>
      <c r="Q245" t="s">
        <v>7210</v>
      </c>
      <c r="W245" t="str">
        <f>Tabla_Consulta_desde_Proyectos10[[#This Row],[PRYcodigo]]&amp;Tabla_Consulta_desde_Proyectos10[[#This Row],[PRYApath]]</f>
        <v>151-400-RGT2.0/0020</v>
      </c>
      <c r="X245" t="str">
        <f>Tabla_Consulta_desde_Proyectos10[[#This Row],[PRYAcodigo]]&amp;" - "&amp;Tabla_Consulta_desde_Proyectos10[[#This Row],[PRYAdescripcion]]</f>
        <v>500.1_RM - ACTIVIDADES DEL EQUIPO DE RELEASE MANAGMENT</v>
      </c>
      <c r="Y245" t="str">
        <f>SUBSTITUTE(IFERROR(VLOOKUP(LEFT(Tabla_Consulta_desde_Proyectos10[[#This Row],[Nivel1]],LEN(Tabla_Consulta_desde_Proyectos10[[#This Row],[Nivel1]])-5),Tabla_Consulta_desde_Proyectos10[[#All],[Nivel1]:[Actividad]],2,FALSE),""),"_","-")</f>
        <v/>
      </c>
      <c r="Z245" t="str">
        <f>IFERROR(VLOOKUP(Tabla_Consulta_desde_Proyectos10[[#This Row],[PRYRAfecha]],'Fechas Mes'!G:J,4,TRUE),"")</f>
        <v/>
      </c>
      <c r="AA245" t="e" cm="1">
        <f t="array" ref="AA245">INDEX('Fechas Mes'!F:F,MATCH(Tabla_Consulta_desde_Proyectos10[[#This Row],[Semana]],'Fechas Mes'!J:J,0),)</f>
        <v>#N/A</v>
      </c>
      <c r="AB245">
        <f>YEAR(Tabla_Consulta_desde_Proyectos10[[#This Row],[PRYRAfecha]])</f>
        <v>1900</v>
      </c>
      <c r="AC245" t="e">
        <f>VLOOKUP(Tabla_Consulta_desde_Proyectos10[[#This Row],[PRYRAfecha]],'Fechas Mes'!G:J,4,TRUE)</f>
        <v>#N/A</v>
      </c>
      <c r="AD245" t="str">
        <f>IFERROR(VLOOKUP(Tabla_Consulta_desde_Proyectos10[[#This Row],[PRYcodigo]],Catálogo!A:B,2,FALSE),"Otros")</f>
        <v>Otros</v>
      </c>
      <c r="AE245" t="str">
        <f>IF(LEN(Tabla_Consulta_desde_Proyectos10[[#This Row],[Semana]])&lt;13,"CI",RIGHT(Tabla_Consulta_desde_Proyectos10[[#This Row],[Semana]],4))</f>
        <v>CI</v>
      </c>
    </row>
    <row r="246" spans="1:31">
      <c r="A246" t="s">
        <v>4032</v>
      </c>
      <c r="B246" t="s">
        <v>5344</v>
      </c>
      <c r="C246" t="s">
        <v>5345</v>
      </c>
      <c r="D246" t="s">
        <v>7199</v>
      </c>
      <c r="E246" t="s">
        <v>7200</v>
      </c>
      <c r="F246">
        <v>1</v>
      </c>
      <c r="G246" t="s">
        <v>7223</v>
      </c>
      <c r="H246" t="s">
        <v>646</v>
      </c>
      <c r="I246" t="s">
        <v>647</v>
      </c>
      <c r="J246" t="s">
        <v>6683</v>
      </c>
      <c r="K246" t="s">
        <v>6684</v>
      </c>
      <c r="L246" s="4">
        <v>46120</v>
      </c>
      <c r="M246" t="s">
        <v>7666</v>
      </c>
      <c r="N246">
        <v>2</v>
      </c>
      <c r="O246">
        <v>3000000001824083</v>
      </c>
      <c r="P246" t="s">
        <v>6782</v>
      </c>
      <c r="Q246" t="s">
        <v>7210</v>
      </c>
      <c r="W246" t="str">
        <f>Tabla_Consulta_desde_Proyectos10[[#This Row],[PRYcodigo]]&amp;Tabla_Consulta_desde_Proyectos10[[#This Row],[PRYApath]]</f>
        <v>151-400-RGT2.0/0020/0002</v>
      </c>
      <c r="X246" t="str">
        <f>Tabla_Consulta_desde_Proyectos10[[#This Row],[PRYAcodigo]]&amp;" - "&amp;Tabla_Consulta_desde_Proyectos10[[#This Row],[PRYAdescripcion]]</f>
        <v>1 - LIBERACIÓN DE SOFTWARE Y DEPLOYMENTS</v>
      </c>
      <c r="Y246" t="str">
        <f>SUBSTITUTE(IFERROR(VLOOKUP(LEFT(Tabla_Consulta_desde_Proyectos10[[#This Row],[Nivel1]],LEN(Tabla_Consulta_desde_Proyectos10[[#This Row],[Nivel1]])-5),Tabla_Consulta_desde_Proyectos10[[#All],[Nivel1]:[Actividad]],2,FALSE),""),"_","-")</f>
        <v>500.1-RM - ACTIVIDADES DEL EQUIPO DE RELEASE MANAGMENT</v>
      </c>
      <c r="Z246" t="str">
        <f>IFERROR(VLOOKUP(Tabla_Consulta_desde_Proyectos10[[#This Row],[PRYRAfecha]],'Fechas Mes'!G:J,4,TRUE),"")</f>
        <v>Semana 48CIP2</v>
      </c>
      <c r="AA246" t="str" cm="1">
        <f t="array" ref="AA246">INDEX('Fechas Mes'!F:F,MATCH(Tabla_Consulta_desde_Proyectos10[[#This Row],[Semana]],'Fechas Mes'!J:J,0),)</f>
        <v>M12CIP2</v>
      </c>
      <c r="AB246">
        <f>YEAR(Tabla_Consulta_desde_Proyectos10[[#This Row],[PRYRAfecha]])</f>
        <v>2026</v>
      </c>
      <c r="AC246" t="str">
        <f>VLOOKUP(Tabla_Consulta_desde_Proyectos10[[#This Row],[PRYRAfecha]],'Fechas Mes'!G:J,4,TRUE)</f>
        <v>Semana 48CIP2</v>
      </c>
      <c r="AD246" t="str">
        <f>IFERROR(VLOOKUP(Tabla_Consulta_desde_Proyectos10[[#This Row],[PRYcodigo]],Catálogo!A:B,2,FALSE),"Otros")</f>
        <v>Otros</v>
      </c>
      <c r="AE246" t="str">
        <f>IF(LEN(Tabla_Consulta_desde_Proyectos10[[#This Row],[Semana]])&lt;13,"CI",RIGHT(Tabla_Consulta_desde_Proyectos10[[#This Row],[Semana]],4))</f>
        <v>CIP2</v>
      </c>
    </row>
    <row r="247" spans="1:31">
      <c r="A247" t="s">
        <v>4032</v>
      </c>
      <c r="B247" t="s">
        <v>5344</v>
      </c>
      <c r="C247" t="s">
        <v>5345</v>
      </c>
      <c r="D247" t="s">
        <v>7199</v>
      </c>
      <c r="E247" t="s">
        <v>7200</v>
      </c>
      <c r="F247">
        <v>1</v>
      </c>
      <c r="G247" t="s">
        <v>7223</v>
      </c>
      <c r="H247" t="s">
        <v>646</v>
      </c>
      <c r="I247" t="s">
        <v>647</v>
      </c>
      <c r="J247" t="s">
        <v>6683</v>
      </c>
      <c r="K247" t="s">
        <v>6684</v>
      </c>
      <c r="L247" s="4">
        <v>46120</v>
      </c>
      <c r="M247" t="s">
        <v>7667</v>
      </c>
      <c r="N247">
        <v>1</v>
      </c>
      <c r="O247">
        <v>3000000001824087</v>
      </c>
      <c r="P247" t="s">
        <v>6782</v>
      </c>
      <c r="Q247" t="s">
        <v>7210</v>
      </c>
      <c r="W247" t="str">
        <f>Tabla_Consulta_desde_Proyectos10[[#This Row],[PRYcodigo]]&amp;Tabla_Consulta_desde_Proyectos10[[#This Row],[PRYApath]]</f>
        <v>151-400-RGT2.0/0020/0002</v>
      </c>
      <c r="X247" t="str">
        <f>Tabla_Consulta_desde_Proyectos10[[#This Row],[PRYAcodigo]]&amp;" - "&amp;Tabla_Consulta_desde_Proyectos10[[#This Row],[PRYAdescripcion]]</f>
        <v>1 - LIBERACIÓN DE SOFTWARE Y DEPLOYMENTS</v>
      </c>
      <c r="Y247" t="str">
        <f>SUBSTITUTE(IFERROR(VLOOKUP(LEFT(Tabla_Consulta_desde_Proyectos10[[#This Row],[Nivel1]],LEN(Tabla_Consulta_desde_Proyectos10[[#This Row],[Nivel1]])-5),Tabla_Consulta_desde_Proyectos10[[#All],[Nivel1]:[Actividad]],2,FALSE),""),"_","-")</f>
        <v>500.1-RM - ACTIVIDADES DEL EQUIPO DE RELEASE MANAGMENT</v>
      </c>
      <c r="Z247" t="str">
        <f>IFERROR(VLOOKUP(Tabla_Consulta_desde_Proyectos10[[#This Row],[PRYRAfecha]],'Fechas Mes'!G:J,4,TRUE),"")</f>
        <v>Semana 48CIP2</v>
      </c>
      <c r="AA247" t="str" cm="1">
        <f t="array" ref="AA247">INDEX('Fechas Mes'!F:F,MATCH(Tabla_Consulta_desde_Proyectos10[[#This Row],[Semana]],'Fechas Mes'!J:J,0),)</f>
        <v>M12CIP2</v>
      </c>
      <c r="AB247">
        <f>YEAR(Tabla_Consulta_desde_Proyectos10[[#This Row],[PRYRAfecha]])</f>
        <v>2026</v>
      </c>
      <c r="AC247" t="str">
        <f>VLOOKUP(Tabla_Consulta_desde_Proyectos10[[#This Row],[PRYRAfecha]],'Fechas Mes'!G:J,4,TRUE)</f>
        <v>Semana 48CIP2</v>
      </c>
      <c r="AD247" t="str">
        <f>IFERROR(VLOOKUP(Tabla_Consulta_desde_Proyectos10[[#This Row],[PRYcodigo]],Catálogo!A:B,2,FALSE),"Otros")</f>
        <v>Otros</v>
      </c>
      <c r="AE247" t="str">
        <f>IF(LEN(Tabla_Consulta_desde_Proyectos10[[#This Row],[Semana]])&lt;13,"CI",RIGHT(Tabla_Consulta_desde_Proyectos10[[#This Row],[Semana]],4))</f>
        <v>CIP2</v>
      </c>
    </row>
    <row r="248" spans="1:31">
      <c r="A248" t="s">
        <v>4032</v>
      </c>
      <c r="B248" t="s">
        <v>5344</v>
      </c>
      <c r="C248" t="s">
        <v>5345</v>
      </c>
      <c r="D248" t="s">
        <v>7199</v>
      </c>
      <c r="E248" t="s">
        <v>7200</v>
      </c>
      <c r="F248">
        <v>1</v>
      </c>
      <c r="G248" t="s">
        <v>7223</v>
      </c>
      <c r="H248" t="s">
        <v>646</v>
      </c>
      <c r="I248" t="s">
        <v>647</v>
      </c>
      <c r="J248" t="s">
        <v>1981</v>
      </c>
      <c r="K248" t="s">
        <v>1982</v>
      </c>
      <c r="L248" s="4">
        <v>46118</v>
      </c>
      <c r="M248" t="s">
        <v>7590</v>
      </c>
      <c r="N248">
        <v>0.5</v>
      </c>
      <c r="O248">
        <v>3000000001825704</v>
      </c>
      <c r="P248" t="s">
        <v>6782</v>
      </c>
      <c r="Q248" t="s">
        <v>7210</v>
      </c>
      <c r="W248" t="str">
        <f>Tabla_Consulta_desde_Proyectos10[[#This Row],[PRYcodigo]]&amp;Tabla_Consulta_desde_Proyectos10[[#This Row],[PRYApath]]</f>
        <v>151-400-RGT2.0/0020/0002</v>
      </c>
      <c r="X248" t="str">
        <f>Tabla_Consulta_desde_Proyectos10[[#This Row],[PRYAcodigo]]&amp;" - "&amp;Tabla_Consulta_desde_Proyectos10[[#This Row],[PRYAdescripcion]]</f>
        <v>1 - LIBERACIÓN DE SOFTWARE Y DEPLOYMENTS</v>
      </c>
      <c r="Y248" t="str">
        <f>SUBSTITUTE(IFERROR(VLOOKUP(LEFT(Tabla_Consulta_desde_Proyectos10[[#This Row],[Nivel1]],LEN(Tabla_Consulta_desde_Proyectos10[[#This Row],[Nivel1]])-5),Tabla_Consulta_desde_Proyectos10[[#All],[Nivel1]:[Actividad]],2,FALSE),""),"_","-")</f>
        <v>500.1-RM - ACTIVIDADES DEL EQUIPO DE RELEASE MANAGMENT</v>
      </c>
      <c r="Z248" t="str">
        <f>IFERROR(VLOOKUP(Tabla_Consulta_desde_Proyectos10[[#This Row],[PRYRAfecha]],'Fechas Mes'!G:J,4,TRUE),"")</f>
        <v>Semana 48CIP2</v>
      </c>
      <c r="AA248" t="str" cm="1">
        <f t="array" ref="AA248">INDEX('Fechas Mes'!F:F,MATCH(Tabla_Consulta_desde_Proyectos10[[#This Row],[Semana]],'Fechas Mes'!J:J,0),)</f>
        <v>M12CIP2</v>
      </c>
      <c r="AB248">
        <f>YEAR(Tabla_Consulta_desde_Proyectos10[[#This Row],[PRYRAfecha]])</f>
        <v>2026</v>
      </c>
      <c r="AC248" t="str">
        <f>VLOOKUP(Tabla_Consulta_desde_Proyectos10[[#This Row],[PRYRAfecha]],'Fechas Mes'!G:J,4,TRUE)</f>
        <v>Semana 48CIP2</v>
      </c>
      <c r="AD248" t="str">
        <f>IFERROR(VLOOKUP(Tabla_Consulta_desde_Proyectos10[[#This Row],[PRYcodigo]],Catálogo!A:B,2,FALSE),"Otros")</f>
        <v>Otros</v>
      </c>
      <c r="AE248" t="str">
        <f>IF(LEN(Tabla_Consulta_desde_Proyectos10[[#This Row],[Semana]])&lt;13,"CI",RIGHT(Tabla_Consulta_desde_Proyectos10[[#This Row],[Semana]],4))</f>
        <v>CIP2</v>
      </c>
    </row>
    <row r="249" spans="1:31">
      <c r="A249" t="s">
        <v>4032</v>
      </c>
      <c r="B249" t="s">
        <v>5344</v>
      </c>
      <c r="C249" t="s">
        <v>5345</v>
      </c>
      <c r="D249" t="s">
        <v>7199</v>
      </c>
      <c r="E249" t="s">
        <v>7200</v>
      </c>
      <c r="F249">
        <v>1</v>
      </c>
      <c r="G249" t="s">
        <v>7223</v>
      </c>
      <c r="H249" t="s">
        <v>646</v>
      </c>
      <c r="I249" t="s">
        <v>647</v>
      </c>
      <c r="J249" t="s">
        <v>1981</v>
      </c>
      <c r="K249" t="s">
        <v>1982</v>
      </c>
      <c r="L249" s="4">
        <v>46119</v>
      </c>
      <c r="M249" t="s">
        <v>7576</v>
      </c>
      <c r="N249">
        <v>0.5</v>
      </c>
      <c r="O249">
        <v>3000000001825709</v>
      </c>
      <c r="P249" t="s">
        <v>6782</v>
      </c>
      <c r="Q249" t="s">
        <v>7210</v>
      </c>
      <c r="W249" t="str">
        <f>Tabla_Consulta_desde_Proyectos10[[#This Row],[PRYcodigo]]&amp;Tabla_Consulta_desde_Proyectos10[[#This Row],[PRYApath]]</f>
        <v>151-400-RGT2.0/0020/0002</v>
      </c>
      <c r="X249" t="str">
        <f>Tabla_Consulta_desde_Proyectos10[[#This Row],[PRYAcodigo]]&amp;" - "&amp;Tabla_Consulta_desde_Proyectos10[[#This Row],[PRYAdescripcion]]</f>
        <v>1 - LIBERACIÓN DE SOFTWARE Y DEPLOYMENTS</v>
      </c>
      <c r="Y249" t="str">
        <f>SUBSTITUTE(IFERROR(VLOOKUP(LEFT(Tabla_Consulta_desde_Proyectos10[[#This Row],[Nivel1]],LEN(Tabla_Consulta_desde_Proyectos10[[#This Row],[Nivel1]])-5),Tabla_Consulta_desde_Proyectos10[[#All],[Nivel1]:[Actividad]],2,FALSE),""),"_","-")</f>
        <v>500.1-RM - ACTIVIDADES DEL EQUIPO DE RELEASE MANAGMENT</v>
      </c>
      <c r="Z249" t="str">
        <f>IFERROR(VLOOKUP(Tabla_Consulta_desde_Proyectos10[[#This Row],[PRYRAfecha]],'Fechas Mes'!G:J,4,TRUE),"")</f>
        <v>Semana 48CIP2</v>
      </c>
      <c r="AA249" t="str" cm="1">
        <f t="array" ref="AA249">INDEX('Fechas Mes'!F:F,MATCH(Tabla_Consulta_desde_Proyectos10[[#This Row],[Semana]],'Fechas Mes'!J:J,0),)</f>
        <v>M12CIP2</v>
      </c>
      <c r="AB249">
        <f>YEAR(Tabla_Consulta_desde_Proyectos10[[#This Row],[PRYRAfecha]])</f>
        <v>2026</v>
      </c>
      <c r="AC249" t="str">
        <f>VLOOKUP(Tabla_Consulta_desde_Proyectos10[[#This Row],[PRYRAfecha]],'Fechas Mes'!G:J,4,TRUE)</f>
        <v>Semana 48CIP2</v>
      </c>
      <c r="AD249" t="str">
        <f>IFERROR(VLOOKUP(Tabla_Consulta_desde_Proyectos10[[#This Row],[PRYcodigo]],Catálogo!A:B,2,FALSE),"Otros")</f>
        <v>Otros</v>
      </c>
      <c r="AE249" t="str">
        <f>IF(LEN(Tabla_Consulta_desde_Proyectos10[[#This Row],[Semana]])&lt;13,"CI",RIGHT(Tabla_Consulta_desde_Proyectos10[[#This Row],[Semana]],4))</f>
        <v>CIP2</v>
      </c>
    </row>
    <row r="250" spans="1:31">
      <c r="A250" t="s">
        <v>4032</v>
      </c>
      <c r="B250" t="s">
        <v>5344</v>
      </c>
      <c r="C250" t="s">
        <v>5345</v>
      </c>
      <c r="D250" t="s">
        <v>7199</v>
      </c>
      <c r="E250" t="s">
        <v>7200</v>
      </c>
      <c r="F250">
        <v>1</v>
      </c>
      <c r="G250" t="s">
        <v>7223</v>
      </c>
      <c r="H250" t="s">
        <v>646</v>
      </c>
      <c r="I250" t="s">
        <v>647</v>
      </c>
      <c r="J250" t="s">
        <v>1981</v>
      </c>
      <c r="K250" t="s">
        <v>1982</v>
      </c>
      <c r="L250" s="4">
        <v>46121</v>
      </c>
      <c r="M250" t="s">
        <v>7668</v>
      </c>
      <c r="N250">
        <v>1</v>
      </c>
      <c r="O250">
        <v>3000000001824282</v>
      </c>
      <c r="P250" t="s">
        <v>6782</v>
      </c>
      <c r="Q250" t="s">
        <v>7210</v>
      </c>
      <c r="W250" t="str">
        <f>Tabla_Consulta_desde_Proyectos10[[#This Row],[PRYcodigo]]&amp;Tabla_Consulta_desde_Proyectos10[[#This Row],[PRYApath]]</f>
        <v>151-400-RGT2.0/0020/0002</v>
      </c>
      <c r="X250" t="str">
        <f>Tabla_Consulta_desde_Proyectos10[[#This Row],[PRYAcodigo]]&amp;" - "&amp;Tabla_Consulta_desde_Proyectos10[[#This Row],[PRYAdescripcion]]</f>
        <v>1 - LIBERACIÓN DE SOFTWARE Y DEPLOYMENTS</v>
      </c>
      <c r="Y250" t="str">
        <f>SUBSTITUTE(IFERROR(VLOOKUP(LEFT(Tabla_Consulta_desde_Proyectos10[[#This Row],[Nivel1]],LEN(Tabla_Consulta_desde_Proyectos10[[#This Row],[Nivel1]])-5),Tabla_Consulta_desde_Proyectos10[[#All],[Nivel1]:[Actividad]],2,FALSE),""),"_","-")</f>
        <v>500.1-RM - ACTIVIDADES DEL EQUIPO DE RELEASE MANAGMENT</v>
      </c>
      <c r="Z250" t="str">
        <f>IFERROR(VLOOKUP(Tabla_Consulta_desde_Proyectos10[[#This Row],[PRYRAfecha]],'Fechas Mes'!G:J,4,TRUE),"")</f>
        <v>Semana 48CIP2</v>
      </c>
      <c r="AA250" t="str" cm="1">
        <f t="array" ref="AA250">INDEX('Fechas Mes'!F:F,MATCH(Tabla_Consulta_desde_Proyectos10[[#This Row],[Semana]],'Fechas Mes'!J:J,0),)</f>
        <v>M12CIP2</v>
      </c>
      <c r="AB250">
        <f>YEAR(Tabla_Consulta_desde_Proyectos10[[#This Row],[PRYRAfecha]])</f>
        <v>2026</v>
      </c>
      <c r="AC250" t="str">
        <f>VLOOKUP(Tabla_Consulta_desde_Proyectos10[[#This Row],[PRYRAfecha]],'Fechas Mes'!G:J,4,TRUE)</f>
        <v>Semana 48CIP2</v>
      </c>
      <c r="AD250" t="str">
        <f>IFERROR(VLOOKUP(Tabla_Consulta_desde_Proyectos10[[#This Row],[PRYcodigo]],Catálogo!A:B,2,FALSE),"Otros")</f>
        <v>Otros</v>
      </c>
      <c r="AE250" t="str">
        <f>IF(LEN(Tabla_Consulta_desde_Proyectos10[[#This Row],[Semana]])&lt;13,"CI",RIGHT(Tabla_Consulta_desde_Proyectos10[[#This Row],[Semana]],4))</f>
        <v>CIP2</v>
      </c>
    </row>
    <row r="251" spans="1:31">
      <c r="A251" t="s">
        <v>4032</v>
      </c>
      <c r="B251" t="s">
        <v>5344</v>
      </c>
      <c r="C251" t="s">
        <v>5345</v>
      </c>
      <c r="D251" t="s">
        <v>7199</v>
      </c>
      <c r="E251" t="s">
        <v>7200</v>
      </c>
      <c r="F251">
        <v>1</v>
      </c>
      <c r="G251" t="s">
        <v>7223</v>
      </c>
      <c r="H251" t="s">
        <v>646</v>
      </c>
      <c r="I251" t="s">
        <v>647</v>
      </c>
      <c r="J251" t="s">
        <v>1981</v>
      </c>
      <c r="K251" t="s">
        <v>1982</v>
      </c>
      <c r="L251" s="4">
        <v>46125</v>
      </c>
      <c r="M251" t="s">
        <v>7669</v>
      </c>
      <c r="N251">
        <v>0.5</v>
      </c>
      <c r="O251">
        <v>3000000001827160</v>
      </c>
      <c r="P251" t="s">
        <v>6782</v>
      </c>
      <c r="Q251" t="s">
        <v>7212</v>
      </c>
      <c r="W251" t="str">
        <f>Tabla_Consulta_desde_Proyectos10[[#This Row],[PRYcodigo]]&amp;Tabla_Consulta_desde_Proyectos10[[#This Row],[PRYApath]]</f>
        <v>151-400-RGT2.0/0020/0002</v>
      </c>
      <c r="X251" t="str">
        <f>Tabla_Consulta_desde_Proyectos10[[#This Row],[PRYAcodigo]]&amp;" - "&amp;Tabla_Consulta_desde_Proyectos10[[#This Row],[PRYAdescripcion]]</f>
        <v>1 - LIBERACIÓN DE SOFTWARE Y DEPLOYMENTS</v>
      </c>
      <c r="Y251" t="str">
        <f>SUBSTITUTE(IFERROR(VLOOKUP(LEFT(Tabla_Consulta_desde_Proyectos10[[#This Row],[Nivel1]],LEN(Tabla_Consulta_desde_Proyectos10[[#This Row],[Nivel1]])-5),Tabla_Consulta_desde_Proyectos10[[#All],[Nivel1]:[Actividad]],2,FALSE),""),"_","-")</f>
        <v>500.1-RM - ACTIVIDADES DEL EQUIPO DE RELEASE MANAGMENT</v>
      </c>
      <c r="Z251" t="str">
        <f>IFERROR(VLOOKUP(Tabla_Consulta_desde_Proyectos10[[#This Row],[PRYRAfecha]],'Fechas Mes'!G:J,4,TRUE),"")</f>
        <v>Semana 48CIP2</v>
      </c>
      <c r="AA251" t="str" cm="1">
        <f t="array" ref="AA251">INDEX('Fechas Mes'!F:F,MATCH(Tabla_Consulta_desde_Proyectos10[[#This Row],[Semana]],'Fechas Mes'!J:J,0),)</f>
        <v>M12CIP2</v>
      </c>
      <c r="AB251">
        <f>YEAR(Tabla_Consulta_desde_Proyectos10[[#This Row],[PRYRAfecha]])</f>
        <v>2026</v>
      </c>
      <c r="AC251" t="str">
        <f>VLOOKUP(Tabla_Consulta_desde_Proyectos10[[#This Row],[PRYRAfecha]],'Fechas Mes'!G:J,4,TRUE)</f>
        <v>Semana 48CIP2</v>
      </c>
      <c r="AD251" t="str">
        <f>IFERROR(VLOOKUP(Tabla_Consulta_desde_Proyectos10[[#This Row],[PRYcodigo]],Catálogo!A:B,2,FALSE),"Otros")</f>
        <v>Otros</v>
      </c>
      <c r="AE251" t="str">
        <f>IF(LEN(Tabla_Consulta_desde_Proyectos10[[#This Row],[Semana]])&lt;13,"CI",RIGHT(Tabla_Consulta_desde_Proyectos10[[#This Row],[Semana]],4))</f>
        <v>CIP2</v>
      </c>
    </row>
    <row r="252" spans="1:31">
      <c r="A252" t="s">
        <v>4032</v>
      </c>
      <c r="B252" t="s">
        <v>5344</v>
      </c>
      <c r="C252" t="s">
        <v>5345</v>
      </c>
      <c r="D252" t="s">
        <v>7199</v>
      </c>
      <c r="E252" t="s">
        <v>7200</v>
      </c>
      <c r="F252">
        <v>1</v>
      </c>
      <c r="G252" t="s">
        <v>7223</v>
      </c>
      <c r="H252" t="s">
        <v>646</v>
      </c>
      <c r="I252" t="s">
        <v>647</v>
      </c>
      <c r="J252" t="s">
        <v>1981</v>
      </c>
      <c r="K252" t="s">
        <v>1982</v>
      </c>
      <c r="L252" s="4">
        <v>46127</v>
      </c>
      <c r="M252" t="s">
        <v>7670</v>
      </c>
      <c r="N252">
        <v>1.5</v>
      </c>
      <c r="O252">
        <v>3000000001827653</v>
      </c>
      <c r="P252" t="s">
        <v>6782</v>
      </c>
      <c r="Q252" t="s">
        <v>7212</v>
      </c>
      <c r="W252" t="str">
        <f>Tabla_Consulta_desde_Proyectos10[[#This Row],[PRYcodigo]]&amp;Tabla_Consulta_desde_Proyectos10[[#This Row],[PRYApath]]</f>
        <v>151-400-RGT2.0/0020/0002</v>
      </c>
      <c r="X252" t="str">
        <f>Tabla_Consulta_desde_Proyectos10[[#This Row],[PRYAcodigo]]&amp;" - "&amp;Tabla_Consulta_desde_Proyectos10[[#This Row],[PRYAdescripcion]]</f>
        <v>1 - LIBERACIÓN DE SOFTWARE Y DEPLOYMENTS</v>
      </c>
      <c r="Y252" t="str">
        <f>SUBSTITUTE(IFERROR(VLOOKUP(LEFT(Tabla_Consulta_desde_Proyectos10[[#This Row],[Nivel1]],LEN(Tabla_Consulta_desde_Proyectos10[[#This Row],[Nivel1]])-5),Tabla_Consulta_desde_Proyectos10[[#All],[Nivel1]:[Actividad]],2,FALSE),""),"_","-")</f>
        <v>500.1-RM - ACTIVIDADES DEL EQUIPO DE RELEASE MANAGMENT</v>
      </c>
      <c r="Z252" t="str">
        <f>IFERROR(VLOOKUP(Tabla_Consulta_desde_Proyectos10[[#This Row],[PRYRAfecha]],'Fechas Mes'!G:J,4,TRUE),"")</f>
        <v>Semana 48CIP2</v>
      </c>
      <c r="AA252" t="str" cm="1">
        <f t="array" ref="AA252">INDEX('Fechas Mes'!F:F,MATCH(Tabla_Consulta_desde_Proyectos10[[#This Row],[Semana]],'Fechas Mes'!J:J,0),)</f>
        <v>M12CIP2</v>
      </c>
      <c r="AB252">
        <f>YEAR(Tabla_Consulta_desde_Proyectos10[[#This Row],[PRYRAfecha]])</f>
        <v>2026</v>
      </c>
      <c r="AC252" t="str">
        <f>VLOOKUP(Tabla_Consulta_desde_Proyectos10[[#This Row],[PRYRAfecha]],'Fechas Mes'!G:J,4,TRUE)</f>
        <v>Semana 48CIP2</v>
      </c>
      <c r="AD252" t="str">
        <f>IFERROR(VLOOKUP(Tabla_Consulta_desde_Proyectos10[[#This Row],[PRYcodigo]],Catálogo!A:B,2,FALSE),"Otros")</f>
        <v>Otros</v>
      </c>
      <c r="AE252" t="str">
        <f>IF(LEN(Tabla_Consulta_desde_Proyectos10[[#This Row],[Semana]])&lt;13,"CI",RIGHT(Tabla_Consulta_desde_Proyectos10[[#This Row],[Semana]],4))</f>
        <v>CIP2</v>
      </c>
    </row>
    <row r="253" spans="1:31">
      <c r="A253" t="s">
        <v>4032</v>
      </c>
      <c r="B253" t="s">
        <v>5344</v>
      </c>
      <c r="C253" t="s">
        <v>5345</v>
      </c>
      <c r="D253" t="s">
        <v>7199</v>
      </c>
      <c r="E253" t="s">
        <v>7200</v>
      </c>
      <c r="F253">
        <v>1</v>
      </c>
      <c r="G253" t="s">
        <v>7223</v>
      </c>
      <c r="H253" t="s">
        <v>646</v>
      </c>
      <c r="I253" t="s">
        <v>647</v>
      </c>
      <c r="J253" t="s">
        <v>1981</v>
      </c>
      <c r="K253" t="s">
        <v>1982</v>
      </c>
      <c r="L253" s="4">
        <v>46128</v>
      </c>
      <c r="M253" t="s">
        <v>7671</v>
      </c>
      <c r="N253">
        <v>1</v>
      </c>
      <c r="O253">
        <v>3000000001828036</v>
      </c>
      <c r="P253" t="s">
        <v>6782</v>
      </c>
      <c r="Q253" t="s">
        <v>7210</v>
      </c>
      <c r="W253" t="str">
        <f>Tabla_Consulta_desde_Proyectos10[[#This Row],[PRYcodigo]]&amp;Tabla_Consulta_desde_Proyectos10[[#This Row],[PRYApath]]</f>
        <v>151-400-RGT2.0/0020/0002</v>
      </c>
      <c r="X253" t="str">
        <f>Tabla_Consulta_desde_Proyectos10[[#This Row],[PRYAcodigo]]&amp;" - "&amp;Tabla_Consulta_desde_Proyectos10[[#This Row],[PRYAdescripcion]]</f>
        <v>1 - LIBERACIÓN DE SOFTWARE Y DEPLOYMENTS</v>
      </c>
      <c r="Y253" t="str">
        <f>SUBSTITUTE(IFERROR(VLOOKUP(LEFT(Tabla_Consulta_desde_Proyectos10[[#This Row],[Nivel1]],LEN(Tabla_Consulta_desde_Proyectos10[[#This Row],[Nivel1]])-5),Tabla_Consulta_desde_Proyectos10[[#All],[Nivel1]:[Actividad]],2,FALSE),""),"_","-")</f>
        <v>500.1-RM - ACTIVIDADES DEL EQUIPO DE RELEASE MANAGMENT</v>
      </c>
      <c r="Z253" t="str">
        <f>IFERROR(VLOOKUP(Tabla_Consulta_desde_Proyectos10[[#This Row],[PRYRAfecha]],'Fechas Mes'!G:J,4,TRUE),"")</f>
        <v>Semana 48CIP2</v>
      </c>
      <c r="AA253" t="str" cm="1">
        <f t="array" ref="AA253">INDEX('Fechas Mes'!F:F,MATCH(Tabla_Consulta_desde_Proyectos10[[#This Row],[Semana]],'Fechas Mes'!J:J,0),)</f>
        <v>M12CIP2</v>
      </c>
      <c r="AB253">
        <f>YEAR(Tabla_Consulta_desde_Proyectos10[[#This Row],[PRYRAfecha]])</f>
        <v>2026</v>
      </c>
      <c r="AC253" t="str">
        <f>VLOOKUP(Tabla_Consulta_desde_Proyectos10[[#This Row],[PRYRAfecha]],'Fechas Mes'!G:J,4,TRUE)</f>
        <v>Semana 48CIP2</v>
      </c>
      <c r="AD253" t="str">
        <f>IFERROR(VLOOKUP(Tabla_Consulta_desde_Proyectos10[[#This Row],[PRYcodigo]],Catálogo!A:B,2,FALSE),"Otros")</f>
        <v>Otros</v>
      </c>
      <c r="AE253" t="str">
        <f>IF(LEN(Tabla_Consulta_desde_Proyectos10[[#This Row],[Semana]])&lt;13,"CI",RIGHT(Tabla_Consulta_desde_Proyectos10[[#This Row],[Semana]],4))</f>
        <v>CIP2</v>
      </c>
    </row>
    <row r="254" spans="1:31">
      <c r="A254" t="s">
        <v>4032</v>
      </c>
      <c r="B254" t="s">
        <v>5344</v>
      </c>
      <c r="C254" t="s">
        <v>5345</v>
      </c>
      <c r="D254" t="s">
        <v>7199</v>
      </c>
      <c r="E254" t="s">
        <v>7200</v>
      </c>
      <c r="F254">
        <v>1</v>
      </c>
      <c r="G254" t="s">
        <v>7223</v>
      </c>
      <c r="H254" t="s">
        <v>646</v>
      </c>
      <c r="I254" t="s">
        <v>647</v>
      </c>
      <c r="J254" t="s">
        <v>1981</v>
      </c>
      <c r="K254" t="s">
        <v>1982</v>
      </c>
      <c r="L254" s="4">
        <v>46128</v>
      </c>
      <c r="M254" t="s">
        <v>7672</v>
      </c>
      <c r="N254">
        <v>0.5</v>
      </c>
      <c r="O254">
        <v>3000000001828191</v>
      </c>
      <c r="P254" t="s">
        <v>6782</v>
      </c>
      <c r="Q254" t="s">
        <v>7198</v>
      </c>
      <c r="W254" t="str">
        <f>Tabla_Consulta_desde_Proyectos10[[#This Row],[PRYcodigo]]&amp;Tabla_Consulta_desde_Proyectos10[[#This Row],[PRYApath]]</f>
        <v>151-400-RGT2.0/0020/0002</v>
      </c>
      <c r="X254" t="str">
        <f>Tabla_Consulta_desde_Proyectos10[[#This Row],[PRYAcodigo]]&amp;" - "&amp;Tabla_Consulta_desde_Proyectos10[[#This Row],[PRYAdescripcion]]</f>
        <v>1 - LIBERACIÓN DE SOFTWARE Y DEPLOYMENTS</v>
      </c>
      <c r="Y254" t="str">
        <f>SUBSTITUTE(IFERROR(VLOOKUP(LEFT(Tabla_Consulta_desde_Proyectos10[[#This Row],[Nivel1]],LEN(Tabla_Consulta_desde_Proyectos10[[#This Row],[Nivel1]])-5),Tabla_Consulta_desde_Proyectos10[[#All],[Nivel1]:[Actividad]],2,FALSE),""),"_","-")</f>
        <v>500.1-RM - ACTIVIDADES DEL EQUIPO DE RELEASE MANAGMENT</v>
      </c>
      <c r="Z254" t="str">
        <f>IFERROR(VLOOKUP(Tabla_Consulta_desde_Proyectos10[[#This Row],[PRYRAfecha]],'Fechas Mes'!G:J,4,TRUE),"")</f>
        <v>Semana 48CIP2</v>
      </c>
      <c r="AA254" t="str" cm="1">
        <f t="array" ref="AA254">INDEX('Fechas Mes'!F:F,MATCH(Tabla_Consulta_desde_Proyectos10[[#This Row],[Semana]],'Fechas Mes'!J:J,0),)</f>
        <v>M12CIP2</v>
      </c>
      <c r="AB254">
        <f>YEAR(Tabla_Consulta_desde_Proyectos10[[#This Row],[PRYRAfecha]])</f>
        <v>2026</v>
      </c>
      <c r="AC254" t="str">
        <f>VLOOKUP(Tabla_Consulta_desde_Proyectos10[[#This Row],[PRYRAfecha]],'Fechas Mes'!G:J,4,TRUE)</f>
        <v>Semana 48CIP2</v>
      </c>
      <c r="AD254" t="str">
        <f>IFERROR(VLOOKUP(Tabla_Consulta_desde_Proyectos10[[#This Row],[PRYcodigo]],Catálogo!A:B,2,FALSE),"Otros")</f>
        <v>Otros</v>
      </c>
      <c r="AE254" t="str">
        <f>IF(LEN(Tabla_Consulta_desde_Proyectos10[[#This Row],[Semana]])&lt;13,"CI",RIGHT(Tabla_Consulta_desde_Proyectos10[[#This Row],[Semana]],4))</f>
        <v>CIP2</v>
      </c>
    </row>
    <row r="255" spans="1:31">
      <c r="A255" t="s">
        <v>4032</v>
      </c>
      <c r="B255" t="s">
        <v>5344</v>
      </c>
      <c r="C255" t="s">
        <v>5345</v>
      </c>
      <c r="D255" t="s">
        <v>7199</v>
      </c>
      <c r="E255" t="s">
        <v>7200</v>
      </c>
      <c r="F255">
        <v>1</v>
      </c>
      <c r="G255" t="s">
        <v>7223</v>
      </c>
      <c r="H255" t="s">
        <v>646</v>
      </c>
      <c r="I255" t="s">
        <v>647</v>
      </c>
      <c r="J255" t="s">
        <v>1981</v>
      </c>
      <c r="K255" t="s">
        <v>1982</v>
      </c>
      <c r="L255" s="4">
        <v>46129</v>
      </c>
      <c r="M255" t="s">
        <v>7673</v>
      </c>
      <c r="N255">
        <v>0.5</v>
      </c>
      <c r="O255">
        <v>3000000001828378</v>
      </c>
      <c r="P255" t="s">
        <v>6782</v>
      </c>
      <c r="Q255" t="s">
        <v>7212</v>
      </c>
      <c r="W255" t="str">
        <f>Tabla_Consulta_desde_Proyectos10[[#This Row],[PRYcodigo]]&amp;Tabla_Consulta_desde_Proyectos10[[#This Row],[PRYApath]]</f>
        <v>151-400-RGT2.0/0020/0002</v>
      </c>
      <c r="X255" t="str">
        <f>Tabla_Consulta_desde_Proyectos10[[#This Row],[PRYAcodigo]]&amp;" - "&amp;Tabla_Consulta_desde_Proyectos10[[#This Row],[PRYAdescripcion]]</f>
        <v>1 - LIBERACIÓN DE SOFTWARE Y DEPLOYMENTS</v>
      </c>
      <c r="Y255" t="str">
        <f>SUBSTITUTE(IFERROR(VLOOKUP(LEFT(Tabla_Consulta_desde_Proyectos10[[#This Row],[Nivel1]],LEN(Tabla_Consulta_desde_Proyectos10[[#This Row],[Nivel1]])-5),Tabla_Consulta_desde_Proyectos10[[#All],[Nivel1]:[Actividad]],2,FALSE),""),"_","-")</f>
        <v>500.1-RM - ACTIVIDADES DEL EQUIPO DE RELEASE MANAGMENT</v>
      </c>
      <c r="Z255" t="str">
        <f>IFERROR(VLOOKUP(Tabla_Consulta_desde_Proyectos10[[#This Row],[PRYRAfecha]],'Fechas Mes'!G:J,4,TRUE),"")</f>
        <v>Semana 48CIP2</v>
      </c>
      <c r="AA255" t="str" cm="1">
        <f t="array" ref="AA255">INDEX('Fechas Mes'!F:F,MATCH(Tabla_Consulta_desde_Proyectos10[[#This Row],[Semana]],'Fechas Mes'!J:J,0),)</f>
        <v>M12CIP2</v>
      </c>
      <c r="AB255">
        <f>YEAR(Tabla_Consulta_desde_Proyectos10[[#This Row],[PRYRAfecha]])</f>
        <v>2026</v>
      </c>
      <c r="AC255" t="str">
        <f>VLOOKUP(Tabla_Consulta_desde_Proyectos10[[#This Row],[PRYRAfecha]],'Fechas Mes'!G:J,4,TRUE)</f>
        <v>Semana 48CIP2</v>
      </c>
      <c r="AD255" t="str">
        <f>IFERROR(VLOOKUP(Tabla_Consulta_desde_Proyectos10[[#This Row],[PRYcodigo]],Catálogo!A:B,2,FALSE),"Otros")</f>
        <v>Otros</v>
      </c>
      <c r="AE255" t="str">
        <f>IF(LEN(Tabla_Consulta_desde_Proyectos10[[#This Row],[Semana]])&lt;13,"CI",RIGHT(Tabla_Consulta_desde_Proyectos10[[#This Row],[Semana]],4))</f>
        <v>CIP2</v>
      </c>
    </row>
    <row r="256" spans="1:31">
      <c r="A256" t="s">
        <v>4032</v>
      </c>
      <c r="B256" t="s">
        <v>5344</v>
      </c>
      <c r="C256" t="s">
        <v>5345</v>
      </c>
      <c r="D256" t="s">
        <v>7199</v>
      </c>
      <c r="E256" t="s">
        <v>7200</v>
      </c>
      <c r="F256">
        <v>1</v>
      </c>
      <c r="G256" t="s">
        <v>7223</v>
      </c>
      <c r="H256" t="s">
        <v>646</v>
      </c>
      <c r="I256" t="s">
        <v>647</v>
      </c>
      <c r="J256" t="s">
        <v>1981</v>
      </c>
      <c r="K256" t="s">
        <v>1982</v>
      </c>
      <c r="L256" s="4">
        <v>46133</v>
      </c>
      <c r="M256" t="s">
        <v>7674</v>
      </c>
      <c r="N256">
        <v>0.75</v>
      </c>
      <c r="O256">
        <v>3000000001830962</v>
      </c>
      <c r="P256" t="s">
        <v>6782</v>
      </c>
      <c r="Q256" t="s">
        <v>7210</v>
      </c>
      <c r="W256" t="str">
        <f>Tabla_Consulta_desde_Proyectos10[[#This Row],[PRYcodigo]]&amp;Tabla_Consulta_desde_Proyectos10[[#This Row],[PRYApath]]</f>
        <v>151-400-RGT2.0/0020/0002</v>
      </c>
      <c r="X256" t="str">
        <f>Tabla_Consulta_desde_Proyectos10[[#This Row],[PRYAcodigo]]&amp;" - "&amp;Tabla_Consulta_desde_Proyectos10[[#This Row],[PRYAdescripcion]]</f>
        <v>1 - LIBERACIÓN DE SOFTWARE Y DEPLOYMENTS</v>
      </c>
      <c r="Y256" t="str">
        <f>SUBSTITUTE(IFERROR(VLOOKUP(LEFT(Tabla_Consulta_desde_Proyectos10[[#This Row],[Nivel1]],LEN(Tabla_Consulta_desde_Proyectos10[[#This Row],[Nivel1]])-5),Tabla_Consulta_desde_Proyectos10[[#All],[Nivel1]:[Actividad]],2,FALSE),""),"_","-")</f>
        <v>500.1-RM - ACTIVIDADES DEL EQUIPO DE RELEASE MANAGMENT</v>
      </c>
      <c r="Z256" t="str">
        <f>IFERROR(VLOOKUP(Tabla_Consulta_desde_Proyectos10[[#This Row],[PRYRAfecha]],'Fechas Mes'!G:J,4,TRUE),"")</f>
        <v>Semana 48CIP2</v>
      </c>
      <c r="AA256" t="str" cm="1">
        <f t="array" ref="AA256">INDEX('Fechas Mes'!F:F,MATCH(Tabla_Consulta_desde_Proyectos10[[#This Row],[Semana]],'Fechas Mes'!J:J,0),)</f>
        <v>M12CIP2</v>
      </c>
      <c r="AB256">
        <f>YEAR(Tabla_Consulta_desde_Proyectos10[[#This Row],[PRYRAfecha]])</f>
        <v>2026</v>
      </c>
      <c r="AC256" t="str">
        <f>VLOOKUP(Tabla_Consulta_desde_Proyectos10[[#This Row],[PRYRAfecha]],'Fechas Mes'!G:J,4,TRUE)</f>
        <v>Semana 48CIP2</v>
      </c>
      <c r="AD256" t="str">
        <f>IFERROR(VLOOKUP(Tabla_Consulta_desde_Proyectos10[[#This Row],[PRYcodigo]],Catálogo!A:B,2,FALSE),"Otros")</f>
        <v>Otros</v>
      </c>
      <c r="AE256" t="str">
        <f>IF(LEN(Tabla_Consulta_desde_Proyectos10[[#This Row],[Semana]])&lt;13,"CI",RIGHT(Tabla_Consulta_desde_Proyectos10[[#This Row],[Semana]],4))</f>
        <v>CIP2</v>
      </c>
    </row>
    <row r="257" spans="1:31">
      <c r="A257" t="s">
        <v>4032</v>
      </c>
      <c r="B257" t="s">
        <v>5344</v>
      </c>
      <c r="C257" t="s">
        <v>5345</v>
      </c>
      <c r="D257" t="s">
        <v>7199</v>
      </c>
      <c r="E257" t="s">
        <v>7200</v>
      </c>
      <c r="F257">
        <v>1</v>
      </c>
      <c r="G257" t="s">
        <v>7223</v>
      </c>
      <c r="H257" t="s">
        <v>646</v>
      </c>
      <c r="I257" t="s">
        <v>647</v>
      </c>
      <c r="J257" t="s">
        <v>1981</v>
      </c>
      <c r="K257" t="s">
        <v>1982</v>
      </c>
      <c r="L257" s="4">
        <v>46134</v>
      </c>
      <c r="M257" t="s">
        <v>7675</v>
      </c>
      <c r="N257">
        <v>0.5</v>
      </c>
      <c r="O257">
        <v>3000000001831243</v>
      </c>
      <c r="P257" t="s">
        <v>6782</v>
      </c>
      <c r="Q257" t="s">
        <v>7198</v>
      </c>
      <c r="W257" t="str">
        <f>Tabla_Consulta_desde_Proyectos10[[#This Row],[PRYcodigo]]&amp;Tabla_Consulta_desde_Proyectos10[[#This Row],[PRYApath]]</f>
        <v>151-400-RGT2.0/0020/0002</v>
      </c>
      <c r="X257" t="str">
        <f>Tabla_Consulta_desde_Proyectos10[[#This Row],[PRYAcodigo]]&amp;" - "&amp;Tabla_Consulta_desde_Proyectos10[[#This Row],[PRYAdescripcion]]</f>
        <v>1 - LIBERACIÓN DE SOFTWARE Y DEPLOYMENTS</v>
      </c>
      <c r="Y257" t="str">
        <f>SUBSTITUTE(IFERROR(VLOOKUP(LEFT(Tabla_Consulta_desde_Proyectos10[[#This Row],[Nivel1]],LEN(Tabla_Consulta_desde_Proyectos10[[#This Row],[Nivel1]])-5),Tabla_Consulta_desde_Proyectos10[[#All],[Nivel1]:[Actividad]],2,FALSE),""),"_","-")</f>
        <v>500.1-RM - ACTIVIDADES DEL EQUIPO DE RELEASE MANAGMENT</v>
      </c>
      <c r="Z257" t="str">
        <f>IFERROR(VLOOKUP(Tabla_Consulta_desde_Proyectos10[[#This Row],[PRYRAfecha]],'Fechas Mes'!G:J,4,TRUE),"")</f>
        <v>Semana 48CIP2</v>
      </c>
      <c r="AA257" t="str" cm="1">
        <f t="array" ref="AA257">INDEX('Fechas Mes'!F:F,MATCH(Tabla_Consulta_desde_Proyectos10[[#This Row],[Semana]],'Fechas Mes'!J:J,0),)</f>
        <v>M12CIP2</v>
      </c>
      <c r="AB257">
        <f>YEAR(Tabla_Consulta_desde_Proyectos10[[#This Row],[PRYRAfecha]])</f>
        <v>2026</v>
      </c>
      <c r="AC257" t="str">
        <f>VLOOKUP(Tabla_Consulta_desde_Proyectos10[[#This Row],[PRYRAfecha]],'Fechas Mes'!G:J,4,TRUE)</f>
        <v>Semana 48CIP2</v>
      </c>
      <c r="AD257" t="str">
        <f>IFERROR(VLOOKUP(Tabla_Consulta_desde_Proyectos10[[#This Row],[PRYcodigo]],Catálogo!A:B,2,FALSE),"Otros")</f>
        <v>Otros</v>
      </c>
      <c r="AE257" t="str">
        <f>IF(LEN(Tabla_Consulta_desde_Proyectos10[[#This Row],[Semana]])&lt;13,"CI",RIGHT(Tabla_Consulta_desde_Proyectos10[[#This Row],[Semana]],4))</f>
        <v>CIP2</v>
      </c>
    </row>
    <row r="258" spans="1:31">
      <c r="A258" t="s">
        <v>4032</v>
      </c>
      <c r="B258" t="s">
        <v>5344</v>
      </c>
      <c r="C258" t="s">
        <v>5345</v>
      </c>
      <c r="D258" t="s">
        <v>7199</v>
      </c>
      <c r="E258" t="s">
        <v>7200</v>
      </c>
      <c r="F258">
        <v>1</v>
      </c>
      <c r="G258" t="s">
        <v>7223</v>
      </c>
      <c r="H258" t="s">
        <v>646</v>
      </c>
      <c r="I258" t="s">
        <v>647</v>
      </c>
      <c r="J258" t="s">
        <v>1981</v>
      </c>
      <c r="K258" t="s">
        <v>1982</v>
      </c>
      <c r="L258" s="4">
        <v>46139</v>
      </c>
      <c r="M258" t="s">
        <v>7676</v>
      </c>
      <c r="N258">
        <v>1.5</v>
      </c>
      <c r="O258">
        <v>3000000001834889</v>
      </c>
      <c r="P258" t="s">
        <v>6782</v>
      </c>
      <c r="Q258" t="s">
        <v>7210</v>
      </c>
      <c r="W258" t="str">
        <f>Tabla_Consulta_desde_Proyectos10[[#This Row],[PRYcodigo]]&amp;Tabla_Consulta_desde_Proyectos10[[#This Row],[PRYApath]]</f>
        <v>151-400-RGT2.0/0020/0002</v>
      </c>
      <c r="X258" t="str">
        <f>Tabla_Consulta_desde_Proyectos10[[#This Row],[PRYAcodigo]]&amp;" - "&amp;Tabla_Consulta_desde_Proyectos10[[#This Row],[PRYAdescripcion]]</f>
        <v>1 - LIBERACIÓN DE SOFTWARE Y DEPLOYMENTS</v>
      </c>
      <c r="Y258" t="str">
        <f>SUBSTITUTE(IFERROR(VLOOKUP(LEFT(Tabla_Consulta_desde_Proyectos10[[#This Row],[Nivel1]],LEN(Tabla_Consulta_desde_Proyectos10[[#This Row],[Nivel1]])-5),Tabla_Consulta_desde_Proyectos10[[#All],[Nivel1]:[Actividad]],2,FALSE),""),"_","-")</f>
        <v>500.1-RM - ACTIVIDADES DEL EQUIPO DE RELEASE MANAGMENT</v>
      </c>
      <c r="Z258" t="str">
        <f>IFERROR(VLOOKUP(Tabla_Consulta_desde_Proyectos10[[#This Row],[PRYRAfecha]],'Fechas Mes'!G:J,4,TRUE),"")</f>
        <v>Semana 48CIP2</v>
      </c>
      <c r="AA258" t="str" cm="1">
        <f t="array" ref="AA258">INDEX('Fechas Mes'!F:F,MATCH(Tabla_Consulta_desde_Proyectos10[[#This Row],[Semana]],'Fechas Mes'!J:J,0),)</f>
        <v>M12CIP2</v>
      </c>
      <c r="AB258">
        <f>YEAR(Tabla_Consulta_desde_Proyectos10[[#This Row],[PRYRAfecha]])</f>
        <v>2026</v>
      </c>
      <c r="AC258" t="str">
        <f>VLOOKUP(Tabla_Consulta_desde_Proyectos10[[#This Row],[PRYRAfecha]],'Fechas Mes'!G:J,4,TRUE)</f>
        <v>Semana 48CIP2</v>
      </c>
      <c r="AD258" t="str">
        <f>IFERROR(VLOOKUP(Tabla_Consulta_desde_Proyectos10[[#This Row],[PRYcodigo]],Catálogo!A:B,2,FALSE),"Otros")</f>
        <v>Otros</v>
      </c>
      <c r="AE258" t="str">
        <f>IF(LEN(Tabla_Consulta_desde_Proyectos10[[#This Row],[Semana]])&lt;13,"CI",RIGHT(Tabla_Consulta_desde_Proyectos10[[#This Row],[Semana]],4))</f>
        <v>CIP2</v>
      </c>
    </row>
    <row r="259" spans="1:31">
      <c r="A259" t="s">
        <v>4032</v>
      </c>
      <c r="B259" t="s">
        <v>5344</v>
      </c>
      <c r="C259" t="s">
        <v>5345</v>
      </c>
      <c r="D259" t="s">
        <v>7199</v>
      </c>
      <c r="E259" t="s">
        <v>7200</v>
      </c>
      <c r="F259">
        <v>1</v>
      </c>
      <c r="G259" t="s">
        <v>7223</v>
      </c>
      <c r="H259" t="s">
        <v>646</v>
      </c>
      <c r="I259" t="s">
        <v>647</v>
      </c>
      <c r="J259" t="s">
        <v>1981</v>
      </c>
      <c r="K259" t="s">
        <v>1982</v>
      </c>
      <c r="L259" s="4">
        <v>46142</v>
      </c>
      <c r="M259" t="s">
        <v>7677</v>
      </c>
      <c r="N259">
        <v>0.5</v>
      </c>
      <c r="O259">
        <v>3000000001836787</v>
      </c>
      <c r="P259" t="s">
        <v>6782</v>
      </c>
      <c r="Q259" t="s">
        <v>7210</v>
      </c>
      <c r="W259" t="str">
        <f>Tabla_Consulta_desde_Proyectos10[[#This Row],[PRYcodigo]]&amp;Tabla_Consulta_desde_Proyectos10[[#This Row],[PRYApath]]</f>
        <v>151-400-RGT2.0/0020/0002</v>
      </c>
      <c r="X259" t="str">
        <f>Tabla_Consulta_desde_Proyectos10[[#This Row],[PRYAcodigo]]&amp;" - "&amp;Tabla_Consulta_desde_Proyectos10[[#This Row],[PRYAdescripcion]]</f>
        <v>1 - LIBERACIÓN DE SOFTWARE Y DEPLOYMENTS</v>
      </c>
      <c r="Y259" t="str">
        <f>SUBSTITUTE(IFERROR(VLOOKUP(LEFT(Tabla_Consulta_desde_Proyectos10[[#This Row],[Nivel1]],LEN(Tabla_Consulta_desde_Proyectos10[[#This Row],[Nivel1]])-5),Tabla_Consulta_desde_Proyectos10[[#All],[Nivel1]:[Actividad]],2,FALSE),""),"_","-")</f>
        <v>500.1-RM - ACTIVIDADES DEL EQUIPO DE RELEASE MANAGMENT</v>
      </c>
      <c r="Z259" t="str">
        <f>IFERROR(VLOOKUP(Tabla_Consulta_desde_Proyectos10[[#This Row],[PRYRAfecha]],'Fechas Mes'!G:J,4,TRUE),"")</f>
        <v>Semana 48CIP2</v>
      </c>
      <c r="AA259" t="str" cm="1">
        <f t="array" ref="AA259">INDEX('Fechas Mes'!F:F,MATCH(Tabla_Consulta_desde_Proyectos10[[#This Row],[Semana]],'Fechas Mes'!J:J,0),)</f>
        <v>M12CIP2</v>
      </c>
      <c r="AB259">
        <f>YEAR(Tabla_Consulta_desde_Proyectos10[[#This Row],[PRYRAfecha]])</f>
        <v>2026</v>
      </c>
      <c r="AC259" t="str">
        <f>VLOOKUP(Tabla_Consulta_desde_Proyectos10[[#This Row],[PRYRAfecha]],'Fechas Mes'!G:J,4,TRUE)</f>
        <v>Semana 48CIP2</v>
      </c>
      <c r="AD259" t="str">
        <f>IFERROR(VLOOKUP(Tabla_Consulta_desde_Proyectos10[[#This Row],[PRYcodigo]],Catálogo!A:B,2,FALSE),"Otros")</f>
        <v>Otros</v>
      </c>
      <c r="AE259" t="str">
        <f>IF(LEN(Tabla_Consulta_desde_Proyectos10[[#This Row],[Semana]])&lt;13,"CI",RIGHT(Tabla_Consulta_desde_Proyectos10[[#This Row],[Semana]],4))</f>
        <v>CIP2</v>
      </c>
    </row>
    <row r="260" spans="1:31">
      <c r="A260" t="s">
        <v>4032</v>
      </c>
      <c r="B260" t="s">
        <v>5344</v>
      </c>
      <c r="C260" t="s">
        <v>5345</v>
      </c>
      <c r="D260" t="s">
        <v>7199</v>
      </c>
      <c r="E260" t="s">
        <v>7200</v>
      </c>
      <c r="F260">
        <v>1</v>
      </c>
      <c r="G260" t="s">
        <v>7223</v>
      </c>
      <c r="H260" t="s">
        <v>646</v>
      </c>
      <c r="I260" t="s">
        <v>647</v>
      </c>
      <c r="J260" t="s">
        <v>1763</v>
      </c>
      <c r="K260" t="s">
        <v>1764</v>
      </c>
      <c r="L260" s="4">
        <v>46113</v>
      </c>
      <c r="M260" t="s">
        <v>7678</v>
      </c>
      <c r="N260">
        <v>0.5</v>
      </c>
      <c r="O260">
        <v>3000000001822243</v>
      </c>
      <c r="P260" t="s">
        <v>6782</v>
      </c>
      <c r="Q260" t="s">
        <v>7210</v>
      </c>
      <c r="W260" t="str">
        <f>Tabla_Consulta_desde_Proyectos10[[#This Row],[PRYcodigo]]&amp;Tabla_Consulta_desde_Proyectos10[[#This Row],[PRYApath]]</f>
        <v>151-400-RGT2.0/0020/0002</v>
      </c>
      <c r="X260" t="str">
        <f>Tabla_Consulta_desde_Proyectos10[[#This Row],[PRYAcodigo]]&amp;" - "&amp;Tabla_Consulta_desde_Proyectos10[[#This Row],[PRYAdescripcion]]</f>
        <v>1 - LIBERACIÓN DE SOFTWARE Y DEPLOYMENTS</v>
      </c>
      <c r="Y260" t="str">
        <f>SUBSTITUTE(IFERROR(VLOOKUP(LEFT(Tabla_Consulta_desde_Proyectos10[[#This Row],[Nivel1]],LEN(Tabla_Consulta_desde_Proyectos10[[#This Row],[Nivel1]])-5),Tabla_Consulta_desde_Proyectos10[[#All],[Nivel1]:[Actividad]],2,FALSE),""),"_","-")</f>
        <v>500.1-RM - ACTIVIDADES DEL EQUIPO DE RELEASE MANAGMENT</v>
      </c>
      <c r="Z260" t="str">
        <f>IFERROR(VLOOKUP(Tabla_Consulta_desde_Proyectos10[[#This Row],[PRYRAfecha]],'Fechas Mes'!G:J,4,TRUE),"")</f>
        <v>Semana 48CIP2</v>
      </c>
      <c r="AA260" t="str" cm="1">
        <f t="array" ref="AA260">INDEX('Fechas Mes'!F:F,MATCH(Tabla_Consulta_desde_Proyectos10[[#This Row],[Semana]],'Fechas Mes'!J:J,0),)</f>
        <v>M12CIP2</v>
      </c>
      <c r="AB260">
        <f>YEAR(Tabla_Consulta_desde_Proyectos10[[#This Row],[PRYRAfecha]])</f>
        <v>2026</v>
      </c>
      <c r="AC260" t="str">
        <f>VLOOKUP(Tabla_Consulta_desde_Proyectos10[[#This Row],[PRYRAfecha]],'Fechas Mes'!G:J,4,TRUE)</f>
        <v>Semana 48CIP2</v>
      </c>
      <c r="AD260" t="str">
        <f>IFERROR(VLOOKUP(Tabla_Consulta_desde_Proyectos10[[#This Row],[PRYcodigo]],Catálogo!A:B,2,FALSE),"Otros")</f>
        <v>Otros</v>
      </c>
      <c r="AE260" t="str">
        <f>IF(LEN(Tabla_Consulta_desde_Proyectos10[[#This Row],[Semana]])&lt;13,"CI",RIGHT(Tabla_Consulta_desde_Proyectos10[[#This Row],[Semana]],4))</f>
        <v>CIP2</v>
      </c>
    </row>
    <row r="261" spans="1:31">
      <c r="A261" t="s">
        <v>4032</v>
      </c>
      <c r="B261" t="s">
        <v>5344</v>
      </c>
      <c r="C261" t="s">
        <v>5345</v>
      </c>
      <c r="D261" t="s">
        <v>7199</v>
      </c>
      <c r="E261" t="s">
        <v>7200</v>
      </c>
      <c r="F261">
        <v>1</v>
      </c>
      <c r="G261" t="s">
        <v>7223</v>
      </c>
      <c r="H261" t="s">
        <v>646</v>
      </c>
      <c r="I261" t="s">
        <v>647</v>
      </c>
      <c r="J261" t="s">
        <v>1763</v>
      </c>
      <c r="K261" t="s">
        <v>1764</v>
      </c>
      <c r="L261" s="4">
        <v>46113</v>
      </c>
      <c r="M261" t="s">
        <v>7679</v>
      </c>
      <c r="N261">
        <v>1.5</v>
      </c>
      <c r="O261">
        <v>3000000001822246</v>
      </c>
      <c r="P261" t="s">
        <v>6782</v>
      </c>
      <c r="Q261" t="s">
        <v>7212</v>
      </c>
      <c r="W261" t="str">
        <f>Tabla_Consulta_desde_Proyectos10[[#This Row],[PRYcodigo]]&amp;Tabla_Consulta_desde_Proyectos10[[#This Row],[PRYApath]]</f>
        <v>151-400-RGT2.0/0020/0002</v>
      </c>
      <c r="X261" t="str">
        <f>Tabla_Consulta_desde_Proyectos10[[#This Row],[PRYAcodigo]]&amp;" - "&amp;Tabla_Consulta_desde_Proyectos10[[#This Row],[PRYAdescripcion]]</f>
        <v>1 - LIBERACIÓN DE SOFTWARE Y DEPLOYMENTS</v>
      </c>
      <c r="Y261" t="str">
        <f>SUBSTITUTE(IFERROR(VLOOKUP(LEFT(Tabla_Consulta_desde_Proyectos10[[#This Row],[Nivel1]],LEN(Tabla_Consulta_desde_Proyectos10[[#This Row],[Nivel1]])-5),Tabla_Consulta_desde_Proyectos10[[#All],[Nivel1]:[Actividad]],2,FALSE),""),"_","-")</f>
        <v>500.1-RM - ACTIVIDADES DEL EQUIPO DE RELEASE MANAGMENT</v>
      </c>
      <c r="Z261" t="str">
        <f>IFERROR(VLOOKUP(Tabla_Consulta_desde_Proyectos10[[#This Row],[PRYRAfecha]],'Fechas Mes'!G:J,4,TRUE),"")</f>
        <v>Semana 48CIP2</v>
      </c>
      <c r="AA261" t="str" cm="1">
        <f t="array" ref="AA261">INDEX('Fechas Mes'!F:F,MATCH(Tabla_Consulta_desde_Proyectos10[[#This Row],[Semana]],'Fechas Mes'!J:J,0),)</f>
        <v>M12CIP2</v>
      </c>
      <c r="AB261">
        <f>YEAR(Tabla_Consulta_desde_Proyectos10[[#This Row],[PRYRAfecha]])</f>
        <v>2026</v>
      </c>
      <c r="AC261" t="str">
        <f>VLOOKUP(Tabla_Consulta_desde_Proyectos10[[#This Row],[PRYRAfecha]],'Fechas Mes'!G:J,4,TRUE)</f>
        <v>Semana 48CIP2</v>
      </c>
      <c r="AD261" t="str">
        <f>IFERROR(VLOOKUP(Tabla_Consulta_desde_Proyectos10[[#This Row],[PRYcodigo]],Catálogo!A:B,2,FALSE),"Otros")</f>
        <v>Otros</v>
      </c>
      <c r="AE261" t="str">
        <f>IF(LEN(Tabla_Consulta_desde_Proyectos10[[#This Row],[Semana]])&lt;13,"CI",RIGHT(Tabla_Consulta_desde_Proyectos10[[#This Row],[Semana]],4))</f>
        <v>CIP2</v>
      </c>
    </row>
    <row r="262" spans="1:31">
      <c r="A262" t="s">
        <v>4032</v>
      </c>
      <c r="B262" t="s">
        <v>5344</v>
      </c>
      <c r="C262" t="s">
        <v>5345</v>
      </c>
      <c r="D262" t="s">
        <v>7199</v>
      </c>
      <c r="E262" t="s">
        <v>7200</v>
      </c>
      <c r="F262">
        <v>1</v>
      </c>
      <c r="G262" t="s">
        <v>7223</v>
      </c>
      <c r="H262" t="s">
        <v>646</v>
      </c>
      <c r="I262" t="s">
        <v>647</v>
      </c>
      <c r="J262" t="s">
        <v>1763</v>
      </c>
      <c r="K262" t="s">
        <v>1764</v>
      </c>
      <c r="L262" s="4">
        <v>46118</v>
      </c>
      <c r="M262" t="s">
        <v>7680</v>
      </c>
      <c r="N262">
        <v>1</v>
      </c>
      <c r="O262">
        <v>3000000001823357</v>
      </c>
      <c r="P262" t="s">
        <v>6782</v>
      </c>
      <c r="Q262" t="s">
        <v>7210</v>
      </c>
      <c r="W262" t="str">
        <f>Tabla_Consulta_desde_Proyectos10[[#This Row],[PRYcodigo]]&amp;Tabla_Consulta_desde_Proyectos10[[#This Row],[PRYApath]]</f>
        <v>151-400-RGT2.0/0020/0002</v>
      </c>
      <c r="X262" t="str">
        <f>Tabla_Consulta_desde_Proyectos10[[#This Row],[PRYAcodigo]]&amp;" - "&amp;Tabla_Consulta_desde_Proyectos10[[#This Row],[PRYAdescripcion]]</f>
        <v>1 - LIBERACIÓN DE SOFTWARE Y DEPLOYMENTS</v>
      </c>
      <c r="Y262" t="str">
        <f>SUBSTITUTE(IFERROR(VLOOKUP(LEFT(Tabla_Consulta_desde_Proyectos10[[#This Row],[Nivel1]],LEN(Tabla_Consulta_desde_Proyectos10[[#This Row],[Nivel1]])-5),Tabla_Consulta_desde_Proyectos10[[#All],[Nivel1]:[Actividad]],2,FALSE),""),"_","-")</f>
        <v>500.1-RM - ACTIVIDADES DEL EQUIPO DE RELEASE MANAGMENT</v>
      </c>
      <c r="Z262" t="str">
        <f>IFERROR(VLOOKUP(Tabla_Consulta_desde_Proyectos10[[#This Row],[PRYRAfecha]],'Fechas Mes'!G:J,4,TRUE),"")</f>
        <v>Semana 48CIP2</v>
      </c>
      <c r="AA262" t="str" cm="1">
        <f t="array" ref="AA262">INDEX('Fechas Mes'!F:F,MATCH(Tabla_Consulta_desde_Proyectos10[[#This Row],[Semana]],'Fechas Mes'!J:J,0),)</f>
        <v>M12CIP2</v>
      </c>
      <c r="AB262">
        <f>YEAR(Tabla_Consulta_desde_Proyectos10[[#This Row],[PRYRAfecha]])</f>
        <v>2026</v>
      </c>
      <c r="AC262" t="str">
        <f>VLOOKUP(Tabla_Consulta_desde_Proyectos10[[#This Row],[PRYRAfecha]],'Fechas Mes'!G:J,4,TRUE)</f>
        <v>Semana 48CIP2</v>
      </c>
      <c r="AD262" t="str">
        <f>IFERROR(VLOOKUP(Tabla_Consulta_desde_Proyectos10[[#This Row],[PRYcodigo]],Catálogo!A:B,2,FALSE),"Otros")</f>
        <v>Otros</v>
      </c>
      <c r="AE262" t="str">
        <f>IF(LEN(Tabla_Consulta_desde_Proyectos10[[#This Row],[Semana]])&lt;13,"CI",RIGHT(Tabla_Consulta_desde_Proyectos10[[#This Row],[Semana]],4))</f>
        <v>CIP2</v>
      </c>
    </row>
    <row r="263" spans="1:31">
      <c r="A263" t="s">
        <v>4032</v>
      </c>
      <c r="B263" t="s">
        <v>5344</v>
      </c>
      <c r="C263" t="s">
        <v>5345</v>
      </c>
      <c r="D263" t="s">
        <v>7199</v>
      </c>
      <c r="E263" t="s">
        <v>7200</v>
      </c>
      <c r="F263">
        <v>1</v>
      </c>
      <c r="G263" t="s">
        <v>7223</v>
      </c>
      <c r="H263" t="s">
        <v>646</v>
      </c>
      <c r="I263" t="s">
        <v>647</v>
      </c>
      <c r="J263" t="s">
        <v>1763</v>
      </c>
      <c r="K263" t="s">
        <v>1764</v>
      </c>
      <c r="L263" s="4">
        <v>46118</v>
      </c>
      <c r="M263" t="s">
        <v>7681</v>
      </c>
      <c r="N263">
        <v>1</v>
      </c>
      <c r="O263">
        <v>3000000001823785</v>
      </c>
      <c r="P263" t="s">
        <v>6782</v>
      </c>
      <c r="Q263" t="s">
        <v>7212</v>
      </c>
      <c r="W263" t="str">
        <f>Tabla_Consulta_desde_Proyectos10[[#This Row],[PRYcodigo]]&amp;Tabla_Consulta_desde_Proyectos10[[#This Row],[PRYApath]]</f>
        <v>151-400-RGT2.0/0020/0002</v>
      </c>
      <c r="X263" t="str">
        <f>Tabla_Consulta_desde_Proyectos10[[#This Row],[PRYAcodigo]]&amp;" - "&amp;Tabla_Consulta_desde_Proyectos10[[#This Row],[PRYAdescripcion]]</f>
        <v>1 - LIBERACIÓN DE SOFTWARE Y DEPLOYMENTS</v>
      </c>
      <c r="Y263" t="str">
        <f>SUBSTITUTE(IFERROR(VLOOKUP(LEFT(Tabla_Consulta_desde_Proyectos10[[#This Row],[Nivel1]],LEN(Tabla_Consulta_desde_Proyectos10[[#This Row],[Nivel1]])-5),Tabla_Consulta_desde_Proyectos10[[#All],[Nivel1]:[Actividad]],2,FALSE),""),"_","-")</f>
        <v>500.1-RM - ACTIVIDADES DEL EQUIPO DE RELEASE MANAGMENT</v>
      </c>
      <c r="Z263" t="str">
        <f>IFERROR(VLOOKUP(Tabla_Consulta_desde_Proyectos10[[#This Row],[PRYRAfecha]],'Fechas Mes'!G:J,4,TRUE),"")</f>
        <v>Semana 48CIP2</v>
      </c>
      <c r="AA263" t="str" cm="1">
        <f t="array" ref="AA263">INDEX('Fechas Mes'!F:F,MATCH(Tabla_Consulta_desde_Proyectos10[[#This Row],[Semana]],'Fechas Mes'!J:J,0),)</f>
        <v>M12CIP2</v>
      </c>
      <c r="AB263">
        <f>YEAR(Tabla_Consulta_desde_Proyectos10[[#This Row],[PRYRAfecha]])</f>
        <v>2026</v>
      </c>
      <c r="AC263" t="str">
        <f>VLOOKUP(Tabla_Consulta_desde_Proyectos10[[#This Row],[PRYRAfecha]],'Fechas Mes'!G:J,4,TRUE)</f>
        <v>Semana 48CIP2</v>
      </c>
      <c r="AD263" t="str">
        <f>IFERROR(VLOOKUP(Tabla_Consulta_desde_Proyectos10[[#This Row],[PRYcodigo]],Catálogo!A:B,2,FALSE),"Otros")</f>
        <v>Otros</v>
      </c>
      <c r="AE263" t="str">
        <f>IF(LEN(Tabla_Consulta_desde_Proyectos10[[#This Row],[Semana]])&lt;13,"CI",RIGHT(Tabla_Consulta_desde_Proyectos10[[#This Row],[Semana]],4))</f>
        <v>CIP2</v>
      </c>
    </row>
    <row r="264" spans="1:31">
      <c r="A264" t="s">
        <v>4032</v>
      </c>
      <c r="B264" t="s">
        <v>5344</v>
      </c>
      <c r="C264" t="s">
        <v>5345</v>
      </c>
      <c r="D264" t="s">
        <v>7199</v>
      </c>
      <c r="E264" t="s">
        <v>7200</v>
      </c>
      <c r="F264">
        <v>1</v>
      </c>
      <c r="G264" t="s">
        <v>7223</v>
      </c>
      <c r="H264" t="s">
        <v>646</v>
      </c>
      <c r="I264" t="s">
        <v>647</v>
      </c>
      <c r="J264" t="s">
        <v>1763</v>
      </c>
      <c r="K264" t="s">
        <v>1764</v>
      </c>
      <c r="L264" s="4">
        <v>46119</v>
      </c>
      <c r="M264" t="s">
        <v>7682</v>
      </c>
      <c r="N264">
        <v>0.5</v>
      </c>
      <c r="O264">
        <v>3000000001823788</v>
      </c>
      <c r="P264" t="s">
        <v>6782</v>
      </c>
      <c r="Q264" t="s">
        <v>7210</v>
      </c>
      <c r="W264" t="str">
        <f>Tabla_Consulta_desde_Proyectos10[[#This Row],[PRYcodigo]]&amp;Tabla_Consulta_desde_Proyectos10[[#This Row],[PRYApath]]</f>
        <v>151-400-RGT2.0/0020/0002</v>
      </c>
      <c r="X264" t="str">
        <f>Tabla_Consulta_desde_Proyectos10[[#This Row],[PRYAcodigo]]&amp;" - "&amp;Tabla_Consulta_desde_Proyectos10[[#This Row],[PRYAdescripcion]]</f>
        <v>1 - LIBERACIÓN DE SOFTWARE Y DEPLOYMENTS</v>
      </c>
      <c r="Y264" t="str">
        <f>SUBSTITUTE(IFERROR(VLOOKUP(LEFT(Tabla_Consulta_desde_Proyectos10[[#This Row],[Nivel1]],LEN(Tabla_Consulta_desde_Proyectos10[[#This Row],[Nivel1]])-5),Tabla_Consulta_desde_Proyectos10[[#All],[Nivel1]:[Actividad]],2,FALSE),""),"_","-")</f>
        <v>500.1-RM - ACTIVIDADES DEL EQUIPO DE RELEASE MANAGMENT</v>
      </c>
      <c r="Z264" t="str">
        <f>IFERROR(VLOOKUP(Tabla_Consulta_desde_Proyectos10[[#This Row],[PRYRAfecha]],'Fechas Mes'!G:J,4,TRUE),"")</f>
        <v>Semana 48CIP2</v>
      </c>
      <c r="AA264" t="str" cm="1">
        <f t="array" ref="AA264">INDEX('Fechas Mes'!F:F,MATCH(Tabla_Consulta_desde_Proyectos10[[#This Row],[Semana]],'Fechas Mes'!J:J,0),)</f>
        <v>M12CIP2</v>
      </c>
      <c r="AB264">
        <f>YEAR(Tabla_Consulta_desde_Proyectos10[[#This Row],[PRYRAfecha]])</f>
        <v>2026</v>
      </c>
      <c r="AC264" t="str">
        <f>VLOOKUP(Tabla_Consulta_desde_Proyectos10[[#This Row],[PRYRAfecha]],'Fechas Mes'!G:J,4,TRUE)</f>
        <v>Semana 48CIP2</v>
      </c>
      <c r="AD264" t="str">
        <f>IFERROR(VLOOKUP(Tabla_Consulta_desde_Proyectos10[[#This Row],[PRYcodigo]],Catálogo!A:B,2,FALSE),"Otros")</f>
        <v>Otros</v>
      </c>
      <c r="AE264" t="str">
        <f>IF(LEN(Tabla_Consulta_desde_Proyectos10[[#This Row],[Semana]])&lt;13,"CI",RIGHT(Tabla_Consulta_desde_Proyectos10[[#This Row],[Semana]],4))</f>
        <v>CIP2</v>
      </c>
    </row>
    <row r="265" spans="1:31">
      <c r="A265" t="s">
        <v>4032</v>
      </c>
      <c r="B265" t="s">
        <v>5344</v>
      </c>
      <c r="C265" t="s">
        <v>5345</v>
      </c>
      <c r="D265" t="s">
        <v>7199</v>
      </c>
      <c r="E265" t="s">
        <v>7200</v>
      </c>
      <c r="F265">
        <v>1</v>
      </c>
      <c r="G265" t="s">
        <v>7223</v>
      </c>
      <c r="H265" t="s">
        <v>646</v>
      </c>
      <c r="I265" t="s">
        <v>647</v>
      </c>
      <c r="J265" t="s">
        <v>1763</v>
      </c>
      <c r="K265" t="s">
        <v>1764</v>
      </c>
      <c r="L265" s="4">
        <v>46119</v>
      </c>
      <c r="M265" t="s">
        <v>7683</v>
      </c>
      <c r="N265">
        <v>1</v>
      </c>
      <c r="O265">
        <v>3000000001823797</v>
      </c>
      <c r="P265" t="s">
        <v>6782</v>
      </c>
      <c r="Q265" t="s">
        <v>7212</v>
      </c>
      <c r="W265" t="str">
        <f>Tabla_Consulta_desde_Proyectos10[[#This Row],[PRYcodigo]]&amp;Tabla_Consulta_desde_Proyectos10[[#This Row],[PRYApath]]</f>
        <v>151-400-RGT2.0/0020/0002</v>
      </c>
      <c r="X265" t="str">
        <f>Tabla_Consulta_desde_Proyectos10[[#This Row],[PRYAcodigo]]&amp;" - "&amp;Tabla_Consulta_desde_Proyectos10[[#This Row],[PRYAdescripcion]]</f>
        <v>1 - LIBERACIÓN DE SOFTWARE Y DEPLOYMENTS</v>
      </c>
      <c r="Y265" t="str">
        <f>SUBSTITUTE(IFERROR(VLOOKUP(LEFT(Tabla_Consulta_desde_Proyectos10[[#This Row],[Nivel1]],LEN(Tabla_Consulta_desde_Proyectos10[[#This Row],[Nivel1]])-5),Tabla_Consulta_desde_Proyectos10[[#All],[Nivel1]:[Actividad]],2,FALSE),""),"_","-")</f>
        <v>500.1-RM - ACTIVIDADES DEL EQUIPO DE RELEASE MANAGMENT</v>
      </c>
      <c r="Z265" t="str">
        <f>IFERROR(VLOOKUP(Tabla_Consulta_desde_Proyectos10[[#This Row],[PRYRAfecha]],'Fechas Mes'!G:J,4,TRUE),"")</f>
        <v>Semana 48CIP2</v>
      </c>
      <c r="AA265" t="str" cm="1">
        <f t="array" ref="AA265">INDEX('Fechas Mes'!F:F,MATCH(Tabla_Consulta_desde_Proyectos10[[#This Row],[Semana]],'Fechas Mes'!J:J,0),)</f>
        <v>M12CIP2</v>
      </c>
      <c r="AB265">
        <f>YEAR(Tabla_Consulta_desde_Proyectos10[[#This Row],[PRYRAfecha]])</f>
        <v>2026</v>
      </c>
      <c r="AC265" t="str">
        <f>VLOOKUP(Tabla_Consulta_desde_Proyectos10[[#This Row],[PRYRAfecha]],'Fechas Mes'!G:J,4,TRUE)</f>
        <v>Semana 48CIP2</v>
      </c>
      <c r="AD265" t="str">
        <f>IFERROR(VLOOKUP(Tabla_Consulta_desde_Proyectos10[[#This Row],[PRYcodigo]],Catálogo!A:B,2,FALSE),"Otros")</f>
        <v>Otros</v>
      </c>
      <c r="AE265" t="str">
        <f>IF(LEN(Tabla_Consulta_desde_Proyectos10[[#This Row],[Semana]])&lt;13,"CI",RIGHT(Tabla_Consulta_desde_Proyectos10[[#This Row],[Semana]],4))</f>
        <v>CIP2</v>
      </c>
    </row>
    <row r="266" spans="1:31">
      <c r="A266" t="s">
        <v>4032</v>
      </c>
      <c r="B266" t="s">
        <v>5344</v>
      </c>
      <c r="C266" t="s">
        <v>5345</v>
      </c>
      <c r="D266" t="s">
        <v>7199</v>
      </c>
      <c r="E266" t="s">
        <v>7200</v>
      </c>
      <c r="F266">
        <v>1</v>
      </c>
      <c r="G266" t="s">
        <v>7223</v>
      </c>
      <c r="H266" t="s">
        <v>646</v>
      </c>
      <c r="I266" t="s">
        <v>647</v>
      </c>
      <c r="J266" t="s">
        <v>1763</v>
      </c>
      <c r="K266" t="s">
        <v>1764</v>
      </c>
      <c r="L266" s="4">
        <v>46120</v>
      </c>
      <c r="M266" t="s">
        <v>7684</v>
      </c>
      <c r="N266">
        <v>1</v>
      </c>
      <c r="O266">
        <v>3000000001823798</v>
      </c>
      <c r="P266" t="s">
        <v>6782</v>
      </c>
      <c r="Q266" t="s">
        <v>7212</v>
      </c>
      <c r="W266" t="str">
        <f>Tabla_Consulta_desde_Proyectos10[[#This Row],[PRYcodigo]]&amp;Tabla_Consulta_desde_Proyectos10[[#This Row],[PRYApath]]</f>
        <v>151-400-RGT2.0/0020/0002</v>
      </c>
      <c r="X266" t="str">
        <f>Tabla_Consulta_desde_Proyectos10[[#This Row],[PRYAcodigo]]&amp;" - "&amp;Tabla_Consulta_desde_Proyectos10[[#This Row],[PRYAdescripcion]]</f>
        <v>1 - LIBERACIÓN DE SOFTWARE Y DEPLOYMENTS</v>
      </c>
      <c r="Y266" t="str">
        <f>SUBSTITUTE(IFERROR(VLOOKUP(LEFT(Tabla_Consulta_desde_Proyectos10[[#This Row],[Nivel1]],LEN(Tabla_Consulta_desde_Proyectos10[[#This Row],[Nivel1]])-5),Tabla_Consulta_desde_Proyectos10[[#All],[Nivel1]:[Actividad]],2,FALSE),""),"_","-")</f>
        <v>500.1-RM - ACTIVIDADES DEL EQUIPO DE RELEASE MANAGMENT</v>
      </c>
      <c r="Z266" t="str">
        <f>IFERROR(VLOOKUP(Tabla_Consulta_desde_Proyectos10[[#This Row],[PRYRAfecha]],'Fechas Mes'!G:J,4,TRUE),"")</f>
        <v>Semana 48CIP2</v>
      </c>
      <c r="AA266" t="str" cm="1">
        <f t="array" ref="AA266">INDEX('Fechas Mes'!F:F,MATCH(Tabla_Consulta_desde_Proyectos10[[#This Row],[Semana]],'Fechas Mes'!J:J,0),)</f>
        <v>M12CIP2</v>
      </c>
      <c r="AB266">
        <f>YEAR(Tabla_Consulta_desde_Proyectos10[[#This Row],[PRYRAfecha]])</f>
        <v>2026</v>
      </c>
      <c r="AC266" t="str">
        <f>VLOOKUP(Tabla_Consulta_desde_Proyectos10[[#This Row],[PRYRAfecha]],'Fechas Mes'!G:J,4,TRUE)</f>
        <v>Semana 48CIP2</v>
      </c>
      <c r="AD266" t="str">
        <f>IFERROR(VLOOKUP(Tabla_Consulta_desde_Proyectos10[[#This Row],[PRYcodigo]],Catálogo!A:B,2,FALSE),"Otros")</f>
        <v>Otros</v>
      </c>
      <c r="AE266" t="str">
        <f>IF(LEN(Tabla_Consulta_desde_Proyectos10[[#This Row],[Semana]])&lt;13,"CI",RIGHT(Tabla_Consulta_desde_Proyectos10[[#This Row],[Semana]],4))</f>
        <v>CIP2</v>
      </c>
    </row>
    <row r="267" spans="1:31">
      <c r="A267" t="s">
        <v>4032</v>
      </c>
      <c r="B267" t="s">
        <v>5344</v>
      </c>
      <c r="C267" t="s">
        <v>5345</v>
      </c>
      <c r="D267" t="s">
        <v>7199</v>
      </c>
      <c r="E267" t="s">
        <v>7200</v>
      </c>
      <c r="F267">
        <v>1</v>
      </c>
      <c r="G267" t="s">
        <v>7223</v>
      </c>
      <c r="H267" t="s">
        <v>646</v>
      </c>
      <c r="I267" t="s">
        <v>647</v>
      </c>
      <c r="J267" t="s">
        <v>1763</v>
      </c>
      <c r="K267" t="s">
        <v>1764</v>
      </c>
      <c r="L267" s="4">
        <v>46120</v>
      </c>
      <c r="M267" t="s">
        <v>7685</v>
      </c>
      <c r="N267">
        <v>0.5</v>
      </c>
      <c r="O267">
        <v>3000000001824060</v>
      </c>
      <c r="P267" t="s">
        <v>6782</v>
      </c>
      <c r="Q267" t="s">
        <v>7212</v>
      </c>
      <c r="W267" t="str">
        <f>Tabla_Consulta_desde_Proyectos10[[#This Row],[PRYcodigo]]&amp;Tabla_Consulta_desde_Proyectos10[[#This Row],[PRYApath]]</f>
        <v>151-400-RGT2.0/0020/0002</v>
      </c>
      <c r="X267" t="str">
        <f>Tabla_Consulta_desde_Proyectos10[[#This Row],[PRYAcodigo]]&amp;" - "&amp;Tabla_Consulta_desde_Proyectos10[[#This Row],[PRYAdescripcion]]</f>
        <v>1 - LIBERACIÓN DE SOFTWARE Y DEPLOYMENTS</v>
      </c>
      <c r="Y267" t="str">
        <f>SUBSTITUTE(IFERROR(VLOOKUP(LEFT(Tabla_Consulta_desde_Proyectos10[[#This Row],[Nivel1]],LEN(Tabla_Consulta_desde_Proyectos10[[#This Row],[Nivel1]])-5),Tabla_Consulta_desde_Proyectos10[[#All],[Nivel1]:[Actividad]],2,FALSE),""),"_","-")</f>
        <v>500.1-RM - ACTIVIDADES DEL EQUIPO DE RELEASE MANAGMENT</v>
      </c>
      <c r="Z267" t="str">
        <f>IFERROR(VLOOKUP(Tabla_Consulta_desde_Proyectos10[[#This Row],[PRYRAfecha]],'Fechas Mes'!G:J,4,TRUE),"")</f>
        <v>Semana 48CIP2</v>
      </c>
      <c r="AA267" t="str" cm="1">
        <f t="array" ref="AA267">INDEX('Fechas Mes'!F:F,MATCH(Tabla_Consulta_desde_Proyectos10[[#This Row],[Semana]],'Fechas Mes'!J:J,0),)</f>
        <v>M12CIP2</v>
      </c>
      <c r="AB267">
        <f>YEAR(Tabla_Consulta_desde_Proyectos10[[#This Row],[PRYRAfecha]])</f>
        <v>2026</v>
      </c>
      <c r="AC267" t="str">
        <f>VLOOKUP(Tabla_Consulta_desde_Proyectos10[[#This Row],[PRYRAfecha]],'Fechas Mes'!G:J,4,TRUE)</f>
        <v>Semana 48CIP2</v>
      </c>
      <c r="AD267" t="str">
        <f>IFERROR(VLOOKUP(Tabla_Consulta_desde_Proyectos10[[#This Row],[PRYcodigo]],Catálogo!A:B,2,FALSE),"Otros")</f>
        <v>Otros</v>
      </c>
      <c r="AE267" t="str">
        <f>IF(LEN(Tabla_Consulta_desde_Proyectos10[[#This Row],[Semana]])&lt;13,"CI",RIGHT(Tabla_Consulta_desde_Proyectos10[[#This Row],[Semana]],4))</f>
        <v>CIP2</v>
      </c>
    </row>
    <row r="268" spans="1:31">
      <c r="A268" t="s">
        <v>4032</v>
      </c>
      <c r="B268" t="s">
        <v>5344</v>
      </c>
      <c r="C268" t="s">
        <v>5345</v>
      </c>
      <c r="D268" t="s">
        <v>7199</v>
      </c>
      <c r="E268" t="s">
        <v>7200</v>
      </c>
      <c r="F268">
        <v>1</v>
      </c>
      <c r="G268" t="s">
        <v>7223</v>
      </c>
      <c r="H268" t="s">
        <v>646</v>
      </c>
      <c r="I268" t="s">
        <v>647</v>
      </c>
      <c r="J268" t="s">
        <v>1763</v>
      </c>
      <c r="K268" t="s">
        <v>1764</v>
      </c>
      <c r="L268" s="4">
        <v>46121</v>
      </c>
      <c r="M268" t="s">
        <v>7686</v>
      </c>
      <c r="N268">
        <v>0.5</v>
      </c>
      <c r="O268">
        <v>3000000001824887</v>
      </c>
      <c r="P268" t="s">
        <v>6782</v>
      </c>
      <c r="Q268" t="s">
        <v>7212</v>
      </c>
      <c r="W268" t="str">
        <f>Tabla_Consulta_desde_Proyectos10[[#This Row],[PRYcodigo]]&amp;Tabla_Consulta_desde_Proyectos10[[#This Row],[PRYApath]]</f>
        <v>151-400-RGT2.0/0020/0002</v>
      </c>
      <c r="X268" t="str">
        <f>Tabla_Consulta_desde_Proyectos10[[#This Row],[PRYAcodigo]]&amp;" - "&amp;Tabla_Consulta_desde_Proyectos10[[#This Row],[PRYAdescripcion]]</f>
        <v>1 - LIBERACIÓN DE SOFTWARE Y DEPLOYMENTS</v>
      </c>
      <c r="Y268" t="str">
        <f>SUBSTITUTE(IFERROR(VLOOKUP(LEFT(Tabla_Consulta_desde_Proyectos10[[#This Row],[Nivel1]],LEN(Tabla_Consulta_desde_Proyectos10[[#This Row],[Nivel1]])-5),Tabla_Consulta_desde_Proyectos10[[#All],[Nivel1]:[Actividad]],2,FALSE),""),"_","-")</f>
        <v>500.1-RM - ACTIVIDADES DEL EQUIPO DE RELEASE MANAGMENT</v>
      </c>
      <c r="Z268" t="str">
        <f>IFERROR(VLOOKUP(Tabla_Consulta_desde_Proyectos10[[#This Row],[PRYRAfecha]],'Fechas Mes'!G:J,4,TRUE),"")</f>
        <v>Semana 48CIP2</v>
      </c>
      <c r="AA268" t="str" cm="1">
        <f t="array" ref="AA268">INDEX('Fechas Mes'!F:F,MATCH(Tabla_Consulta_desde_Proyectos10[[#This Row],[Semana]],'Fechas Mes'!J:J,0),)</f>
        <v>M12CIP2</v>
      </c>
      <c r="AB268">
        <f>YEAR(Tabla_Consulta_desde_Proyectos10[[#This Row],[PRYRAfecha]])</f>
        <v>2026</v>
      </c>
      <c r="AC268" t="str">
        <f>VLOOKUP(Tabla_Consulta_desde_Proyectos10[[#This Row],[PRYRAfecha]],'Fechas Mes'!G:J,4,TRUE)</f>
        <v>Semana 48CIP2</v>
      </c>
      <c r="AD268" t="str">
        <f>IFERROR(VLOOKUP(Tabla_Consulta_desde_Proyectos10[[#This Row],[PRYcodigo]],Catálogo!A:B,2,FALSE),"Otros")</f>
        <v>Otros</v>
      </c>
      <c r="AE268" t="str">
        <f>IF(LEN(Tabla_Consulta_desde_Proyectos10[[#This Row],[Semana]])&lt;13,"CI",RIGHT(Tabla_Consulta_desde_Proyectos10[[#This Row],[Semana]],4))</f>
        <v>CIP2</v>
      </c>
    </row>
    <row r="269" spans="1:31">
      <c r="A269" t="s">
        <v>4032</v>
      </c>
      <c r="B269" t="s">
        <v>5344</v>
      </c>
      <c r="C269" t="s">
        <v>5345</v>
      </c>
      <c r="D269" t="s">
        <v>7199</v>
      </c>
      <c r="E269" t="s">
        <v>7200</v>
      </c>
      <c r="F269">
        <v>1</v>
      </c>
      <c r="G269" t="s">
        <v>7223</v>
      </c>
      <c r="H269" t="s">
        <v>646</v>
      </c>
      <c r="I269" t="s">
        <v>647</v>
      </c>
      <c r="J269" t="s">
        <v>1763</v>
      </c>
      <c r="K269" t="s">
        <v>1764</v>
      </c>
      <c r="L269" s="4">
        <v>46121</v>
      </c>
      <c r="M269" t="s">
        <v>7687</v>
      </c>
      <c r="N269">
        <v>0.5</v>
      </c>
      <c r="O269">
        <v>3000000001824908</v>
      </c>
      <c r="P269" t="s">
        <v>6782</v>
      </c>
      <c r="Q269" t="s">
        <v>7198</v>
      </c>
      <c r="W269" t="str">
        <f>Tabla_Consulta_desde_Proyectos10[[#This Row],[PRYcodigo]]&amp;Tabla_Consulta_desde_Proyectos10[[#This Row],[PRYApath]]</f>
        <v>151-400-RGT2.0/0020/0002</v>
      </c>
      <c r="X269" t="str">
        <f>Tabla_Consulta_desde_Proyectos10[[#This Row],[PRYAcodigo]]&amp;" - "&amp;Tabla_Consulta_desde_Proyectos10[[#This Row],[PRYAdescripcion]]</f>
        <v>1 - LIBERACIÓN DE SOFTWARE Y DEPLOYMENTS</v>
      </c>
      <c r="Y269" t="str">
        <f>SUBSTITUTE(IFERROR(VLOOKUP(LEFT(Tabla_Consulta_desde_Proyectos10[[#This Row],[Nivel1]],LEN(Tabla_Consulta_desde_Proyectos10[[#This Row],[Nivel1]])-5),Tabla_Consulta_desde_Proyectos10[[#All],[Nivel1]:[Actividad]],2,FALSE),""),"_","-")</f>
        <v>500.1-RM - ACTIVIDADES DEL EQUIPO DE RELEASE MANAGMENT</v>
      </c>
      <c r="Z269" t="str">
        <f>IFERROR(VLOOKUP(Tabla_Consulta_desde_Proyectos10[[#This Row],[PRYRAfecha]],'Fechas Mes'!G:J,4,TRUE),"")</f>
        <v>Semana 48CIP2</v>
      </c>
      <c r="AA269" t="str" cm="1">
        <f t="array" ref="AA269">INDEX('Fechas Mes'!F:F,MATCH(Tabla_Consulta_desde_Proyectos10[[#This Row],[Semana]],'Fechas Mes'!J:J,0),)</f>
        <v>M12CIP2</v>
      </c>
      <c r="AB269">
        <f>YEAR(Tabla_Consulta_desde_Proyectos10[[#This Row],[PRYRAfecha]])</f>
        <v>2026</v>
      </c>
      <c r="AC269" t="str">
        <f>VLOOKUP(Tabla_Consulta_desde_Proyectos10[[#This Row],[PRYRAfecha]],'Fechas Mes'!G:J,4,TRUE)</f>
        <v>Semana 48CIP2</v>
      </c>
      <c r="AD269" t="str">
        <f>IFERROR(VLOOKUP(Tabla_Consulta_desde_Proyectos10[[#This Row],[PRYcodigo]],Catálogo!A:B,2,FALSE),"Otros")</f>
        <v>Otros</v>
      </c>
      <c r="AE269" t="str">
        <f>IF(LEN(Tabla_Consulta_desde_Proyectos10[[#This Row],[Semana]])&lt;13,"CI",RIGHT(Tabla_Consulta_desde_Proyectos10[[#This Row],[Semana]],4))</f>
        <v>CIP2</v>
      </c>
    </row>
    <row r="270" spans="1:31">
      <c r="A270" t="s">
        <v>4032</v>
      </c>
      <c r="B270" t="s">
        <v>5344</v>
      </c>
      <c r="C270" t="s">
        <v>5345</v>
      </c>
      <c r="D270" t="s">
        <v>7199</v>
      </c>
      <c r="E270" t="s">
        <v>7200</v>
      </c>
      <c r="F270">
        <v>1</v>
      </c>
      <c r="G270" t="s">
        <v>7223</v>
      </c>
      <c r="H270" t="s">
        <v>646</v>
      </c>
      <c r="I270" t="s">
        <v>647</v>
      </c>
      <c r="J270" t="s">
        <v>1763</v>
      </c>
      <c r="K270" t="s">
        <v>1764</v>
      </c>
      <c r="L270" s="4">
        <v>46122</v>
      </c>
      <c r="M270" t="s">
        <v>7688</v>
      </c>
      <c r="N270">
        <v>0.5</v>
      </c>
      <c r="O270">
        <v>3000000001825089</v>
      </c>
      <c r="P270" t="s">
        <v>6782</v>
      </c>
      <c r="Q270" t="s">
        <v>7198</v>
      </c>
      <c r="W270" t="str">
        <f>Tabla_Consulta_desde_Proyectos10[[#This Row],[PRYcodigo]]&amp;Tabla_Consulta_desde_Proyectos10[[#This Row],[PRYApath]]</f>
        <v>151-400-RGT2.0/0020/0002</v>
      </c>
      <c r="X270" t="str">
        <f>Tabla_Consulta_desde_Proyectos10[[#This Row],[PRYAcodigo]]&amp;" - "&amp;Tabla_Consulta_desde_Proyectos10[[#This Row],[PRYAdescripcion]]</f>
        <v>1 - LIBERACIÓN DE SOFTWARE Y DEPLOYMENTS</v>
      </c>
      <c r="Y270" t="str">
        <f>SUBSTITUTE(IFERROR(VLOOKUP(LEFT(Tabla_Consulta_desde_Proyectos10[[#This Row],[Nivel1]],LEN(Tabla_Consulta_desde_Proyectos10[[#This Row],[Nivel1]])-5),Tabla_Consulta_desde_Proyectos10[[#All],[Nivel1]:[Actividad]],2,FALSE),""),"_","-")</f>
        <v>500.1-RM - ACTIVIDADES DEL EQUIPO DE RELEASE MANAGMENT</v>
      </c>
      <c r="Z270" t="str">
        <f>IFERROR(VLOOKUP(Tabla_Consulta_desde_Proyectos10[[#This Row],[PRYRAfecha]],'Fechas Mes'!G:J,4,TRUE),"")</f>
        <v>Semana 48CIP2</v>
      </c>
      <c r="AA270" t="str" cm="1">
        <f t="array" ref="AA270">INDEX('Fechas Mes'!F:F,MATCH(Tabla_Consulta_desde_Proyectos10[[#This Row],[Semana]],'Fechas Mes'!J:J,0),)</f>
        <v>M12CIP2</v>
      </c>
      <c r="AB270">
        <f>YEAR(Tabla_Consulta_desde_Proyectos10[[#This Row],[PRYRAfecha]])</f>
        <v>2026</v>
      </c>
      <c r="AC270" t="str">
        <f>VLOOKUP(Tabla_Consulta_desde_Proyectos10[[#This Row],[PRYRAfecha]],'Fechas Mes'!G:J,4,TRUE)</f>
        <v>Semana 48CIP2</v>
      </c>
      <c r="AD270" t="str">
        <f>IFERROR(VLOOKUP(Tabla_Consulta_desde_Proyectos10[[#This Row],[PRYcodigo]],Catálogo!A:B,2,FALSE),"Otros")</f>
        <v>Otros</v>
      </c>
      <c r="AE270" t="str">
        <f>IF(LEN(Tabla_Consulta_desde_Proyectos10[[#This Row],[Semana]])&lt;13,"CI",RIGHT(Tabla_Consulta_desde_Proyectos10[[#This Row],[Semana]],4))</f>
        <v>CIP2</v>
      </c>
    </row>
    <row r="271" spans="1:31">
      <c r="A271" t="s">
        <v>4032</v>
      </c>
      <c r="B271" t="s">
        <v>5344</v>
      </c>
      <c r="C271" t="s">
        <v>5345</v>
      </c>
      <c r="D271" t="s">
        <v>7199</v>
      </c>
      <c r="E271" t="s">
        <v>7200</v>
      </c>
      <c r="F271">
        <v>1</v>
      </c>
      <c r="G271" t="s">
        <v>7223</v>
      </c>
      <c r="H271" t="s">
        <v>646</v>
      </c>
      <c r="I271" t="s">
        <v>647</v>
      </c>
      <c r="J271" t="s">
        <v>1763</v>
      </c>
      <c r="K271" t="s">
        <v>1764</v>
      </c>
      <c r="L271" s="4">
        <v>46125</v>
      </c>
      <c r="M271" t="s">
        <v>7689</v>
      </c>
      <c r="N271">
        <v>0.5</v>
      </c>
      <c r="O271">
        <v>3000000001827005</v>
      </c>
      <c r="P271" t="s">
        <v>6782</v>
      </c>
      <c r="Q271" t="s">
        <v>7212</v>
      </c>
      <c r="W271" t="str">
        <f>Tabla_Consulta_desde_Proyectos10[[#This Row],[PRYcodigo]]&amp;Tabla_Consulta_desde_Proyectos10[[#This Row],[PRYApath]]</f>
        <v>151-400-RGT2.0/0020/0002</v>
      </c>
      <c r="X271" t="str">
        <f>Tabla_Consulta_desde_Proyectos10[[#This Row],[PRYAcodigo]]&amp;" - "&amp;Tabla_Consulta_desde_Proyectos10[[#This Row],[PRYAdescripcion]]</f>
        <v>1 - LIBERACIÓN DE SOFTWARE Y DEPLOYMENTS</v>
      </c>
      <c r="Y271" t="str">
        <f>SUBSTITUTE(IFERROR(VLOOKUP(LEFT(Tabla_Consulta_desde_Proyectos10[[#This Row],[Nivel1]],LEN(Tabla_Consulta_desde_Proyectos10[[#This Row],[Nivel1]])-5),Tabla_Consulta_desde_Proyectos10[[#All],[Nivel1]:[Actividad]],2,FALSE),""),"_","-")</f>
        <v>500.1-RM - ACTIVIDADES DEL EQUIPO DE RELEASE MANAGMENT</v>
      </c>
      <c r="Z271" t="str">
        <f>IFERROR(VLOOKUP(Tabla_Consulta_desde_Proyectos10[[#This Row],[PRYRAfecha]],'Fechas Mes'!G:J,4,TRUE),"")</f>
        <v>Semana 48CIP2</v>
      </c>
      <c r="AA271" t="str" cm="1">
        <f t="array" ref="AA271">INDEX('Fechas Mes'!F:F,MATCH(Tabla_Consulta_desde_Proyectos10[[#This Row],[Semana]],'Fechas Mes'!J:J,0),)</f>
        <v>M12CIP2</v>
      </c>
      <c r="AB271">
        <f>YEAR(Tabla_Consulta_desde_Proyectos10[[#This Row],[PRYRAfecha]])</f>
        <v>2026</v>
      </c>
      <c r="AC271" t="str">
        <f>VLOOKUP(Tabla_Consulta_desde_Proyectos10[[#This Row],[PRYRAfecha]],'Fechas Mes'!G:J,4,TRUE)</f>
        <v>Semana 48CIP2</v>
      </c>
      <c r="AD271" t="str">
        <f>IFERROR(VLOOKUP(Tabla_Consulta_desde_Proyectos10[[#This Row],[PRYcodigo]],Catálogo!A:B,2,FALSE),"Otros")</f>
        <v>Otros</v>
      </c>
      <c r="AE271" t="str">
        <f>IF(LEN(Tabla_Consulta_desde_Proyectos10[[#This Row],[Semana]])&lt;13,"CI",RIGHT(Tabla_Consulta_desde_Proyectos10[[#This Row],[Semana]],4))</f>
        <v>CIP2</v>
      </c>
    </row>
    <row r="272" spans="1:31">
      <c r="A272" t="s">
        <v>4032</v>
      </c>
      <c r="B272" t="s">
        <v>5344</v>
      </c>
      <c r="C272" t="s">
        <v>5345</v>
      </c>
      <c r="D272" t="s">
        <v>7199</v>
      </c>
      <c r="E272" t="s">
        <v>7200</v>
      </c>
      <c r="F272">
        <v>1</v>
      </c>
      <c r="G272" t="s">
        <v>7223</v>
      </c>
      <c r="H272" t="s">
        <v>646</v>
      </c>
      <c r="I272" t="s">
        <v>647</v>
      </c>
      <c r="J272" t="s">
        <v>1763</v>
      </c>
      <c r="K272" t="s">
        <v>1764</v>
      </c>
      <c r="L272" s="4">
        <v>46133</v>
      </c>
      <c r="M272" t="s">
        <v>7690</v>
      </c>
      <c r="N272">
        <v>1</v>
      </c>
      <c r="O272">
        <v>3000000001831904</v>
      </c>
      <c r="P272" t="s">
        <v>6782</v>
      </c>
      <c r="Q272" t="s">
        <v>7212</v>
      </c>
      <c r="W272" t="str">
        <f>Tabla_Consulta_desde_Proyectos10[[#This Row],[PRYcodigo]]&amp;Tabla_Consulta_desde_Proyectos10[[#This Row],[PRYApath]]</f>
        <v>151-400-RGT2.0/0020/0002</v>
      </c>
      <c r="X272" t="str">
        <f>Tabla_Consulta_desde_Proyectos10[[#This Row],[PRYAcodigo]]&amp;" - "&amp;Tabla_Consulta_desde_Proyectos10[[#This Row],[PRYAdescripcion]]</f>
        <v>1 - LIBERACIÓN DE SOFTWARE Y DEPLOYMENTS</v>
      </c>
      <c r="Y272" t="str">
        <f>SUBSTITUTE(IFERROR(VLOOKUP(LEFT(Tabla_Consulta_desde_Proyectos10[[#This Row],[Nivel1]],LEN(Tabla_Consulta_desde_Proyectos10[[#This Row],[Nivel1]])-5),Tabla_Consulta_desde_Proyectos10[[#All],[Nivel1]:[Actividad]],2,FALSE),""),"_","-")</f>
        <v>500.1-RM - ACTIVIDADES DEL EQUIPO DE RELEASE MANAGMENT</v>
      </c>
      <c r="Z272" t="str">
        <f>IFERROR(VLOOKUP(Tabla_Consulta_desde_Proyectos10[[#This Row],[PRYRAfecha]],'Fechas Mes'!G:J,4,TRUE),"")</f>
        <v>Semana 48CIP2</v>
      </c>
      <c r="AA272" t="str" cm="1">
        <f t="array" ref="AA272">INDEX('Fechas Mes'!F:F,MATCH(Tabla_Consulta_desde_Proyectos10[[#This Row],[Semana]],'Fechas Mes'!J:J,0),)</f>
        <v>M12CIP2</v>
      </c>
      <c r="AB272">
        <f>YEAR(Tabla_Consulta_desde_Proyectos10[[#This Row],[PRYRAfecha]])</f>
        <v>2026</v>
      </c>
      <c r="AC272" t="str">
        <f>VLOOKUP(Tabla_Consulta_desde_Proyectos10[[#This Row],[PRYRAfecha]],'Fechas Mes'!G:J,4,TRUE)</f>
        <v>Semana 48CIP2</v>
      </c>
      <c r="AD272" t="str">
        <f>IFERROR(VLOOKUP(Tabla_Consulta_desde_Proyectos10[[#This Row],[PRYcodigo]],Catálogo!A:B,2,FALSE),"Otros")</f>
        <v>Otros</v>
      </c>
      <c r="AE272" t="str">
        <f>IF(LEN(Tabla_Consulta_desde_Proyectos10[[#This Row],[Semana]])&lt;13,"CI",RIGHT(Tabla_Consulta_desde_Proyectos10[[#This Row],[Semana]],4))</f>
        <v>CIP2</v>
      </c>
    </row>
    <row r="273" spans="1:31">
      <c r="A273" t="s">
        <v>4032</v>
      </c>
      <c r="B273" t="s">
        <v>5344</v>
      </c>
      <c r="C273" t="s">
        <v>5345</v>
      </c>
      <c r="D273" t="s">
        <v>7199</v>
      </c>
      <c r="E273" t="s">
        <v>7200</v>
      </c>
      <c r="F273">
        <v>1</v>
      </c>
      <c r="G273" t="s">
        <v>7223</v>
      </c>
      <c r="H273" t="s">
        <v>646</v>
      </c>
      <c r="I273" t="s">
        <v>647</v>
      </c>
      <c r="J273" t="s">
        <v>1763</v>
      </c>
      <c r="K273" t="s">
        <v>1764</v>
      </c>
      <c r="L273" s="4">
        <v>46134</v>
      </c>
      <c r="M273" t="s">
        <v>7691</v>
      </c>
      <c r="N273">
        <v>1</v>
      </c>
      <c r="O273">
        <v>3000000001831916</v>
      </c>
      <c r="P273" t="s">
        <v>6782</v>
      </c>
      <c r="Q273" t="s">
        <v>7212</v>
      </c>
      <c r="W273" t="str">
        <f>Tabla_Consulta_desde_Proyectos10[[#This Row],[PRYcodigo]]&amp;Tabla_Consulta_desde_Proyectos10[[#This Row],[PRYApath]]</f>
        <v>151-400-RGT2.0/0020/0002</v>
      </c>
      <c r="X273" t="str">
        <f>Tabla_Consulta_desde_Proyectos10[[#This Row],[PRYAcodigo]]&amp;" - "&amp;Tabla_Consulta_desde_Proyectos10[[#This Row],[PRYAdescripcion]]</f>
        <v>1 - LIBERACIÓN DE SOFTWARE Y DEPLOYMENTS</v>
      </c>
      <c r="Y273" t="str">
        <f>SUBSTITUTE(IFERROR(VLOOKUP(LEFT(Tabla_Consulta_desde_Proyectos10[[#This Row],[Nivel1]],LEN(Tabla_Consulta_desde_Proyectos10[[#This Row],[Nivel1]])-5),Tabla_Consulta_desde_Proyectos10[[#All],[Nivel1]:[Actividad]],2,FALSE),""),"_","-")</f>
        <v>500.1-RM - ACTIVIDADES DEL EQUIPO DE RELEASE MANAGMENT</v>
      </c>
      <c r="Z273" t="str">
        <f>IFERROR(VLOOKUP(Tabla_Consulta_desde_Proyectos10[[#This Row],[PRYRAfecha]],'Fechas Mes'!G:J,4,TRUE),"")</f>
        <v>Semana 48CIP2</v>
      </c>
      <c r="AA273" t="str" cm="1">
        <f t="array" ref="AA273">INDEX('Fechas Mes'!F:F,MATCH(Tabla_Consulta_desde_Proyectos10[[#This Row],[Semana]],'Fechas Mes'!J:J,0),)</f>
        <v>M12CIP2</v>
      </c>
      <c r="AB273">
        <f>YEAR(Tabla_Consulta_desde_Proyectos10[[#This Row],[PRYRAfecha]])</f>
        <v>2026</v>
      </c>
      <c r="AC273" t="str">
        <f>VLOOKUP(Tabla_Consulta_desde_Proyectos10[[#This Row],[PRYRAfecha]],'Fechas Mes'!G:J,4,TRUE)</f>
        <v>Semana 48CIP2</v>
      </c>
      <c r="AD273" t="str">
        <f>IFERROR(VLOOKUP(Tabla_Consulta_desde_Proyectos10[[#This Row],[PRYcodigo]],Catálogo!A:B,2,FALSE),"Otros")</f>
        <v>Otros</v>
      </c>
      <c r="AE273" t="str">
        <f>IF(LEN(Tabla_Consulta_desde_Proyectos10[[#This Row],[Semana]])&lt;13,"CI",RIGHT(Tabla_Consulta_desde_Proyectos10[[#This Row],[Semana]],4))</f>
        <v>CIP2</v>
      </c>
    </row>
    <row r="274" spans="1:31">
      <c r="A274" t="s">
        <v>4032</v>
      </c>
      <c r="B274" t="s">
        <v>5344</v>
      </c>
      <c r="C274" t="s">
        <v>5345</v>
      </c>
      <c r="D274" t="s">
        <v>7199</v>
      </c>
      <c r="E274" t="s">
        <v>7200</v>
      </c>
      <c r="F274">
        <v>1</v>
      </c>
      <c r="G274" t="s">
        <v>7223</v>
      </c>
      <c r="H274" t="s">
        <v>646</v>
      </c>
      <c r="I274" t="s">
        <v>647</v>
      </c>
      <c r="J274" t="s">
        <v>1763</v>
      </c>
      <c r="K274" t="s">
        <v>1764</v>
      </c>
      <c r="L274" s="4">
        <v>46139</v>
      </c>
      <c r="M274" t="s">
        <v>7692</v>
      </c>
      <c r="N274">
        <v>0.5</v>
      </c>
      <c r="O274">
        <v>3000000001834475</v>
      </c>
      <c r="P274" t="s">
        <v>6782</v>
      </c>
      <c r="Q274" t="s">
        <v>7210</v>
      </c>
      <c r="W274" t="str">
        <f>Tabla_Consulta_desde_Proyectos10[[#This Row],[PRYcodigo]]&amp;Tabla_Consulta_desde_Proyectos10[[#This Row],[PRYApath]]</f>
        <v>151-400-RGT2.0/0020/0002</v>
      </c>
      <c r="X274" t="str">
        <f>Tabla_Consulta_desde_Proyectos10[[#This Row],[PRYAcodigo]]&amp;" - "&amp;Tabla_Consulta_desde_Proyectos10[[#This Row],[PRYAdescripcion]]</f>
        <v>1 - LIBERACIÓN DE SOFTWARE Y DEPLOYMENTS</v>
      </c>
      <c r="Y274" t="str">
        <f>SUBSTITUTE(IFERROR(VLOOKUP(LEFT(Tabla_Consulta_desde_Proyectos10[[#This Row],[Nivel1]],LEN(Tabla_Consulta_desde_Proyectos10[[#This Row],[Nivel1]])-5),Tabla_Consulta_desde_Proyectos10[[#All],[Nivel1]:[Actividad]],2,FALSE),""),"_","-")</f>
        <v>500.1-RM - ACTIVIDADES DEL EQUIPO DE RELEASE MANAGMENT</v>
      </c>
      <c r="Z274" t="str">
        <f>IFERROR(VLOOKUP(Tabla_Consulta_desde_Proyectos10[[#This Row],[PRYRAfecha]],'Fechas Mes'!G:J,4,TRUE),"")</f>
        <v>Semana 48CIP2</v>
      </c>
      <c r="AA274" t="str" cm="1">
        <f t="array" ref="AA274">INDEX('Fechas Mes'!F:F,MATCH(Tabla_Consulta_desde_Proyectos10[[#This Row],[Semana]],'Fechas Mes'!J:J,0),)</f>
        <v>M12CIP2</v>
      </c>
      <c r="AB274">
        <f>YEAR(Tabla_Consulta_desde_Proyectos10[[#This Row],[PRYRAfecha]])</f>
        <v>2026</v>
      </c>
      <c r="AC274" t="str">
        <f>VLOOKUP(Tabla_Consulta_desde_Proyectos10[[#This Row],[PRYRAfecha]],'Fechas Mes'!G:J,4,TRUE)</f>
        <v>Semana 48CIP2</v>
      </c>
      <c r="AD274" t="str">
        <f>IFERROR(VLOOKUP(Tabla_Consulta_desde_Proyectos10[[#This Row],[PRYcodigo]],Catálogo!A:B,2,FALSE),"Otros")</f>
        <v>Otros</v>
      </c>
      <c r="AE274" t="str">
        <f>IF(LEN(Tabla_Consulta_desde_Proyectos10[[#This Row],[Semana]])&lt;13,"CI",RIGHT(Tabla_Consulta_desde_Proyectos10[[#This Row],[Semana]],4))</f>
        <v>CIP2</v>
      </c>
    </row>
    <row r="275" spans="1:31">
      <c r="A275" t="s">
        <v>4032</v>
      </c>
      <c r="B275" t="s">
        <v>5344</v>
      </c>
      <c r="C275" t="s">
        <v>5345</v>
      </c>
      <c r="D275" t="s">
        <v>7199</v>
      </c>
      <c r="E275" t="s">
        <v>7200</v>
      </c>
      <c r="F275">
        <v>1</v>
      </c>
      <c r="G275" t="s">
        <v>7223</v>
      </c>
      <c r="H275" t="s">
        <v>646</v>
      </c>
      <c r="I275" t="s">
        <v>647</v>
      </c>
      <c r="J275" t="s">
        <v>1763</v>
      </c>
      <c r="K275" t="s">
        <v>1764</v>
      </c>
      <c r="L275" s="4">
        <v>46140</v>
      </c>
      <c r="M275" t="s">
        <v>7693</v>
      </c>
      <c r="N275">
        <v>0.5</v>
      </c>
      <c r="O275">
        <v>3000000001835080</v>
      </c>
      <c r="P275" t="s">
        <v>6782</v>
      </c>
      <c r="Q275" t="s">
        <v>7210</v>
      </c>
      <c r="W275" t="str">
        <f>Tabla_Consulta_desde_Proyectos10[[#This Row],[PRYcodigo]]&amp;Tabla_Consulta_desde_Proyectos10[[#This Row],[PRYApath]]</f>
        <v>151-400-RGT2.0/0020/0002</v>
      </c>
      <c r="X275" t="str">
        <f>Tabla_Consulta_desde_Proyectos10[[#This Row],[PRYAcodigo]]&amp;" - "&amp;Tabla_Consulta_desde_Proyectos10[[#This Row],[PRYAdescripcion]]</f>
        <v>1 - LIBERACIÓN DE SOFTWARE Y DEPLOYMENTS</v>
      </c>
      <c r="Y275" t="str">
        <f>SUBSTITUTE(IFERROR(VLOOKUP(LEFT(Tabla_Consulta_desde_Proyectos10[[#This Row],[Nivel1]],LEN(Tabla_Consulta_desde_Proyectos10[[#This Row],[Nivel1]])-5),Tabla_Consulta_desde_Proyectos10[[#All],[Nivel1]:[Actividad]],2,FALSE),""),"_","-")</f>
        <v>500.1-RM - ACTIVIDADES DEL EQUIPO DE RELEASE MANAGMENT</v>
      </c>
      <c r="Z275" t="str">
        <f>IFERROR(VLOOKUP(Tabla_Consulta_desde_Proyectos10[[#This Row],[PRYRAfecha]],'Fechas Mes'!G:J,4,TRUE),"")</f>
        <v>Semana 48CIP2</v>
      </c>
      <c r="AA275" t="str" cm="1">
        <f t="array" ref="AA275">INDEX('Fechas Mes'!F:F,MATCH(Tabla_Consulta_desde_Proyectos10[[#This Row],[Semana]],'Fechas Mes'!J:J,0),)</f>
        <v>M12CIP2</v>
      </c>
      <c r="AB275">
        <f>YEAR(Tabla_Consulta_desde_Proyectos10[[#This Row],[PRYRAfecha]])</f>
        <v>2026</v>
      </c>
      <c r="AC275" t="str">
        <f>VLOOKUP(Tabla_Consulta_desde_Proyectos10[[#This Row],[PRYRAfecha]],'Fechas Mes'!G:J,4,TRUE)</f>
        <v>Semana 48CIP2</v>
      </c>
      <c r="AD275" t="str">
        <f>IFERROR(VLOOKUP(Tabla_Consulta_desde_Proyectos10[[#This Row],[PRYcodigo]],Catálogo!A:B,2,FALSE),"Otros")</f>
        <v>Otros</v>
      </c>
      <c r="AE275" t="str">
        <f>IF(LEN(Tabla_Consulta_desde_Proyectos10[[#This Row],[Semana]])&lt;13,"CI",RIGHT(Tabla_Consulta_desde_Proyectos10[[#This Row],[Semana]],4))</f>
        <v>CIP2</v>
      </c>
    </row>
    <row r="276" spans="1:31">
      <c r="A276" t="s">
        <v>4032</v>
      </c>
      <c r="B276" t="s">
        <v>5344</v>
      </c>
      <c r="C276" t="s">
        <v>5345</v>
      </c>
      <c r="D276" t="s">
        <v>7199</v>
      </c>
      <c r="E276" t="s">
        <v>7200</v>
      </c>
      <c r="F276">
        <v>1</v>
      </c>
      <c r="G276" t="s">
        <v>7223</v>
      </c>
      <c r="H276" t="s">
        <v>646</v>
      </c>
      <c r="I276" t="s">
        <v>647</v>
      </c>
      <c r="J276" t="s">
        <v>1763</v>
      </c>
      <c r="K276" t="s">
        <v>1764</v>
      </c>
      <c r="L276" s="4">
        <v>46142</v>
      </c>
      <c r="M276" t="s">
        <v>7694</v>
      </c>
      <c r="N276">
        <v>0.5</v>
      </c>
      <c r="O276">
        <v>3000000001835718</v>
      </c>
      <c r="P276" t="s">
        <v>6782</v>
      </c>
      <c r="Q276" t="s">
        <v>7210</v>
      </c>
      <c r="W276" t="str">
        <f>Tabla_Consulta_desde_Proyectos10[[#This Row],[PRYcodigo]]&amp;Tabla_Consulta_desde_Proyectos10[[#This Row],[PRYApath]]</f>
        <v>151-400-RGT2.0/0020/0002</v>
      </c>
      <c r="X276" t="str">
        <f>Tabla_Consulta_desde_Proyectos10[[#This Row],[PRYAcodigo]]&amp;" - "&amp;Tabla_Consulta_desde_Proyectos10[[#This Row],[PRYAdescripcion]]</f>
        <v>1 - LIBERACIÓN DE SOFTWARE Y DEPLOYMENTS</v>
      </c>
      <c r="Y276" t="str">
        <f>SUBSTITUTE(IFERROR(VLOOKUP(LEFT(Tabla_Consulta_desde_Proyectos10[[#This Row],[Nivel1]],LEN(Tabla_Consulta_desde_Proyectos10[[#This Row],[Nivel1]])-5),Tabla_Consulta_desde_Proyectos10[[#All],[Nivel1]:[Actividad]],2,FALSE),""),"_","-")</f>
        <v>500.1-RM - ACTIVIDADES DEL EQUIPO DE RELEASE MANAGMENT</v>
      </c>
      <c r="Z276" t="str">
        <f>IFERROR(VLOOKUP(Tabla_Consulta_desde_Proyectos10[[#This Row],[PRYRAfecha]],'Fechas Mes'!G:J,4,TRUE),"")</f>
        <v>Semana 48CIP2</v>
      </c>
      <c r="AA276" t="str" cm="1">
        <f t="array" ref="AA276">INDEX('Fechas Mes'!F:F,MATCH(Tabla_Consulta_desde_Proyectos10[[#This Row],[Semana]],'Fechas Mes'!J:J,0),)</f>
        <v>M12CIP2</v>
      </c>
      <c r="AB276">
        <f>YEAR(Tabla_Consulta_desde_Proyectos10[[#This Row],[PRYRAfecha]])</f>
        <v>2026</v>
      </c>
      <c r="AC276" t="str">
        <f>VLOOKUP(Tabla_Consulta_desde_Proyectos10[[#This Row],[PRYRAfecha]],'Fechas Mes'!G:J,4,TRUE)</f>
        <v>Semana 48CIP2</v>
      </c>
      <c r="AD276" t="str">
        <f>IFERROR(VLOOKUP(Tabla_Consulta_desde_Proyectos10[[#This Row],[PRYcodigo]],Catálogo!A:B,2,FALSE),"Otros")</f>
        <v>Otros</v>
      </c>
      <c r="AE276" t="str">
        <f>IF(LEN(Tabla_Consulta_desde_Proyectos10[[#This Row],[Semana]])&lt;13,"CI",RIGHT(Tabla_Consulta_desde_Proyectos10[[#This Row],[Semana]],4))</f>
        <v>CIP2</v>
      </c>
    </row>
    <row r="277" spans="1:31">
      <c r="A277" t="s">
        <v>4032</v>
      </c>
      <c r="B277" t="s">
        <v>5344</v>
      </c>
      <c r="C277" t="s">
        <v>5345</v>
      </c>
      <c r="D277" t="s">
        <v>7199</v>
      </c>
      <c r="E277" t="s">
        <v>7200</v>
      </c>
      <c r="F277">
        <v>1</v>
      </c>
      <c r="G277" t="s">
        <v>7223</v>
      </c>
      <c r="H277" t="s">
        <v>879</v>
      </c>
      <c r="I277" t="s">
        <v>6097</v>
      </c>
      <c r="J277" t="s">
        <v>5447</v>
      </c>
      <c r="K277" t="s">
        <v>5448</v>
      </c>
      <c r="L277" s="4">
        <v>46122</v>
      </c>
      <c r="M277" t="s">
        <v>7695</v>
      </c>
      <c r="N277">
        <v>1</v>
      </c>
      <c r="O277">
        <v>3000000001827230</v>
      </c>
      <c r="P277" t="s">
        <v>6782</v>
      </c>
      <c r="Q277" t="s">
        <v>7212</v>
      </c>
      <c r="W277" t="str">
        <f>Tabla_Consulta_desde_Proyectos10[[#This Row],[PRYcodigo]]&amp;Tabla_Consulta_desde_Proyectos10[[#This Row],[PRYApath]]</f>
        <v>151-400-RGT2.0/0020/0002</v>
      </c>
      <c r="X277" t="str">
        <f>Tabla_Consulta_desde_Proyectos10[[#This Row],[PRYAcodigo]]&amp;" - "&amp;Tabla_Consulta_desde_Proyectos10[[#This Row],[PRYAdescripcion]]</f>
        <v>1 - LIBERACIÓN DE SOFTWARE Y DEPLOYMENTS</v>
      </c>
      <c r="Y277" t="str">
        <f>SUBSTITUTE(IFERROR(VLOOKUP(LEFT(Tabla_Consulta_desde_Proyectos10[[#This Row],[Nivel1]],LEN(Tabla_Consulta_desde_Proyectos10[[#This Row],[Nivel1]])-5),Tabla_Consulta_desde_Proyectos10[[#All],[Nivel1]:[Actividad]],2,FALSE),""),"_","-")</f>
        <v>500.1-RM - ACTIVIDADES DEL EQUIPO DE RELEASE MANAGMENT</v>
      </c>
      <c r="Z277" t="str">
        <f>IFERROR(VLOOKUP(Tabla_Consulta_desde_Proyectos10[[#This Row],[PRYRAfecha]],'Fechas Mes'!G:J,4,TRUE),"")</f>
        <v>Semana 48CIP2</v>
      </c>
      <c r="AA277" t="str" cm="1">
        <f t="array" ref="AA277">INDEX('Fechas Mes'!F:F,MATCH(Tabla_Consulta_desde_Proyectos10[[#This Row],[Semana]],'Fechas Mes'!J:J,0),)</f>
        <v>M12CIP2</v>
      </c>
      <c r="AB277">
        <f>YEAR(Tabla_Consulta_desde_Proyectos10[[#This Row],[PRYRAfecha]])</f>
        <v>2026</v>
      </c>
      <c r="AC277" t="str">
        <f>VLOOKUP(Tabla_Consulta_desde_Proyectos10[[#This Row],[PRYRAfecha]],'Fechas Mes'!G:J,4,TRUE)</f>
        <v>Semana 48CIP2</v>
      </c>
      <c r="AD277" t="str">
        <f>IFERROR(VLOOKUP(Tabla_Consulta_desde_Proyectos10[[#This Row],[PRYcodigo]],Catálogo!A:B,2,FALSE),"Otros")</f>
        <v>Otros</v>
      </c>
      <c r="AE277" t="str">
        <f>IF(LEN(Tabla_Consulta_desde_Proyectos10[[#This Row],[Semana]])&lt;13,"CI",RIGHT(Tabla_Consulta_desde_Proyectos10[[#This Row],[Semana]],4))</f>
        <v>CIP2</v>
      </c>
    </row>
    <row r="278" spans="1:31">
      <c r="A278" t="s">
        <v>4032</v>
      </c>
      <c r="B278" t="s">
        <v>5344</v>
      </c>
      <c r="C278" t="s">
        <v>5345</v>
      </c>
      <c r="D278" t="s">
        <v>7199</v>
      </c>
      <c r="E278" t="s">
        <v>7200</v>
      </c>
      <c r="F278">
        <v>1</v>
      </c>
      <c r="G278" t="s">
        <v>7223</v>
      </c>
      <c r="H278" t="s">
        <v>6627</v>
      </c>
      <c r="I278" t="s">
        <v>6628</v>
      </c>
      <c r="J278" t="s">
        <v>6683</v>
      </c>
      <c r="K278" t="s">
        <v>6684</v>
      </c>
      <c r="L278" s="4">
        <v>46113</v>
      </c>
      <c r="M278" t="s">
        <v>7696</v>
      </c>
      <c r="N278">
        <v>1</v>
      </c>
      <c r="O278">
        <v>3000000001842350</v>
      </c>
      <c r="P278" t="s">
        <v>6782</v>
      </c>
      <c r="Q278" t="s">
        <v>7210</v>
      </c>
      <c r="W278" t="str">
        <f>Tabla_Consulta_desde_Proyectos10[[#This Row],[PRYcodigo]]&amp;Tabla_Consulta_desde_Proyectos10[[#This Row],[PRYApath]]</f>
        <v>151-400-RGT2.0/0020/0002</v>
      </c>
      <c r="X278" t="str">
        <f>Tabla_Consulta_desde_Proyectos10[[#This Row],[PRYAcodigo]]&amp;" - "&amp;Tabla_Consulta_desde_Proyectos10[[#This Row],[PRYAdescripcion]]</f>
        <v>1 - LIBERACIÓN DE SOFTWARE Y DEPLOYMENTS</v>
      </c>
      <c r="Y278" t="str">
        <f>SUBSTITUTE(IFERROR(VLOOKUP(LEFT(Tabla_Consulta_desde_Proyectos10[[#This Row],[Nivel1]],LEN(Tabla_Consulta_desde_Proyectos10[[#This Row],[Nivel1]])-5),Tabla_Consulta_desde_Proyectos10[[#All],[Nivel1]:[Actividad]],2,FALSE),""),"_","-")</f>
        <v>500.1-RM - ACTIVIDADES DEL EQUIPO DE RELEASE MANAGMENT</v>
      </c>
      <c r="Z278" t="str">
        <f>IFERROR(VLOOKUP(Tabla_Consulta_desde_Proyectos10[[#This Row],[PRYRAfecha]],'Fechas Mes'!G:J,4,TRUE),"")</f>
        <v>Semana 48CIP2</v>
      </c>
      <c r="AA278" t="str" cm="1">
        <f t="array" ref="AA278">INDEX('Fechas Mes'!F:F,MATCH(Tabla_Consulta_desde_Proyectos10[[#This Row],[Semana]],'Fechas Mes'!J:J,0),)</f>
        <v>M12CIP2</v>
      </c>
      <c r="AB278">
        <f>YEAR(Tabla_Consulta_desde_Proyectos10[[#This Row],[PRYRAfecha]])</f>
        <v>2026</v>
      </c>
      <c r="AC278" t="str">
        <f>VLOOKUP(Tabla_Consulta_desde_Proyectos10[[#This Row],[PRYRAfecha]],'Fechas Mes'!G:J,4,TRUE)</f>
        <v>Semana 48CIP2</v>
      </c>
      <c r="AD278" t="str">
        <f>IFERROR(VLOOKUP(Tabla_Consulta_desde_Proyectos10[[#This Row],[PRYcodigo]],Catálogo!A:B,2,FALSE),"Otros")</f>
        <v>Otros</v>
      </c>
      <c r="AE278" t="str">
        <f>IF(LEN(Tabla_Consulta_desde_Proyectos10[[#This Row],[Semana]])&lt;13,"CI",RIGHT(Tabla_Consulta_desde_Proyectos10[[#This Row],[Semana]],4))</f>
        <v>CIP2</v>
      </c>
    </row>
    <row r="279" spans="1:31">
      <c r="A279" t="s">
        <v>4032</v>
      </c>
      <c r="B279" t="s">
        <v>5344</v>
      </c>
      <c r="C279" t="s">
        <v>5345</v>
      </c>
      <c r="D279" t="s">
        <v>7199</v>
      </c>
      <c r="E279" t="s">
        <v>7200</v>
      </c>
      <c r="F279">
        <v>1</v>
      </c>
      <c r="G279" t="s">
        <v>7223</v>
      </c>
      <c r="H279" t="s">
        <v>6627</v>
      </c>
      <c r="I279" t="s">
        <v>6628</v>
      </c>
      <c r="J279" t="s">
        <v>6683</v>
      </c>
      <c r="K279" t="s">
        <v>6684</v>
      </c>
      <c r="L279" s="4">
        <v>46113</v>
      </c>
      <c r="M279" t="s">
        <v>7697</v>
      </c>
      <c r="N279">
        <v>1</v>
      </c>
      <c r="O279">
        <v>3000000001842351</v>
      </c>
      <c r="P279" t="s">
        <v>6782</v>
      </c>
      <c r="Q279" t="s">
        <v>7210</v>
      </c>
      <c r="W279" t="str">
        <f>Tabla_Consulta_desde_Proyectos10[[#This Row],[PRYcodigo]]&amp;Tabla_Consulta_desde_Proyectos10[[#This Row],[PRYApath]]</f>
        <v>151-400-RGT2.0/0020/0002</v>
      </c>
      <c r="X279" t="str">
        <f>Tabla_Consulta_desde_Proyectos10[[#This Row],[PRYAcodigo]]&amp;" - "&amp;Tabla_Consulta_desde_Proyectos10[[#This Row],[PRYAdescripcion]]</f>
        <v>1 - LIBERACIÓN DE SOFTWARE Y DEPLOYMENTS</v>
      </c>
      <c r="Y279" t="str">
        <f>SUBSTITUTE(IFERROR(VLOOKUP(LEFT(Tabla_Consulta_desde_Proyectos10[[#This Row],[Nivel1]],LEN(Tabla_Consulta_desde_Proyectos10[[#This Row],[Nivel1]])-5),Tabla_Consulta_desde_Proyectos10[[#All],[Nivel1]:[Actividad]],2,FALSE),""),"_","-")</f>
        <v>500.1-RM - ACTIVIDADES DEL EQUIPO DE RELEASE MANAGMENT</v>
      </c>
      <c r="Z279" t="str">
        <f>IFERROR(VLOOKUP(Tabla_Consulta_desde_Proyectos10[[#This Row],[PRYRAfecha]],'Fechas Mes'!G:J,4,TRUE),"")</f>
        <v>Semana 48CIP2</v>
      </c>
      <c r="AA279" t="str" cm="1">
        <f t="array" ref="AA279">INDEX('Fechas Mes'!F:F,MATCH(Tabla_Consulta_desde_Proyectos10[[#This Row],[Semana]],'Fechas Mes'!J:J,0),)</f>
        <v>M12CIP2</v>
      </c>
      <c r="AB279">
        <f>YEAR(Tabla_Consulta_desde_Proyectos10[[#This Row],[PRYRAfecha]])</f>
        <v>2026</v>
      </c>
      <c r="AC279" t="str">
        <f>VLOOKUP(Tabla_Consulta_desde_Proyectos10[[#This Row],[PRYRAfecha]],'Fechas Mes'!G:J,4,TRUE)</f>
        <v>Semana 48CIP2</v>
      </c>
      <c r="AD279" t="str">
        <f>IFERROR(VLOOKUP(Tabla_Consulta_desde_Proyectos10[[#This Row],[PRYcodigo]],Catálogo!A:B,2,FALSE),"Otros")</f>
        <v>Otros</v>
      </c>
      <c r="AE279" t="str">
        <f>IF(LEN(Tabla_Consulta_desde_Proyectos10[[#This Row],[Semana]])&lt;13,"CI",RIGHT(Tabla_Consulta_desde_Proyectos10[[#This Row],[Semana]],4))</f>
        <v>CIP2</v>
      </c>
    </row>
    <row r="280" spans="1:31">
      <c r="A280" t="s">
        <v>4032</v>
      </c>
      <c r="B280" t="s">
        <v>5344</v>
      </c>
      <c r="C280" t="s">
        <v>5345</v>
      </c>
      <c r="D280" t="s">
        <v>7199</v>
      </c>
      <c r="E280" t="s">
        <v>7200</v>
      </c>
      <c r="F280">
        <v>1</v>
      </c>
      <c r="G280" t="s">
        <v>7223</v>
      </c>
      <c r="H280" t="s">
        <v>6627</v>
      </c>
      <c r="I280" t="s">
        <v>6628</v>
      </c>
      <c r="J280" t="s">
        <v>6683</v>
      </c>
      <c r="K280" t="s">
        <v>6684</v>
      </c>
      <c r="L280" s="4">
        <v>46118</v>
      </c>
      <c r="M280" t="s">
        <v>7698</v>
      </c>
      <c r="N280">
        <v>2</v>
      </c>
      <c r="O280">
        <v>3000000001823482</v>
      </c>
      <c r="P280" t="s">
        <v>6782</v>
      </c>
      <c r="Q280" t="s">
        <v>7210</v>
      </c>
      <c r="W280" t="str">
        <f>Tabla_Consulta_desde_Proyectos10[[#This Row],[PRYcodigo]]&amp;Tabla_Consulta_desde_Proyectos10[[#This Row],[PRYApath]]</f>
        <v>151-400-RGT2.0/0020/0002</v>
      </c>
      <c r="X280" t="str">
        <f>Tabla_Consulta_desde_Proyectos10[[#This Row],[PRYAcodigo]]&amp;" - "&amp;Tabla_Consulta_desde_Proyectos10[[#This Row],[PRYAdescripcion]]</f>
        <v>1 - LIBERACIÓN DE SOFTWARE Y DEPLOYMENTS</v>
      </c>
      <c r="Y280" t="str">
        <f>SUBSTITUTE(IFERROR(VLOOKUP(LEFT(Tabla_Consulta_desde_Proyectos10[[#This Row],[Nivel1]],LEN(Tabla_Consulta_desde_Proyectos10[[#This Row],[Nivel1]])-5),Tabla_Consulta_desde_Proyectos10[[#All],[Nivel1]:[Actividad]],2,FALSE),""),"_","-")</f>
        <v>500.1-RM - ACTIVIDADES DEL EQUIPO DE RELEASE MANAGMENT</v>
      </c>
      <c r="Z280" t="str">
        <f>IFERROR(VLOOKUP(Tabla_Consulta_desde_Proyectos10[[#This Row],[PRYRAfecha]],'Fechas Mes'!G:J,4,TRUE),"")</f>
        <v>Semana 48CIP2</v>
      </c>
      <c r="AA280" t="str" cm="1">
        <f t="array" ref="AA280">INDEX('Fechas Mes'!F:F,MATCH(Tabla_Consulta_desde_Proyectos10[[#This Row],[Semana]],'Fechas Mes'!J:J,0),)</f>
        <v>M12CIP2</v>
      </c>
      <c r="AB280">
        <f>YEAR(Tabla_Consulta_desde_Proyectos10[[#This Row],[PRYRAfecha]])</f>
        <v>2026</v>
      </c>
      <c r="AC280" t="str">
        <f>VLOOKUP(Tabla_Consulta_desde_Proyectos10[[#This Row],[PRYRAfecha]],'Fechas Mes'!G:J,4,TRUE)</f>
        <v>Semana 48CIP2</v>
      </c>
      <c r="AD280" t="str">
        <f>IFERROR(VLOOKUP(Tabla_Consulta_desde_Proyectos10[[#This Row],[PRYcodigo]],Catálogo!A:B,2,FALSE),"Otros")</f>
        <v>Otros</v>
      </c>
      <c r="AE280" t="str">
        <f>IF(LEN(Tabla_Consulta_desde_Proyectos10[[#This Row],[Semana]])&lt;13,"CI",RIGHT(Tabla_Consulta_desde_Proyectos10[[#This Row],[Semana]],4))</f>
        <v>CIP2</v>
      </c>
    </row>
    <row r="281" spans="1:31">
      <c r="A281" t="s">
        <v>4032</v>
      </c>
      <c r="B281" t="s">
        <v>5344</v>
      </c>
      <c r="C281" t="s">
        <v>5345</v>
      </c>
      <c r="D281" t="s">
        <v>7199</v>
      </c>
      <c r="E281" t="s">
        <v>7200</v>
      </c>
      <c r="F281">
        <v>1</v>
      </c>
      <c r="G281" t="s">
        <v>7223</v>
      </c>
      <c r="H281" t="s">
        <v>6627</v>
      </c>
      <c r="I281" t="s">
        <v>6628</v>
      </c>
      <c r="J281" t="s">
        <v>6683</v>
      </c>
      <c r="K281" t="s">
        <v>6684</v>
      </c>
      <c r="L281" s="4">
        <v>46119</v>
      </c>
      <c r="M281" t="s">
        <v>7696</v>
      </c>
      <c r="N281">
        <v>1</v>
      </c>
      <c r="O281">
        <v>3000000001842353</v>
      </c>
      <c r="P281" t="s">
        <v>6782</v>
      </c>
      <c r="Q281" t="s">
        <v>7210</v>
      </c>
      <c r="W281" t="str">
        <f>Tabla_Consulta_desde_Proyectos10[[#This Row],[PRYcodigo]]&amp;Tabla_Consulta_desde_Proyectos10[[#This Row],[PRYApath]]</f>
        <v>151-400-RGT2.0/0020/0002</v>
      </c>
      <c r="X281" t="str">
        <f>Tabla_Consulta_desde_Proyectos10[[#This Row],[PRYAcodigo]]&amp;" - "&amp;Tabla_Consulta_desde_Proyectos10[[#This Row],[PRYAdescripcion]]</f>
        <v>1 - LIBERACIÓN DE SOFTWARE Y DEPLOYMENTS</v>
      </c>
      <c r="Y281" t="str">
        <f>SUBSTITUTE(IFERROR(VLOOKUP(LEFT(Tabla_Consulta_desde_Proyectos10[[#This Row],[Nivel1]],LEN(Tabla_Consulta_desde_Proyectos10[[#This Row],[Nivel1]])-5),Tabla_Consulta_desde_Proyectos10[[#All],[Nivel1]:[Actividad]],2,FALSE),""),"_","-")</f>
        <v>500.1-RM - ACTIVIDADES DEL EQUIPO DE RELEASE MANAGMENT</v>
      </c>
      <c r="Z281" t="str">
        <f>IFERROR(VLOOKUP(Tabla_Consulta_desde_Proyectos10[[#This Row],[PRYRAfecha]],'Fechas Mes'!G:J,4,TRUE),"")</f>
        <v>Semana 48CIP2</v>
      </c>
      <c r="AA281" t="str" cm="1">
        <f t="array" ref="AA281">INDEX('Fechas Mes'!F:F,MATCH(Tabla_Consulta_desde_Proyectos10[[#This Row],[Semana]],'Fechas Mes'!J:J,0),)</f>
        <v>M12CIP2</v>
      </c>
      <c r="AB281">
        <f>YEAR(Tabla_Consulta_desde_Proyectos10[[#This Row],[PRYRAfecha]])</f>
        <v>2026</v>
      </c>
      <c r="AC281" t="str">
        <f>VLOOKUP(Tabla_Consulta_desde_Proyectos10[[#This Row],[PRYRAfecha]],'Fechas Mes'!G:J,4,TRUE)</f>
        <v>Semana 48CIP2</v>
      </c>
      <c r="AD281" t="str">
        <f>IFERROR(VLOOKUP(Tabla_Consulta_desde_Proyectos10[[#This Row],[PRYcodigo]],Catálogo!A:B,2,FALSE),"Otros")</f>
        <v>Otros</v>
      </c>
      <c r="AE281" t="str">
        <f>IF(LEN(Tabla_Consulta_desde_Proyectos10[[#This Row],[Semana]])&lt;13,"CI",RIGHT(Tabla_Consulta_desde_Proyectos10[[#This Row],[Semana]],4))</f>
        <v>CIP2</v>
      </c>
    </row>
    <row r="282" spans="1:31">
      <c r="A282" t="s">
        <v>4032</v>
      </c>
      <c r="B282" t="s">
        <v>5344</v>
      </c>
      <c r="C282" t="s">
        <v>5345</v>
      </c>
      <c r="D282" t="s">
        <v>7199</v>
      </c>
      <c r="E282" t="s">
        <v>7200</v>
      </c>
      <c r="F282">
        <v>1</v>
      </c>
      <c r="G282" t="s">
        <v>7223</v>
      </c>
      <c r="H282" t="s">
        <v>6627</v>
      </c>
      <c r="I282" t="s">
        <v>6628</v>
      </c>
      <c r="J282" t="s">
        <v>6683</v>
      </c>
      <c r="K282" t="s">
        <v>6684</v>
      </c>
      <c r="L282" s="4">
        <v>46121</v>
      </c>
      <c r="M282" t="s">
        <v>7699</v>
      </c>
      <c r="N282">
        <v>1</v>
      </c>
      <c r="O282">
        <v>3000000001827563</v>
      </c>
      <c r="P282" t="s">
        <v>6782</v>
      </c>
      <c r="Q282" t="s">
        <v>7212</v>
      </c>
      <c r="W282" t="str">
        <f>Tabla_Consulta_desde_Proyectos10[[#This Row],[PRYcodigo]]&amp;Tabla_Consulta_desde_Proyectos10[[#This Row],[PRYApath]]</f>
        <v>151-400-RGT2.0/0020/0002</v>
      </c>
      <c r="X282" t="str">
        <f>Tabla_Consulta_desde_Proyectos10[[#This Row],[PRYAcodigo]]&amp;" - "&amp;Tabla_Consulta_desde_Proyectos10[[#This Row],[PRYAdescripcion]]</f>
        <v>1 - LIBERACIÓN DE SOFTWARE Y DEPLOYMENTS</v>
      </c>
      <c r="Y282" t="str">
        <f>SUBSTITUTE(IFERROR(VLOOKUP(LEFT(Tabla_Consulta_desde_Proyectos10[[#This Row],[Nivel1]],LEN(Tabla_Consulta_desde_Proyectos10[[#This Row],[Nivel1]])-5),Tabla_Consulta_desde_Proyectos10[[#All],[Nivel1]:[Actividad]],2,FALSE),""),"_","-")</f>
        <v>500.1-RM - ACTIVIDADES DEL EQUIPO DE RELEASE MANAGMENT</v>
      </c>
      <c r="Z282" t="str">
        <f>IFERROR(VLOOKUP(Tabla_Consulta_desde_Proyectos10[[#This Row],[PRYRAfecha]],'Fechas Mes'!G:J,4,TRUE),"")</f>
        <v>Semana 48CIP2</v>
      </c>
      <c r="AA282" t="str" cm="1">
        <f t="array" ref="AA282">INDEX('Fechas Mes'!F:F,MATCH(Tabla_Consulta_desde_Proyectos10[[#This Row],[Semana]],'Fechas Mes'!J:J,0),)</f>
        <v>M12CIP2</v>
      </c>
      <c r="AB282">
        <f>YEAR(Tabla_Consulta_desde_Proyectos10[[#This Row],[PRYRAfecha]])</f>
        <v>2026</v>
      </c>
      <c r="AC282" t="str">
        <f>VLOOKUP(Tabla_Consulta_desde_Proyectos10[[#This Row],[PRYRAfecha]],'Fechas Mes'!G:J,4,TRUE)</f>
        <v>Semana 48CIP2</v>
      </c>
      <c r="AD282" t="str">
        <f>IFERROR(VLOOKUP(Tabla_Consulta_desde_Proyectos10[[#This Row],[PRYcodigo]],Catálogo!A:B,2,FALSE),"Otros")</f>
        <v>Otros</v>
      </c>
      <c r="AE282" t="str">
        <f>IF(LEN(Tabla_Consulta_desde_Proyectos10[[#This Row],[Semana]])&lt;13,"CI",RIGHT(Tabla_Consulta_desde_Proyectos10[[#This Row],[Semana]],4))</f>
        <v>CIP2</v>
      </c>
    </row>
    <row r="283" spans="1:31">
      <c r="A283" t="s">
        <v>4032</v>
      </c>
      <c r="B283" t="s">
        <v>5344</v>
      </c>
      <c r="C283" t="s">
        <v>5345</v>
      </c>
      <c r="D283" t="s">
        <v>7199</v>
      </c>
      <c r="E283" t="s">
        <v>7200</v>
      </c>
      <c r="F283">
        <v>1</v>
      </c>
      <c r="G283" t="s">
        <v>7223</v>
      </c>
      <c r="H283" t="s">
        <v>6627</v>
      </c>
      <c r="I283" t="s">
        <v>6628</v>
      </c>
      <c r="J283" t="s">
        <v>6683</v>
      </c>
      <c r="K283" t="s">
        <v>6684</v>
      </c>
      <c r="L283" s="4">
        <v>46121</v>
      </c>
      <c r="M283" t="s">
        <v>7700</v>
      </c>
      <c r="N283">
        <v>1</v>
      </c>
      <c r="O283">
        <v>3000000001827565</v>
      </c>
      <c r="P283" t="s">
        <v>6782</v>
      </c>
      <c r="Q283" t="s">
        <v>7210</v>
      </c>
      <c r="W283" t="str">
        <f>Tabla_Consulta_desde_Proyectos10[[#This Row],[PRYcodigo]]&amp;Tabla_Consulta_desde_Proyectos10[[#This Row],[PRYApath]]</f>
        <v>151-400-RGT2.0/0020/0002</v>
      </c>
      <c r="X283" t="str">
        <f>Tabla_Consulta_desde_Proyectos10[[#This Row],[PRYAcodigo]]&amp;" - "&amp;Tabla_Consulta_desde_Proyectos10[[#This Row],[PRYAdescripcion]]</f>
        <v>1 - LIBERACIÓN DE SOFTWARE Y DEPLOYMENTS</v>
      </c>
      <c r="Y283" t="str">
        <f>SUBSTITUTE(IFERROR(VLOOKUP(LEFT(Tabla_Consulta_desde_Proyectos10[[#This Row],[Nivel1]],LEN(Tabla_Consulta_desde_Proyectos10[[#This Row],[Nivel1]])-5),Tabla_Consulta_desde_Proyectos10[[#All],[Nivel1]:[Actividad]],2,FALSE),""),"_","-")</f>
        <v>500.1-RM - ACTIVIDADES DEL EQUIPO DE RELEASE MANAGMENT</v>
      </c>
      <c r="Z283" t="str">
        <f>IFERROR(VLOOKUP(Tabla_Consulta_desde_Proyectos10[[#This Row],[PRYRAfecha]],'Fechas Mes'!G:J,4,TRUE),"")</f>
        <v>Semana 48CIP2</v>
      </c>
      <c r="AA283" t="str" cm="1">
        <f t="array" ref="AA283">INDEX('Fechas Mes'!F:F,MATCH(Tabla_Consulta_desde_Proyectos10[[#This Row],[Semana]],'Fechas Mes'!J:J,0),)</f>
        <v>M12CIP2</v>
      </c>
      <c r="AB283">
        <f>YEAR(Tabla_Consulta_desde_Proyectos10[[#This Row],[PRYRAfecha]])</f>
        <v>2026</v>
      </c>
      <c r="AC283" t="str">
        <f>VLOOKUP(Tabla_Consulta_desde_Proyectos10[[#This Row],[PRYRAfecha]],'Fechas Mes'!G:J,4,TRUE)</f>
        <v>Semana 48CIP2</v>
      </c>
      <c r="AD283" t="str">
        <f>IFERROR(VLOOKUP(Tabla_Consulta_desde_Proyectos10[[#This Row],[PRYcodigo]],Catálogo!A:B,2,FALSE),"Otros")</f>
        <v>Otros</v>
      </c>
      <c r="AE283" t="str">
        <f>IF(LEN(Tabla_Consulta_desde_Proyectos10[[#This Row],[Semana]])&lt;13,"CI",RIGHT(Tabla_Consulta_desde_Proyectos10[[#This Row],[Semana]],4))</f>
        <v>CIP2</v>
      </c>
    </row>
    <row r="284" spans="1:31">
      <c r="A284" t="s">
        <v>4032</v>
      </c>
      <c r="B284" t="s">
        <v>5344</v>
      </c>
      <c r="C284" t="s">
        <v>5345</v>
      </c>
      <c r="D284" t="s">
        <v>7199</v>
      </c>
      <c r="E284" t="s">
        <v>7200</v>
      </c>
      <c r="F284">
        <v>1</v>
      </c>
      <c r="G284" t="s">
        <v>7223</v>
      </c>
      <c r="H284" t="s">
        <v>6627</v>
      </c>
      <c r="I284" t="s">
        <v>6628</v>
      </c>
      <c r="J284" t="s">
        <v>6683</v>
      </c>
      <c r="K284" t="s">
        <v>6684</v>
      </c>
      <c r="L284" s="4">
        <v>46122</v>
      </c>
      <c r="M284" t="s">
        <v>7577</v>
      </c>
      <c r="N284">
        <v>1</v>
      </c>
      <c r="O284">
        <v>3000000001827105</v>
      </c>
      <c r="P284" t="s">
        <v>6782</v>
      </c>
      <c r="Q284" t="s">
        <v>7210</v>
      </c>
      <c r="W284" t="str">
        <f>Tabla_Consulta_desde_Proyectos10[[#This Row],[PRYcodigo]]&amp;Tabla_Consulta_desde_Proyectos10[[#This Row],[PRYApath]]</f>
        <v>151-400-RGT2.0/0020/0002</v>
      </c>
      <c r="X284" t="str">
        <f>Tabla_Consulta_desde_Proyectos10[[#This Row],[PRYAcodigo]]&amp;" - "&amp;Tabla_Consulta_desde_Proyectos10[[#This Row],[PRYAdescripcion]]</f>
        <v>1 - LIBERACIÓN DE SOFTWARE Y DEPLOYMENTS</v>
      </c>
      <c r="Y284" t="str">
        <f>SUBSTITUTE(IFERROR(VLOOKUP(LEFT(Tabla_Consulta_desde_Proyectos10[[#This Row],[Nivel1]],LEN(Tabla_Consulta_desde_Proyectos10[[#This Row],[Nivel1]])-5),Tabla_Consulta_desde_Proyectos10[[#All],[Nivel1]:[Actividad]],2,FALSE),""),"_","-")</f>
        <v>500.1-RM - ACTIVIDADES DEL EQUIPO DE RELEASE MANAGMENT</v>
      </c>
      <c r="Z284" t="str">
        <f>IFERROR(VLOOKUP(Tabla_Consulta_desde_Proyectos10[[#This Row],[PRYRAfecha]],'Fechas Mes'!G:J,4,TRUE),"")</f>
        <v>Semana 48CIP2</v>
      </c>
      <c r="AA284" t="str" cm="1">
        <f t="array" ref="AA284">INDEX('Fechas Mes'!F:F,MATCH(Tabla_Consulta_desde_Proyectos10[[#This Row],[Semana]],'Fechas Mes'!J:J,0),)</f>
        <v>M12CIP2</v>
      </c>
      <c r="AB284">
        <f>YEAR(Tabla_Consulta_desde_Proyectos10[[#This Row],[PRYRAfecha]])</f>
        <v>2026</v>
      </c>
      <c r="AC284" t="str">
        <f>VLOOKUP(Tabla_Consulta_desde_Proyectos10[[#This Row],[PRYRAfecha]],'Fechas Mes'!G:J,4,TRUE)</f>
        <v>Semana 48CIP2</v>
      </c>
      <c r="AD284" t="str">
        <f>IFERROR(VLOOKUP(Tabla_Consulta_desde_Proyectos10[[#This Row],[PRYcodigo]],Catálogo!A:B,2,FALSE),"Otros")</f>
        <v>Otros</v>
      </c>
      <c r="AE284" t="str">
        <f>IF(LEN(Tabla_Consulta_desde_Proyectos10[[#This Row],[Semana]])&lt;13,"CI",RIGHT(Tabla_Consulta_desde_Proyectos10[[#This Row],[Semana]],4))</f>
        <v>CIP2</v>
      </c>
    </row>
    <row r="285" spans="1:31">
      <c r="A285" t="s">
        <v>4032</v>
      </c>
      <c r="B285" t="s">
        <v>5344</v>
      </c>
      <c r="C285" t="s">
        <v>5345</v>
      </c>
      <c r="D285" t="s">
        <v>7199</v>
      </c>
      <c r="E285" t="s">
        <v>7200</v>
      </c>
      <c r="F285">
        <v>1</v>
      </c>
      <c r="G285" t="s">
        <v>7223</v>
      </c>
      <c r="H285" t="s">
        <v>6627</v>
      </c>
      <c r="I285" t="s">
        <v>6628</v>
      </c>
      <c r="J285" t="s">
        <v>6683</v>
      </c>
      <c r="K285" t="s">
        <v>6684</v>
      </c>
      <c r="L285" s="4">
        <v>46126</v>
      </c>
      <c r="M285" t="s">
        <v>7701</v>
      </c>
      <c r="N285">
        <v>1</v>
      </c>
      <c r="O285">
        <v>3000000001829472</v>
      </c>
      <c r="P285" t="s">
        <v>6782</v>
      </c>
      <c r="Q285" t="s">
        <v>7210</v>
      </c>
      <c r="W285" t="str">
        <f>Tabla_Consulta_desde_Proyectos10[[#This Row],[PRYcodigo]]&amp;Tabla_Consulta_desde_Proyectos10[[#This Row],[PRYApath]]</f>
        <v>151-400-RGT2.0/0020/0002</v>
      </c>
      <c r="X285" t="str">
        <f>Tabla_Consulta_desde_Proyectos10[[#This Row],[PRYAcodigo]]&amp;" - "&amp;Tabla_Consulta_desde_Proyectos10[[#This Row],[PRYAdescripcion]]</f>
        <v>1 - LIBERACIÓN DE SOFTWARE Y DEPLOYMENTS</v>
      </c>
      <c r="Y285" t="str">
        <f>SUBSTITUTE(IFERROR(VLOOKUP(LEFT(Tabla_Consulta_desde_Proyectos10[[#This Row],[Nivel1]],LEN(Tabla_Consulta_desde_Proyectos10[[#This Row],[Nivel1]])-5),Tabla_Consulta_desde_Proyectos10[[#All],[Nivel1]:[Actividad]],2,FALSE),""),"_","-")</f>
        <v>500.1-RM - ACTIVIDADES DEL EQUIPO DE RELEASE MANAGMENT</v>
      </c>
      <c r="Z285" t="str">
        <f>IFERROR(VLOOKUP(Tabla_Consulta_desde_Proyectos10[[#This Row],[PRYRAfecha]],'Fechas Mes'!G:J,4,TRUE),"")</f>
        <v>Semana 48CIP2</v>
      </c>
      <c r="AA285" t="str" cm="1">
        <f t="array" ref="AA285">INDEX('Fechas Mes'!F:F,MATCH(Tabla_Consulta_desde_Proyectos10[[#This Row],[Semana]],'Fechas Mes'!J:J,0),)</f>
        <v>M12CIP2</v>
      </c>
      <c r="AB285">
        <f>YEAR(Tabla_Consulta_desde_Proyectos10[[#This Row],[PRYRAfecha]])</f>
        <v>2026</v>
      </c>
      <c r="AC285" t="str">
        <f>VLOOKUP(Tabla_Consulta_desde_Proyectos10[[#This Row],[PRYRAfecha]],'Fechas Mes'!G:J,4,TRUE)</f>
        <v>Semana 48CIP2</v>
      </c>
      <c r="AD285" t="str">
        <f>IFERROR(VLOOKUP(Tabla_Consulta_desde_Proyectos10[[#This Row],[PRYcodigo]],Catálogo!A:B,2,FALSE),"Otros")</f>
        <v>Otros</v>
      </c>
      <c r="AE285" t="str">
        <f>IF(LEN(Tabla_Consulta_desde_Proyectos10[[#This Row],[Semana]])&lt;13,"CI",RIGHT(Tabla_Consulta_desde_Proyectos10[[#This Row],[Semana]],4))</f>
        <v>CIP2</v>
      </c>
    </row>
    <row r="286" spans="1:31">
      <c r="A286" t="s">
        <v>4032</v>
      </c>
      <c r="B286" t="s">
        <v>5344</v>
      </c>
      <c r="C286" t="s">
        <v>5345</v>
      </c>
      <c r="D286" t="s">
        <v>7199</v>
      </c>
      <c r="E286" t="s">
        <v>7200</v>
      </c>
      <c r="F286">
        <v>1</v>
      </c>
      <c r="G286" t="s">
        <v>7223</v>
      </c>
      <c r="H286" t="s">
        <v>6627</v>
      </c>
      <c r="I286" t="s">
        <v>6628</v>
      </c>
      <c r="J286" t="s">
        <v>6683</v>
      </c>
      <c r="K286" t="s">
        <v>6684</v>
      </c>
      <c r="L286" s="4">
        <v>46128</v>
      </c>
      <c r="M286" t="s">
        <v>7702</v>
      </c>
      <c r="N286">
        <v>1</v>
      </c>
      <c r="O286">
        <v>3000000001829486</v>
      </c>
      <c r="P286" t="s">
        <v>6782</v>
      </c>
      <c r="Q286" t="s">
        <v>7210</v>
      </c>
      <c r="W286" t="str">
        <f>Tabla_Consulta_desde_Proyectos10[[#This Row],[PRYcodigo]]&amp;Tabla_Consulta_desde_Proyectos10[[#This Row],[PRYApath]]</f>
        <v>151-400-RGT2.0/0020/0002</v>
      </c>
      <c r="X286" t="str">
        <f>Tabla_Consulta_desde_Proyectos10[[#This Row],[PRYAcodigo]]&amp;" - "&amp;Tabla_Consulta_desde_Proyectos10[[#This Row],[PRYAdescripcion]]</f>
        <v>1 - LIBERACIÓN DE SOFTWARE Y DEPLOYMENTS</v>
      </c>
      <c r="Y286" t="str">
        <f>SUBSTITUTE(IFERROR(VLOOKUP(LEFT(Tabla_Consulta_desde_Proyectos10[[#This Row],[Nivel1]],LEN(Tabla_Consulta_desde_Proyectos10[[#This Row],[Nivel1]])-5),Tabla_Consulta_desde_Proyectos10[[#All],[Nivel1]:[Actividad]],2,FALSE),""),"_","-")</f>
        <v>500.1-RM - ACTIVIDADES DEL EQUIPO DE RELEASE MANAGMENT</v>
      </c>
      <c r="Z286" t="str">
        <f>IFERROR(VLOOKUP(Tabla_Consulta_desde_Proyectos10[[#This Row],[PRYRAfecha]],'Fechas Mes'!G:J,4,TRUE),"")</f>
        <v>Semana 48CIP2</v>
      </c>
      <c r="AA286" t="str" cm="1">
        <f t="array" ref="AA286">INDEX('Fechas Mes'!F:F,MATCH(Tabla_Consulta_desde_Proyectos10[[#This Row],[Semana]],'Fechas Mes'!J:J,0),)</f>
        <v>M12CIP2</v>
      </c>
      <c r="AB286">
        <f>YEAR(Tabla_Consulta_desde_Proyectos10[[#This Row],[PRYRAfecha]])</f>
        <v>2026</v>
      </c>
      <c r="AC286" t="str">
        <f>VLOOKUP(Tabla_Consulta_desde_Proyectos10[[#This Row],[PRYRAfecha]],'Fechas Mes'!G:J,4,TRUE)</f>
        <v>Semana 48CIP2</v>
      </c>
      <c r="AD286" t="str">
        <f>IFERROR(VLOOKUP(Tabla_Consulta_desde_Proyectos10[[#This Row],[PRYcodigo]],Catálogo!A:B,2,FALSE),"Otros")</f>
        <v>Otros</v>
      </c>
      <c r="AE286" t="str">
        <f>IF(LEN(Tabla_Consulta_desde_Proyectos10[[#This Row],[Semana]])&lt;13,"CI",RIGHT(Tabla_Consulta_desde_Proyectos10[[#This Row],[Semana]],4))</f>
        <v>CIP2</v>
      </c>
    </row>
    <row r="287" spans="1:31">
      <c r="A287" t="s">
        <v>4032</v>
      </c>
      <c r="B287" t="s">
        <v>5344</v>
      </c>
      <c r="C287" t="s">
        <v>5345</v>
      </c>
      <c r="D287" t="s">
        <v>7199</v>
      </c>
      <c r="E287" t="s">
        <v>7200</v>
      </c>
      <c r="F287">
        <v>1</v>
      </c>
      <c r="G287" t="s">
        <v>7223</v>
      </c>
      <c r="H287" t="s">
        <v>6627</v>
      </c>
      <c r="I287" t="s">
        <v>6628</v>
      </c>
      <c r="J287" t="s">
        <v>6683</v>
      </c>
      <c r="K287" t="s">
        <v>6684</v>
      </c>
      <c r="L287" s="4">
        <v>46139</v>
      </c>
      <c r="M287" t="s">
        <v>7703</v>
      </c>
      <c r="N287">
        <v>1.5</v>
      </c>
      <c r="O287">
        <v>3000000001834702</v>
      </c>
      <c r="P287" t="s">
        <v>6782</v>
      </c>
      <c r="Q287" t="s">
        <v>7210</v>
      </c>
      <c r="W287" t="str">
        <f>Tabla_Consulta_desde_Proyectos10[[#This Row],[PRYcodigo]]&amp;Tabla_Consulta_desde_Proyectos10[[#This Row],[PRYApath]]</f>
        <v>151-400-RGT2.0/0020/0002</v>
      </c>
      <c r="X287" t="str">
        <f>Tabla_Consulta_desde_Proyectos10[[#This Row],[PRYAcodigo]]&amp;" - "&amp;Tabla_Consulta_desde_Proyectos10[[#This Row],[PRYAdescripcion]]</f>
        <v>1 - LIBERACIÓN DE SOFTWARE Y DEPLOYMENTS</v>
      </c>
      <c r="Y287" t="str">
        <f>SUBSTITUTE(IFERROR(VLOOKUP(LEFT(Tabla_Consulta_desde_Proyectos10[[#This Row],[Nivel1]],LEN(Tabla_Consulta_desde_Proyectos10[[#This Row],[Nivel1]])-5),Tabla_Consulta_desde_Proyectos10[[#All],[Nivel1]:[Actividad]],2,FALSE),""),"_","-")</f>
        <v>500.1-RM - ACTIVIDADES DEL EQUIPO DE RELEASE MANAGMENT</v>
      </c>
      <c r="Z287" t="str">
        <f>IFERROR(VLOOKUP(Tabla_Consulta_desde_Proyectos10[[#This Row],[PRYRAfecha]],'Fechas Mes'!G:J,4,TRUE),"")</f>
        <v>Semana 48CIP2</v>
      </c>
      <c r="AA287" t="str" cm="1">
        <f t="array" ref="AA287">INDEX('Fechas Mes'!F:F,MATCH(Tabla_Consulta_desde_Proyectos10[[#This Row],[Semana]],'Fechas Mes'!J:J,0),)</f>
        <v>M12CIP2</v>
      </c>
      <c r="AB287">
        <f>YEAR(Tabla_Consulta_desde_Proyectos10[[#This Row],[PRYRAfecha]])</f>
        <v>2026</v>
      </c>
      <c r="AC287" t="str">
        <f>VLOOKUP(Tabla_Consulta_desde_Proyectos10[[#This Row],[PRYRAfecha]],'Fechas Mes'!G:J,4,TRUE)</f>
        <v>Semana 48CIP2</v>
      </c>
      <c r="AD287" t="str">
        <f>IFERROR(VLOOKUP(Tabla_Consulta_desde_Proyectos10[[#This Row],[PRYcodigo]],Catálogo!A:B,2,FALSE),"Otros")</f>
        <v>Otros</v>
      </c>
      <c r="AE287" t="str">
        <f>IF(LEN(Tabla_Consulta_desde_Proyectos10[[#This Row],[Semana]])&lt;13,"CI",RIGHT(Tabla_Consulta_desde_Proyectos10[[#This Row],[Semana]],4))</f>
        <v>CIP2</v>
      </c>
    </row>
    <row r="288" spans="1:31">
      <c r="A288" t="s">
        <v>4032</v>
      </c>
      <c r="B288" t="s">
        <v>5344</v>
      </c>
      <c r="C288" t="s">
        <v>5345</v>
      </c>
      <c r="D288" t="s">
        <v>7199</v>
      </c>
      <c r="E288" t="s">
        <v>7200</v>
      </c>
      <c r="F288">
        <v>1</v>
      </c>
      <c r="G288" t="s">
        <v>7223</v>
      </c>
      <c r="H288" t="s">
        <v>6627</v>
      </c>
      <c r="I288" t="s">
        <v>6628</v>
      </c>
      <c r="J288" t="s">
        <v>6683</v>
      </c>
      <c r="K288" t="s">
        <v>6684</v>
      </c>
      <c r="L288" s="4">
        <v>46141</v>
      </c>
      <c r="M288" t="s">
        <v>7704</v>
      </c>
      <c r="N288">
        <v>1</v>
      </c>
      <c r="O288">
        <v>3000000001837775</v>
      </c>
      <c r="P288" t="s">
        <v>6782</v>
      </c>
      <c r="Q288" t="s">
        <v>7210</v>
      </c>
      <c r="W288" t="str">
        <f>Tabla_Consulta_desde_Proyectos10[[#This Row],[PRYcodigo]]&amp;Tabla_Consulta_desde_Proyectos10[[#This Row],[PRYApath]]</f>
        <v>151-400-RGT2.0/0020/0002</v>
      </c>
      <c r="X288" t="str">
        <f>Tabla_Consulta_desde_Proyectos10[[#This Row],[PRYAcodigo]]&amp;" - "&amp;Tabla_Consulta_desde_Proyectos10[[#This Row],[PRYAdescripcion]]</f>
        <v>1 - LIBERACIÓN DE SOFTWARE Y DEPLOYMENTS</v>
      </c>
      <c r="Y288" t="str">
        <f>SUBSTITUTE(IFERROR(VLOOKUP(LEFT(Tabla_Consulta_desde_Proyectos10[[#This Row],[Nivel1]],LEN(Tabla_Consulta_desde_Proyectos10[[#This Row],[Nivel1]])-5),Tabla_Consulta_desde_Proyectos10[[#All],[Nivel1]:[Actividad]],2,FALSE),""),"_","-")</f>
        <v>500.1-RM - ACTIVIDADES DEL EQUIPO DE RELEASE MANAGMENT</v>
      </c>
      <c r="Z288" t="str">
        <f>IFERROR(VLOOKUP(Tabla_Consulta_desde_Proyectos10[[#This Row],[PRYRAfecha]],'Fechas Mes'!G:J,4,TRUE),"")</f>
        <v>Semana 48CIP2</v>
      </c>
      <c r="AA288" t="str" cm="1">
        <f t="array" ref="AA288">INDEX('Fechas Mes'!F:F,MATCH(Tabla_Consulta_desde_Proyectos10[[#This Row],[Semana]],'Fechas Mes'!J:J,0),)</f>
        <v>M12CIP2</v>
      </c>
      <c r="AB288">
        <f>YEAR(Tabla_Consulta_desde_Proyectos10[[#This Row],[PRYRAfecha]])</f>
        <v>2026</v>
      </c>
      <c r="AC288" t="str">
        <f>VLOOKUP(Tabla_Consulta_desde_Proyectos10[[#This Row],[PRYRAfecha]],'Fechas Mes'!G:J,4,TRUE)</f>
        <v>Semana 48CIP2</v>
      </c>
      <c r="AD288" t="str">
        <f>IFERROR(VLOOKUP(Tabla_Consulta_desde_Proyectos10[[#This Row],[PRYcodigo]],Catálogo!A:B,2,FALSE),"Otros")</f>
        <v>Otros</v>
      </c>
      <c r="AE288" t="str">
        <f>IF(LEN(Tabla_Consulta_desde_Proyectos10[[#This Row],[Semana]])&lt;13,"CI",RIGHT(Tabla_Consulta_desde_Proyectos10[[#This Row],[Semana]],4))</f>
        <v>CIP2</v>
      </c>
    </row>
    <row r="289" spans="1:31">
      <c r="A289" t="s">
        <v>4032</v>
      </c>
      <c r="B289" t="s">
        <v>5344</v>
      </c>
      <c r="C289" t="s">
        <v>5345</v>
      </c>
      <c r="D289" t="s">
        <v>7201</v>
      </c>
      <c r="E289" t="s">
        <v>7202</v>
      </c>
      <c r="F289">
        <v>1</v>
      </c>
      <c r="G289" t="s">
        <v>7224</v>
      </c>
      <c r="H289" t="s">
        <v>753</v>
      </c>
      <c r="I289" t="s">
        <v>6067</v>
      </c>
      <c r="J289" t="s">
        <v>6838</v>
      </c>
      <c r="K289" t="s">
        <v>6839</v>
      </c>
      <c r="L289" s="4">
        <v>46113</v>
      </c>
      <c r="M289" t="s">
        <v>7705</v>
      </c>
      <c r="N289">
        <v>0.75</v>
      </c>
      <c r="O289">
        <v>3000000001823086</v>
      </c>
      <c r="P289" t="s">
        <v>6784</v>
      </c>
      <c r="Q289" t="s">
        <v>7213</v>
      </c>
      <c r="W289" t="str">
        <f>Tabla_Consulta_desde_Proyectos10[[#This Row],[PRYcodigo]]&amp;Tabla_Consulta_desde_Proyectos10[[#This Row],[PRYApath]]</f>
        <v>151-400-RGT2.0/0020/0004</v>
      </c>
      <c r="X289" t="str">
        <f>Tabla_Consulta_desde_Proyectos10[[#This Row],[PRYAcodigo]]&amp;" - "&amp;Tabla_Consulta_desde_Proyectos10[[#This Row],[PRYAdescripcion]]</f>
        <v>2 - ADMINISTRACIÓN Y MANTENIMIENTO DE INFRAESTRUCTURA</v>
      </c>
      <c r="Y289" t="str">
        <f>SUBSTITUTE(IFERROR(VLOOKUP(LEFT(Tabla_Consulta_desde_Proyectos10[[#This Row],[Nivel1]],LEN(Tabla_Consulta_desde_Proyectos10[[#This Row],[Nivel1]])-5),Tabla_Consulta_desde_Proyectos10[[#All],[Nivel1]:[Actividad]],2,FALSE),""),"_","-")</f>
        <v>500.1-RM - ACTIVIDADES DEL EQUIPO DE RELEASE MANAGMENT</v>
      </c>
      <c r="Z289" t="str">
        <f>IFERROR(VLOOKUP(Tabla_Consulta_desde_Proyectos10[[#This Row],[PRYRAfecha]],'Fechas Mes'!G:J,4,TRUE),"")</f>
        <v>Semana 48CIP2</v>
      </c>
      <c r="AA289" t="str" cm="1">
        <f t="array" ref="AA289">INDEX('Fechas Mes'!F:F,MATCH(Tabla_Consulta_desde_Proyectos10[[#This Row],[Semana]],'Fechas Mes'!J:J,0),)</f>
        <v>M12CIP2</v>
      </c>
      <c r="AB289">
        <f>YEAR(Tabla_Consulta_desde_Proyectos10[[#This Row],[PRYRAfecha]])</f>
        <v>2026</v>
      </c>
      <c r="AC289" t="str">
        <f>VLOOKUP(Tabla_Consulta_desde_Proyectos10[[#This Row],[PRYRAfecha]],'Fechas Mes'!G:J,4,TRUE)</f>
        <v>Semana 48CIP2</v>
      </c>
      <c r="AD289" t="str">
        <f>IFERROR(VLOOKUP(Tabla_Consulta_desde_Proyectos10[[#This Row],[PRYcodigo]],Catálogo!A:B,2,FALSE),"Otros")</f>
        <v>Otros</v>
      </c>
      <c r="AE289" t="str">
        <f>IF(LEN(Tabla_Consulta_desde_Proyectos10[[#This Row],[Semana]])&lt;13,"CI",RIGHT(Tabla_Consulta_desde_Proyectos10[[#This Row],[Semana]],4))</f>
        <v>CIP2</v>
      </c>
    </row>
    <row r="290" spans="1:31">
      <c r="A290" t="s">
        <v>4032</v>
      </c>
      <c r="B290" t="s">
        <v>5344</v>
      </c>
      <c r="C290" t="s">
        <v>5345</v>
      </c>
      <c r="D290" t="s">
        <v>7201</v>
      </c>
      <c r="E290" t="s">
        <v>7202</v>
      </c>
      <c r="F290">
        <v>1</v>
      </c>
      <c r="G290" t="s">
        <v>7224</v>
      </c>
      <c r="H290" t="s">
        <v>753</v>
      </c>
      <c r="I290" t="s">
        <v>6067</v>
      </c>
      <c r="J290" t="s">
        <v>6838</v>
      </c>
      <c r="K290" t="s">
        <v>6839</v>
      </c>
      <c r="L290" s="4">
        <v>46118</v>
      </c>
      <c r="M290" t="s">
        <v>7706</v>
      </c>
      <c r="N290">
        <v>0.25</v>
      </c>
      <c r="O290">
        <v>3000000001826606</v>
      </c>
      <c r="P290" t="s">
        <v>6784</v>
      </c>
      <c r="Q290" t="s">
        <v>7213</v>
      </c>
      <c r="W290" t="str">
        <f>Tabla_Consulta_desde_Proyectos10[[#This Row],[PRYcodigo]]&amp;Tabla_Consulta_desde_Proyectos10[[#This Row],[PRYApath]]</f>
        <v>151-400-RGT2.0/0020/0004</v>
      </c>
      <c r="X290" t="str">
        <f>Tabla_Consulta_desde_Proyectos10[[#This Row],[PRYAcodigo]]&amp;" - "&amp;Tabla_Consulta_desde_Proyectos10[[#This Row],[PRYAdescripcion]]</f>
        <v>2 - ADMINISTRACIÓN Y MANTENIMIENTO DE INFRAESTRUCTURA</v>
      </c>
      <c r="Y290" t="str">
        <f>SUBSTITUTE(IFERROR(VLOOKUP(LEFT(Tabla_Consulta_desde_Proyectos10[[#This Row],[Nivel1]],LEN(Tabla_Consulta_desde_Proyectos10[[#This Row],[Nivel1]])-5),Tabla_Consulta_desde_Proyectos10[[#All],[Nivel1]:[Actividad]],2,FALSE),""),"_","-")</f>
        <v>500.1-RM - ACTIVIDADES DEL EQUIPO DE RELEASE MANAGMENT</v>
      </c>
      <c r="Z290" t="str">
        <f>IFERROR(VLOOKUP(Tabla_Consulta_desde_Proyectos10[[#This Row],[PRYRAfecha]],'Fechas Mes'!G:J,4,TRUE),"")</f>
        <v>Semana 48CIP2</v>
      </c>
      <c r="AA290" t="str" cm="1">
        <f t="array" ref="AA290">INDEX('Fechas Mes'!F:F,MATCH(Tabla_Consulta_desde_Proyectos10[[#This Row],[Semana]],'Fechas Mes'!J:J,0),)</f>
        <v>M12CIP2</v>
      </c>
      <c r="AB290">
        <f>YEAR(Tabla_Consulta_desde_Proyectos10[[#This Row],[PRYRAfecha]])</f>
        <v>2026</v>
      </c>
      <c r="AC290" t="str">
        <f>VLOOKUP(Tabla_Consulta_desde_Proyectos10[[#This Row],[PRYRAfecha]],'Fechas Mes'!G:J,4,TRUE)</f>
        <v>Semana 48CIP2</v>
      </c>
      <c r="AD290" t="str">
        <f>IFERROR(VLOOKUP(Tabla_Consulta_desde_Proyectos10[[#This Row],[PRYcodigo]],Catálogo!A:B,2,FALSE),"Otros")</f>
        <v>Otros</v>
      </c>
      <c r="AE290" t="str">
        <f>IF(LEN(Tabla_Consulta_desde_Proyectos10[[#This Row],[Semana]])&lt;13,"CI",RIGHT(Tabla_Consulta_desde_Proyectos10[[#This Row],[Semana]],4))</f>
        <v>CIP2</v>
      </c>
    </row>
    <row r="291" spans="1:31">
      <c r="A291" t="s">
        <v>4032</v>
      </c>
      <c r="B291" t="s">
        <v>5344</v>
      </c>
      <c r="C291" t="s">
        <v>5345</v>
      </c>
      <c r="D291" t="s">
        <v>7201</v>
      </c>
      <c r="E291" t="s">
        <v>7202</v>
      </c>
      <c r="F291">
        <v>1</v>
      </c>
      <c r="G291" t="s">
        <v>7224</v>
      </c>
      <c r="H291" t="s">
        <v>753</v>
      </c>
      <c r="I291" t="s">
        <v>6067</v>
      </c>
      <c r="J291" t="s">
        <v>6838</v>
      </c>
      <c r="K291" t="s">
        <v>6839</v>
      </c>
      <c r="L291" s="4">
        <v>46118</v>
      </c>
      <c r="M291" t="s">
        <v>7707</v>
      </c>
      <c r="N291">
        <v>0.5</v>
      </c>
      <c r="O291">
        <v>3000000001826650</v>
      </c>
      <c r="P291" t="s">
        <v>6784</v>
      </c>
      <c r="Q291" t="s">
        <v>7213</v>
      </c>
      <c r="W291" t="str">
        <f>Tabla_Consulta_desde_Proyectos10[[#This Row],[PRYcodigo]]&amp;Tabla_Consulta_desde_Proyectos10[[#This Row],[PRYApath]]</f>
        <v>151-400-RGT2.0/0020/0004</v>
      </c>
      <c r="X291" t="str">
        <f>Tabla_Consulta_desde_Proyectos10[[#This Row],[PRYAcodigo]]&amp;" - "&amp;Tabla_Consulta_desde_Proyectos10[[#This Row],[PRYAdescripcion]]</f>
        <v>2 - ADMINISTRACIÓN Y MANTENIMIENTO DE INFRAESTRUCTURA</v>
      </c>
      <c r="Y291" t="str">
        <f>SUBSTITUTE(IFERROR(VLOOKUP(LEFT(Tabla_Consulta_desde_Proyectos10[[#This Row],[Nivel1]],LEN(Tabla_Consulta_desde_Proyectos10[[#This Row],[Nivel1]])-5),Tabla_Consulta_desde_Proyectos10[[#All],[Nivel1]:[Actividad]],2,FALSE),""),"_","-")</f>
        <v>500.1-RM - ACTIVIDADES DEL EQUIPO DE RELEASE MANAGMENT</v>
      </c>
      <c r="Z291" t="str">
        <f>IFERROR(VLOOKUP(Tabla_Consulta_desde_Proyectos10[[#This Row],[PRYRAfecha]],'Fechas Mes'!G:J,4,TRUE),"")</f>
        <v>Semana 48CIP2</v>
      </c>
      <c r="AA291" t="str" cm="1">
        <f t="array" ref="AA291">INDEX('Fechas Mes'!F:F,MATCH(Tabla_Consulta_desde_Proyectos10[[#This Row],[Semana]],'Fechas Mes'!J:J,0),)</f>
        <v>M12CIP2</v>
      </c>
      <c r="AB291">
        <f>YEAR(Tabla_Consulta_desde_Proyectos10[[#This Row],[PRYRAfecha]])</f>
        <v>2026</v>
      </c>
      <c r="AC291" t="str">
        <f>VLOOKUP(Tabla_Consulta_desde_Proyectos10[[#This Row],[PRYRAfecha]],'Fechas Mes'!G:J,4,TRUE)</f>
        <v>Semana 48CIP2</v>
      </c>
      <c r="AD291" t="str">
        <f>IFERROR(VLOOKUP(Tabla_Consulta_desde_Proyectos10[[#This Row],[PRYcodigo]],Catálogo!A:B,2,FALSE),"Otros")</f>
        <v>Otros</v>
      </c>
      <c r="AE291" t="str">
        <f>IF(LEN(Tabla_Consulta_desde_Proyectos10[[#This Row],[Semana]])&lt;13,"CI",RIGHT(Tabla_Consulta_desde_Proyectos10[[#This Row],[Semana]],4))</f>
        <v>CIP2</v>
      </c>
    </row>
    <row r="292" spans="1:31">
      <c r="A292" t="s">
        <v>4032</v>
      </c>
      <c r="B292" t="s">
        <v>5344</v>
      </c>
      <c r="C292" t="s">
        <v>5345</v>
      </c>
      <c r="D292" t="s">
        <v>7201</v>
      </c>
      <c r="E292" t="s">
        <v>7202</v>
      </c>
      <c r="F292">
        <v>1</v>
      </c>
      <c r="G292" t="s">
        <v>7224</v>
      </c>
      <c r="H292" t="s">
        <v>753</v>
      </c>
      <c r="I292" t="s">
        <v>6067</v>
      </c>
      <c r="J292" t="s">
        <v>6838</v>
      </c>
      <c r="K292" t="s">
        <v>6839</v>
      </c>
      <c r="L292" s="4">
        <v>46118</v>
      </c>
      <c r="M292" t="s">
        <v>7708</v>
      </c>
      <c r="N292">
        <v>1</v>
      </c>
      <c r="O292">
        <v>3000000001826658</v>
      </c>
      <c r="P292" t="s">
        <v>6784</v>
      </c>
      <c r="Q292" t="s">
        <v>7213</v>
      </c>
      <c r="W292" t="str">
        <f>Tabla_Consulta_desde_Proyectos10[[#This Row],[PRYcodigo]]&amp;Tabla_Consulta_desde_Proyectos10[[#This Row],[PRYApath]]</f>
        <v>151-400-RGT2.0/0020/0004</v>
      </c>
      <c r="X292" t="str">
        <f>Tabla_Consulta_desde_Proyectos10[[#This Row],[PRYAcodigo]]&amp;" - "&amp;Tabla_Consulta_desde_Proyectos10[[#This Row],[PRYAdescripcion]]</f>
        <v>2 - ADMINISTRACIÓN Y MANTENIMIENTO DE INFRAESTRUCTURA</v>
      </c>
      <c r="Y292" t="str">
        <f>SUBSTITUTE(IFERROR(VLOOKUP(LEFT(Tabla_Consulta_desde_Proyectos10[[#This Row],[Nivel1]],LEN(Tabla_Consulta_desde_Proyectos10[[#This Row],[Nivel1]])-5),Tabla_Consulta_desde_Proyectos10[[#All],[Nivel1]:[Actividad]],2,FALSE),""),"_","-")</f>
        <v>500.1-RM - ACTIVIDADES DEL EQUIPO DE RELEASE MANAGMENT</v>
      </c>
      <c r="Z292" t="str">
        <f>IFERROR(VLOOKUP(Tabla_Consulta_desde_Proyectos10[[#This Row],[PRYRAfecha]],'Fechas Mes'!G:J,4,TRUE),"")</f>
        <v>Semana 48CIP2</v>
      </c>
      <c r="AA292" t="str" cm="1">
        <f t="array" ref="AA292">INDEX('Fechas Mes'!F:F,MATCH(Tabla_Consulta_desde_Proyectos10[[#This Row],[Semana]],'Fechas Mes'!J:J,0),)</f>
        <v>M12CIP2</v>
      </c>
      <c r="AB292">
        <f>YEAR(Tabla_Consulta_desde_Proyectos10[[#This Row],[PRYRAfecha]])</f>
        <v>2026</v>
      </c>
      <c r="AC292" t="str">
        <f>VLOOKUP(Tabla_Consulta_desde_Proyectos10[[#This Row],[PRYRAfecha]],'Fechas Mes'!G:J,4,TRUE)</f>
        <v>Semana 48CIP2</v>
      </c>
      <c r="AD292" t="str">
        <f>IFERROR(VLOOKUP(Tabla_Consulta_desde_Proyectos10[[#This Row],[PRYcodigo]],Catálogo!A:B,2,FALSE),"Otros")</f>
        <v>Otros</v>
      </c>
      <c r="AE292" t="str">
        <f>IF(LEN(Tabla_Consulta_desde_Proyectos10[[#This Row],[Semana]])&lt;13,"CI",RIGHT(Tabla_Consulta_desde_Proyectos10[[#This Row],[Semana]],4))</f>
        <v>CIP2</v>
      </c>
    </row>
    <row r="293" spans="1:31">
      <c r="A293" t="s">
        <v>4032</v>
      </c>
      <c r="B293" t="s">
        <v>5344</v>
      </c>
      <c r="C293" t="s">
        <v>5345</v>
      </c>
      <c r="D293" t="s">
        <v>7201</v>
      </c>
      <c r="E293" t="s">
        <v>7202</v>
      </c>
      <c r="F293">
        <v>1</v>
      </c>
      <c r="G293" t="s">
        <v>7224</v>
      </c>
      <c r="H293" t="s">
        <v>753</v>
      </c>
      <c r="I293" t="s">
        <v>6067</v>
      </c>
      <c r="J293" t="s">
        <v>6838</v>
      </c>
      <c r="K293" t="s">
        <v>6839</v>
      </c>
      <c r="L293" s="4">
        <v>46119</v>
      </c>
      <c r="M293" t="s">
        <v>7709</v>
      </c>
      <c r="N293">
        <v>0.5</v>
      </c>
      <c r="O293">
        <v>3000000001826576</v>
      </c>
      <c r="P293" t="s">
        <v>6784</v>
      </c>
      <c r="Q293" t="s">
        <v>7213</v>
      </c>
      <c r="W293" t="str">
        <f>Tabla_Consulta_desde_Proyectos10[[#This Row],[PRYcodigo]]&amp;Tabla_Consulta_desde_Proyectos10[[#This Row],[PRYApath]]</f>
        <v>151-400-RGT2.0/0020/0004</v>
      </c>
      <c r="X293" t="str">
        <f>Tabla_Consulta_desde_Proyectos10[[#This Row],[PRYAcodigo]]&amp;" - "&amp;Tabla_Consulta_desde_Proyectos10[[#This Row],[PRYAdescripcion]]</f>
        <v>2 - ADMINISTRACIÓN Y MANTENIMIENTO DE INFRAESTRUCTURA</v>
      </c>
      <c r="Y293" t="str">
        <f>SUBSTITUTE(IFERROR(VLOOKUP(LEFT(Tabla_Consulta_desde_Proyectos10[[#This Row],[Nivel1]],LEN(Tabla_Consulta_desde_Proyectos10[[#This Row],[Nivel1]])-5),Tabla_Consulta_desde_Proyectos10[[#All],[Nivel1]:[Actividad]],2,FALSE),""),"_","-")</f>
        <v>500.1-RM - ACTIVIDADES DEL EQUIPO DE RELEASE MANAGMENT</v>
      </c>
      <c r="Z293" t="str">
        <f>IFERROR(VLOOKUP(Tabla_Consulta_desde_Proyectos10[[#This Row],[PRYRAfecha]],'Fechas Mes'!G:J,4,TRUE),"")</f>
        <v>Semana 48CIP2</v>
      </c>
      <c r="AA293" t="str" cm="1">
        <f t="array" ref="AA293">INDEX('Fechas Mes'!F:F,MATCH(Tabla_Consulta_desde_Proyectos10[[#This Row],[Semana]],'Fechas Mes'!J:J,0),)</f>
        <v>M12CIP2</v>
      </c>
      <c r="AB293">
        <f>YEAR(Tabla_Consulta_desde_Proyectos10[[#This Row],[PRYRAfecha]])</f>
        <v>2026</v>
      </c>
      <c r="AC293" t="str">
        <f>VLOOKUP(Tabla_Consulta_desde_Proyectos10[[#This Row],[PRYRAfecha]],'Fechas Mes'!G:J,4,TRUE)</f>
        <v>Semana 48CIP2</v>
      </c>
      <c r="AD293" t="str">
        <f>IFERROR(VLOOKUP(Tabla_Consulta_desde_Proyectos10[[#This Row],[PRYcodigo]],Catálogo!A:B,2,FALSE),"Otros")</f>
        <v>Otros</v>
      </c>
      <c r="AE293" t="str">
        <f>IF(LEN(Tabla_Consulta_desde_Proyectos10[[#This Row],[Semana]])&lt;13,"CI",RIGHT(Tabla_Consulta_desde_Proyectos10[[#This Row],[Semana]],4))</f>
        <v>CIP2</v>
      </c>
    </row>
    <row r="294" spans="1:31">
      <c r="A294" t="s">
        <v>4032</v>
      </c>
      <c r="B294" t="s">
        <v>5344</v>
      </c>
      <c r="C294" t="s">
        <v>5345</v>
      </c>
      <c r="D294" t="s">
        <v>7201</v>
      </c>
      <c r="E294" t="s">
        <v>7202</v>
      </c>
      <c r="F294">
        <v>1</v>
      </c>
      <c r="G294" t="s">
        <v>7224</v>
      </c>
      <c r="H294" t="s">
        <v>753</v>
      </c>
      <c r="I294" t="s">
        <v>6067</v>
      </c>
      <c r="J294" t="s">
        <v>6838</v>
      </c>
      <c r="K294" t="s">
        <v>6839</v>
      </c>
      <c r="L294" s="4">
        <v>46120</v>
      </c>
      <c r="M294" t="s">
        <v>7710</v>
      </c>
      <c r="N294">
        <v>0.25</v>
      </c>
      <c r="O294">
        <v>3000000001826546</v>
      </c>
      <c r="P294" t="s">
        <v>6784</v>
      </c>
      <c r="Q294" t="s">
        <v>7213</v>
      </c>
      <c r="W294" t="str">
        <f>Tabla_Consulta_desde_Proyectos10[[#This Row],[PRYcodigo]]&amp;Tabla_Consulta_desde_Proyectos10[[#This Row],[PRYApath]]</f>
        <v>151-400-RGT2.0/0020/0004</v>
      </c>
      <c r="X294" t="str">
        <f>Tabla_Consulta_desde_Proyectos10[[#This Row],[PRYAcodigo]]&amp;" - "&amp;Tabla_Consulta_desde_Proyectos10[[#This Row],[PRYAdescripcion]]</f>
        <v>2 - ADMINISTRACIÓN Y MANTENIMIENTO DE INFRAESTRUCTURA</v>
      </c>
      <c r="Y294" t="str">
        <f>SUBSTITUTE(IFERROR(VLOOKUP(LEFT(Tabla_Consulta_desde_Proyectos10[[#This Row],[Nivel1]],LEN(Tabla_Consulta_desde_Proyectos10[[#This Row],[Nivel1]])-5),Tabla_Consulta_desde_Proyectos10[[#All],[Nivel1]:[Actividad]],2,FALSE),""),"_","-")</f>
        <v>500.1-RM - ACTIVIDADES DEL EQUIPO DE RELEASE MANAGMENT</v>
      </c>
      <c r="Z294" t="str">
        <f>IFERROR(VLOOKUP(Tabla_Consulta_desde_Proyectos10[[#This Row],[PRYRAfecha]],'Fechas Mes'!G:J,4,TRUE),"")</f>
        <v>Semana 48CIP2</v>
      </c>
      <c r="AA294" t="str" cm="1">
        <f t="array" ref="AA294">INDEX('Fechas Mes'!F:F,MATCH(Tabla_Consulta_desde_Proyectos10[[#This Row],[Semana]],'Fechas Mes'!J:J,0),)</f>
        <v>M12CIP2</v>
      </c>
      <c r="AB294">
        <f>YEAR(Tabla_Consulta_desde_Proyectos10[[#This Row],[PRYRAfecha]])</f>
        <v>2026</v>
      </c>
      <c r="AC294" t="str">
        <f>VLOOKUP(Tabla_Consulta_desde_Proyectos10[[#This Row],[PRYRAfecha]],'Fechas Mes'!G:J,4,TRUE)</f>
        <v>Semana 48CIP2</v>
      </c>
      <c r="AD294" t="str">
        <f>IFERROR(VLOOKUP(Tabla_Consulta_desde_Proyectos10[[#This Row],[PRYcodigo]],Catálogo!A:B,2,FALSE),"Otros")</f>
        <v>Otros</v>
      </c>
      <c r="AE294" t="str">
        <f>IF(LEN(Tabla_Consulta_desde_Proyectos10[[#This Row],[Semana]])&lt;13,"CI",RIGHT(Tabla_Consulta_desde_Proyectos10[[#This Row],[Semana]],4))</f>
        <v>CIP2</v>
      </c>
    </row>
    <row r="295" spans="1:31">
      <c r="A295" t="s">
        <v>4032</v>
      </c>
      <c r="B295" t="s">
        <v>5344</v>
      </c>
      <c r="C295" t="s">
        <v>5345</v>
      </c>
      <c r="D295" t="s">
        <v>7201</v>
      </c>
      <c r="E295" t="s">
        <v>7202</v>
      </c>
      <c r="F295">
        <v>1</v>
      </c>
      <c r="G295" t="s">
        <v>7224</v>
      </c>
      <c r="H295" t="s">
        <v>753</v>
      </c>
      <c r="I295" t="s">
        <v>6067</v>
      </c>
      <c r="J295" t="s">
        <v>6838</v>
      </c>
      <c r="K295" t="s">
        <v>6839</v>
      </c>
      <c r="L295" s="4">
        <v>46120</v>
      </c>
      <c r="M295" t="s">
        <v>7711</v>
      </c>
      <c r="N295">
        <v>1</v>
      </c>
      <c r="O295">
        <v>3000000001826560</v>
      </c>
      <c r="P295" t="s">
        <v>6784</v>
      </c>
      <c r="Q295" t="s">
        <v>7213</v>
      </c>
      <c r="W295" t="str">
        <f>Tabla_Consulta_desde_Proyectos10[[#This Row],[PRYcodigo]]&amp;Tabla_Consulta_desde_Proyectos10[[#This Row],[PRYApath]]</f>
        <v>151-400-RGT2.0/0020/0004</v>
      </c>
      <c r="X295" t="str">
        <f>Tabla_Consulta_desde_Proyectos10[[#This Row],[PRYAcodigo]]&amp;" - "&amp;Tabla_Consulta_desde_Proyectos10[[#This Row],[PRYAdescripcion]]</f>
        <v>2 - ADMINISTRACIÓN Y MANTENIMIENTO DE INFRAESTRUCTURA</v>
      </c>
      <c r="Y295" t="str">
        <f>SUBSTITUTE(IFERROR(VLOOKUP(LEFT(Tabla_Consulta_desde_Proyectos10[[#This Row],[Nivel1]],LEN(Tabla_Consulta_desde_Proyectos10[[#This Row],[Nivel1]])-5),Tabla_Consulta_desde_Proyectos10[[#All],[Nivel1]:[Actividad]],2,FALSE),""),"_","-")</f>
        <v>500.1-RM - ACTIVIDADES DEL EQUIPO DE RELEASE MANAGMENT</v>
      </c>
      <c r="Z295" t="str">
        <f>IFERROR(VLOOKUP(Tabla_Consulta_desde_Proyectos10[[#This Row],[PRYRAfecha]],'Fechas Mes'!G:J,4,TRUE),"")</f>
        <v>Semana 48CIP2</v>
      </c>
      <c r="AA295" t="str" cm="1">
        <f t="array" ref="AA295">INDEX('Fechas Mes'!F:F,MATCH(Tabla_Consulta_desde_Proyectos10[[#This Row],[Semana]],'Fechas Mes'!J:J,0),)</f>
        <v>M12CIP2</v>
      </c>
      <c r="AB295">
        <f>YEAR(Tabla_Consulta_desde_Proyectos10[[#This Row],[PRYRAfecha]])</f>
        <v>2026</v>
      </c>
      <c r="AC295" t="str">
        <f>VLOOKUP(Tabla_Consulta_desde_Proyectos10[[#This Row],[PRYRAfecha]],'Fechas Mes'!G:J,4,TRUE)</f>
        <v>Semana 48CIP2</v>
      </c>
      <c r="AD295" t="str">
        <f>IFERROR(VLOOKUP(Tabla_Consulta_desde_Proyectos10[[#This Row],[PRYcodigo]],Catálogo!A:B,2,FALSE),"Otros")</f>
        <v>Otros</v>
      </c>
      <c r="AE295" t="str">
        <f>IF(LEN(Tabla_Consulta_desde_Proyectos10[[#This Row],[Semana]])&lt;13,"CI",RIGHT(Tabla_Consulta_desde_Proyectos10[[#This Row],[Semana]],4))</f>
        <v>CIP2</v>
      </c>
    </row>
    <row r="296" spans="1:31">
      <c r="A296" t="s">
        <v>4032</v>
      </c>
      <c r="B296" t="s">
        <v>5344</v>
      </c>
      <c r="C296" t="s">
        <v>5345</v>
      </c>
      <c r="D296" t="s">
        <v>7201</v>
      </c>
      <c r="E296" t="s">
        <v>7202</v>
      </c>
      <c r="F296">
        <v>1</v>
      </c>
      <c r="G296" t="s">
        <v>7224</v>
      </c>
      <c r="H296" t="s">
        <v>753</v>
      </c>
      <c r="I296" t="s">
        <v>6067</v>
      </c>
      <c r="J296" t="s">
        <v>6838</v>
      </c>
      <c r="K296" t="s">
        <v>6839</v>
      </c>
      <c r="L296" s="4">
        <v>46129</v>
      </c>
      <c r="M296" t="s">
        <v>7712</v>
      </c>
      <c r="N296">
        <v>0.5</v>
      </c>
      <c r="O296">
        <v>3000000001830126</v>
      </c>
      <c r="P296" t="s">
        <v>6784</v>
      </c>
      <c r="Q296" t="s">
        <v>7213</v>
      </c>
      <c r="W296" t="str">
        <f>Tabla_Consulta_desde_Proyectos10[[#This Row],[PRYcodigo]]&amp;Tabla_Consulta_desde_Proyectos10[[#This Row],[PRYApath]]</f>
        <v>151-400-RGT2.0/0020/0004</v>
      </c>
      <c r="X296" t="str">
        <f>Tabla_Consulta_desde_Proyectos10[[#This Row],[PRYAcodigo]]&amp;" - "&amp;Tabla_Consulta_desde_Proyectos10[[#This Row],[PRYAdescripcion]]</f>
        <v>2 - ADMINISTRACIÓN Y MANTENIMIENTO DE INFRAESTRUCTURA</v>
      </c>
      <c r="Y296" t="str">
        <f>SUBSTITUTE(IFERROR(VLOOKUP(LEFT(Tabla_Consulta_desde_Proyectos10[[#This Row],[Nivel1]],LEN(Tabla_Consulta_desde_Proyectos10[[#This Row],[Nivel1]])-5),Tabla_Consulta_desde_Proyectos10[[#All],[Nivel1]:[Actividad]],2,FALSE),""),"_","-")</f>
        <v>500.1-RM - ACTIVIDADES DEL EQUIPO DE RELEASE MANAGMENT</v>
      </c>
      <c r="Z296" t="str">
        <f>IFERROR(VLOOKUP(Tabla_Consulta_desde_Proyectos10[[#This Row],[PRYRAfecha]],'Fechas Mes'!G:J,4,TRUE),"")</f>
        <v>Semana 48CIP2</v>
      </c>
      <c r="AA296" t="str" cm="1">
        <f t="array" ref="AA296">INDEX('Fechas Mes'!F:F,MATCH(Tabla_Consulta_desde_Proyectos10[[#This Row],[Semana]],'Fechas Mes'!J:J,0),)</f>
        <v>M12CIP2</v>
      </c>
      <c r="AB296">
        <f>YEAR(Tabla_Consulta_desde_Proyectos10[[#This Row],[PRYRAfecha]])</f>
        <v>2026</v>
      </c>
      <c r="AC296" t="str">
        <f>VLOOKUP(Tabla_Consulta_desde_Proyectos10[[#This Row],[PRYRAfecha]],'Fechas Mes'!G:J,4,TRUE)</f>
        <v>Semana 48CIP2</v>
      </c>
      <c r="AD296" t="str">
        <f>IFERROR(VLOOKUP(Tabla_Consulta_desde_Proyectos10[[#This Row],[PRYcodigo]],Catálogo!A:B,2,FALSE),"Otros")</f>
        <v>Otros</v>
      </c>
      <c r="AE296" t="str">
        <f>IF(LEN(Tabla_Consulta_desde_Proyectos10[[#This Row],[Semana]])&lt;13,"CI",RIGHT(Tabla_Consulta_desde_Proyectos10[[#This Row],[Semana]],4))</f>
        <v>CIP2</v>
      </c>
    </row>
    <row r="297" spans="1:31">
      <c r="A297" t="s">
        <v>4032</v>
      </c>
      <c r="B297" t="s">
        <v>5344</v>
      </c>
      <c r="C297" t="s">
        <v>5345</v>
      </c>
      <c r="D297" t="s">
        <v>7201</v>
      </c>
      <c r="E297" t="s">
        <v>7202</v>
      </c>
      <c r="F297">
        <v>1</v>
      </c>
      <c r="G297" t="s">
        <v>7224</v>
      </c>
      <c r="H297" t="s">
        <v>753</v>
      </c>
      <c r="I297" t="s">
        <v>6067</v>
      </c>
      <c r="J297" t="s">
        <v>6838</v>
      </c>
      <c r="K297" t="s">
        <v>6839</v>
      </c>
      <c r="L297" s="4">
        <v>46140</v>
      </c>
      <c r="M297" t="s">
        <v>7713</v>
      </c>
      <c r="N297">
        <v>2.25</v>
      </c>
      <c r="O297">
        <v>3000000001837156</v>
      </c>
      <c r="P297" t="s">
        <v>6784</v>
      </c>
      <c r="Q297" t="s">
        <v>7213</v>
      </c>
      <c r="W297" t="str">
        <f>Tabla_Consulta_desde_Proyectos10[[#This Row],[PRYcodigo]]&amp;Tabla_Consulta_desde_Proyectos10[[#This Row],[PRYApath]]</f>
        <v>151-400-RGT2.0/0020/0004</v>
      </c>
      <c r="X297" t="str">
        <f>Tabla_Consulta_desde_Proyectos10[[#This Row],[PRYAcodigo]]&amp;" - "&amp;Tabla_Consulta_desde_Proyectos10[[#This Row],[PRYAdescripcion]]</f>
        <v>2 - ADMINISTRACIÓN Y MANTENIMIENTO DE INFRAESTRUCTURA</v>
      </c>
      <c r="Y297" t="str">
        <f>SUBSTITUTE(IFERROR(VLOOKUP(LEFT(Tabla_Consulta_desde_Proyectos10[[#This Row],[Nivel1]],LEN(Tabla_Consulta_desde_Proyectos10[[#This Row],[Nivel1]])-5),Tabla_Consulta_desde_Proyectos10[[#All],[Nivel1]:[Actividad]],2,FALSE),""),"_","-")</f>
        <v>500.1-RM - ACTIVIDADES DEL EQUIPO DE RELEASE MANAGMENT</v>
      </c>
      <c r="Z297" t="str">
        <f>IFERROR(VLOOKUP(Tabla_Consulta_desde_Proyectos10[[#This Row],[PRYRAfecha]],'Fechas Mes'!G:J,4,TRUE),"")</f>
        <v>Semana 48CIP2</v>
      </c>
      <c r="AA297" t="str" cm="1">
        <f t="array" ref="AA297">INDEX('Fechas Mes'!F:F,MATCH(Tabla_Consulta_desde_Proyectos10[[#This Row],[Semana]],'Fechas Mes'!J:J,0),)</f>
        <v>M12CIP2</v>
      </c>
      <c r="AB297">
        <f>YEAR(Tabla_Consulta_desde_Proyectos10[[#This Row],[PRYRAfecha]])</f>
        <v>2026</v>
      </c>
      <c r="AC297" t="str">
        <f>VLOOKUP(Tabla_Consulta_desde_Proyectos10[[#This Row],[PRYRAfecha]],'Fechas Mes'!G:J,4,TRUE)</f>
        <v>Semana 48CIP2</v>
      </c>
      <c r="AD297" t="str">
        <f>IFERROR(VLOOKUP(Tabla_Consulta_desde_Proyectos10[[#This Row],[PRYcodigo]],Catálogo!A:B,2,FALSE),"Otros")</f>
        <v>Otros</v>
      </c>
      <c r="AE297" t="str">
        <f>IF(LEN(Tabla_Consulta_desde_Proyectos10[[#This Row],[Semana]])&lt;13,"CI",RIGHT(Tabla_Consulta_desde_Proyectos10[[#This Row],[Semana]],4))</f>
        <v>CIP2</v>
      </c>
    </row>
    <row r="298" spans="1:31">
      <c r="A298" t="s">
        <v>4032</v>
      </c>
      <c r="B298" t="s">
        <v>5344</v>
      </c>
      <c r="C298" t="s">
        <v>5345</v>
      </c>
      <c r="D298" t="s">
        <v>7201</v>
      </c>
      <c r="E298" t="s">
        <v>7202</v>
      </c>
      <c r="F298">
        <v>1</v>
      </c>
      <c r="G298" t="s">
        <v>7224</v>
      </c>
      <c r="H298" t="s">
        <v>753</v>
      </c>
      <c r="I298" t="s">
        <v>6067</v>
      </c>
      <c r="J298" t="s">
        <v>7241</v>
      </c>
      <c r="K298" t="s">
        <v>7242</v>
      </c>
      <c r="L298" s="4">
        <v>46121</v>
      </c>
      <c r="M298" t="s">
        <v>7714</v>
      </c>
      <c r="N298">
        <v>2</v>
      </c>
      <c r="O298">
        <v>3000000001825095</v>
      </c>
      <c r="P298" t="s">
        <v>6784</v>
      </c>
      <c r="Q298" t="s">
        <v>7222</v>
      </c>
      <c r="W298" t="str">
        <f>Tabla_Consulta_desde_Proyectos10[[#This Row],[PRYcodigo]]&amp;Tabla_Consulta_desde_Proyectos10[[#This Row],[PRYApath]]</f>
        <v>151-400-RGT2.0/0020/0004</v>
      </c>
      <c r="X298" t="str">
        <f>Tabla_Consulta_desde_Proyectos10[[#This Row],[PRYAcodigo]]&amp;" - "&amp;Tabla_Consulta_desde_Proyectos10[[#This Row],[PRYAdescripcion]]</f>
        <v>2 - ADMINISTRACIÓN Y MANTENIMIENTO DE INFRAESTRUCTURA</v>
      </c>
      <c r="Y298" t="str">
        <f>SUBSTITUTE(IFERROR(VLOOKUP(LEFT(Tabla_Consulta_desde_Proyectos10[[#This Row],[Nivel1]],LEN(Tabla_Consulta_desde_Proyectos10[[#This Row],[Nivel1]])-5),Tabla_Consulta_desde_Proyectos10[[#All],[Nivel1]:[Actividad]],2,FALSE),""),"_","-")</f>
        <v>500.1-RM - ACTIVIDADES DEL EQUIPO DE RELEASE MANAGMENT</v>
      </c>
      <c r="Z298" t="str">
        <f>IFERROR(VLOOKUP(Tabla_Consulta_desde_Proyectos10[[#This Row],[PRYRAfecha]],'Fechas Mes'!G:J,4,TRUE),"")</f>
        <v>Semana 48CIP2</v>
      </c>
      <c r="AA298" t="str" cm="1">
        <f t="array" ref="AA298">INDEX('Fechas Mes'!F:F,MATCH(Tabla_Consulta_desde_Proyectos10[[#This Row],[Semana]],'Fechas Mes'!J:J,0),)</f>
        <v>M12CIP2</v>
      </c>
      <c r="AB298">
        <f>YEAR(Tabla_Consulta_desde_Proyectos10[[#This Row],[PRYRAfecha]])</f>
        <v>2026</v>
      </c>
      <c r="AC298" t="str">
        <f>VLOOKUP(Tabla_Consulta_desde_Proyectos10[[#This Row],[PRYRAfecha]],'Fechas Mes'!G:J,4,TRUE)</f>
        <v>Semana 48CIP2</v>
      </c>
      <c r="AD298" t="str">
        <f>IFERROR(VLOOKUP(Tabla_Consulta_desde_Proyectos10[[#This Row],[PRYcodigo]],Catálogo!A:B,2,FALSE),"Otros")</f>
        <v>Otros</v>
      </c>
      <c r="AE298" t="str">
        <f>IF(LEN(Tabla_Consulta_desde_Proyectos10[[#This Row],[Semana]])&lt;13,"CI",RIGHT(Tabla_Consulta_desde_Proyectos10[[#This Row],[Semana]],4))</f>
        <v>CIP2</v>
      </c>
    </row>
    <row r="299" spans="1:31">
      <c r="A299" t="s">
        <v>4032</v>
      </c>
      <c r="B299" t="s">
        <v>5344</v>
      </c>
      <c r="C299" t="s">
        <v>5345</v>
      </c>
      <c r="D299" t="s">
        <v>7201</v>
      </c>
      <c r="E299" t="s">
        <v>7202</v>
      </c>
      <c r="F299">
        <v>1</v>
      </c>
      <c r="G299" t="s">
        <v>7224</v>
      </c>
      <c r="H299" t="s">
        <v>753</v>
      </c>
      <c r="I299" t="s">
        <v>6067</v>
      </c>
      <c r="J299" t="s">
        <v>7241</v>
      </c>
      <c r="K299" t="s">
        <v>7242</v>
      </c>
      <c r="L299" s="4">
        <v>46121</v>
      </c>
      <c r="M299" t="s">
        <v>7715</v>
      </c>
      <c r="N299">
        <v>1</v>
      </c>
      <c r="O299">
        <v>3000000001826461</v>
      </c>
      <c r="P299" t="s">
        <v>6784</v>
      </c>
      <c r="Q299" t="s">
        <v>7222</v>
      </c>
      <c r="W299" t="str">
        <f>Tabla_Consulta_desde_Proyectos10[[#This Row],[PRYcodigo]]&amp;Tabla_Consulta_desde_Proyectos10[[#This Row],[PRYApath]]</f>
        <v>151-400-RGT2.0/0020/0004</v>
      </c>
      <c r="X299" t="str">
        <f>Tabla_Consulta_desde_Proyectos10[[#This Row],[PRYAcodigo]]&amp;" - "&amp;Tabla_Consulta_desde_Proyectos10[[#This Row],[PRYAdescripcion]]</f>
        <v>2 - ADMINISTRACIÓN Y MANTENIMIENTO DE INFRAESTRUCTURA</v>
      </c>
      <c r="Y299" t="str">
        <f>SUBSTITUTE(IFERROR(VLOOKUP(LEFT(Tabla_Consulta_desde_Proyectos10[[#This Row],[Nivel1]],LEN(Tabla_Consulta_desde_Proyectos10[[#This Row],[Nivel1]])-5),Tabla_Consulta_desde_Proyectos10[[#All],[Nivel1]:[Actividad]],2,FALSE),""),"_","-")</f>
        <v>500.1-RM - ACTIVIDADES DEL EQUIPO DE RELEASE MANAGMENT</v>
      </c>
      <c r="Z299" t="str">
        <f>IFERROR(VLOOKUP(Tabla_Consulta_desde_Proyectos10[[#This Row],[PRYRAfecha]],'Fechas Mes'!G:J,4,TRUE),"")</f>
        <v>Semana 48CIP2</v>
      </c>
      <c r="AA299" t="str" cm="1">
        <f t="array" ref="AA299">INDEX('Fechas Mes'!F:F,MATCH(Tabla_Consulta_desde_Proyectos10[[#This Row],[Semana]],'Fechas Mes'!J:J,0),)</f>
        <v>M12CIP2</v>
      </c>
      <c r="AB299">
        <f>YEAR(Tabla_Consulta_desde_Proyectos10[[#This Row],[PRYRAfecha]])</f>
        <v>2026</v>
      </c>
      <c r="AC299" t="str">
        <f>VLOOKUP(Tabla_Consulta_desde_Proyectos10[[#This Row],[PRYRAfecha]],'Fechas Mes'!G:J,4,TRUE)</f>
        <v>Semana 48CIP2</v>
      </c>
      <c r="AD299" t="str">
        <f>IFERROR(VLOOKUP(Tabla_Consulta_desde_Proyectos10[[#This Row],[PRYcodigo]],Catálogo!A:B,2,FALSE),"Otros")</f>
        <v>Otros</v>
      </c>
      <c r="AE299" t="str">
        <f>IF(LEN(Tabla_Consulta_desde_Proyectos10[[#This Row],[Semana]])&lt;13,"CI",RIGHT(Tabla_Consulta_desde_Proyectos10[[#This Row],[Semana]],4))</f>
        <v>CIP2</v>
      </c>
    </row>
    <row r="300" spans="1:31">
      <c r="A300" t="s">
        <v>4032</v>
      </c>
      <c r="B300" t="s">
        <v>5344</v>
      </c>
      <c r="C300" t="s">
        <v>5345</v>
      </c>
      <c r="D300" t="s">
        <v>7201</v>
      </c>
      <c r="E300" t="s">
        <v>7202</v>
      </c>
      <c r="F300">
        <v>1</v>
      </c>
      <c r="G300" t="s">
        <v>7224</v>
      </c>
      <c r="H300" t="s">
        <v>5028</v>
      </c>
      <c r="I300" t="s">
        <v>5029</v>
      </c>
      <c r="J300" t="s">
        <v>5051</v>
      </c>
      <c r="K300" t="s">
        <v>5052</v>
      </c>
      <c r="L300" s="4">
        <v>46132</v>
      </c>
      <c r="M300" t="s">
        <v>7716</v>
      </c>
      <c r="N300">
        <v>0.75</v>
      </c>
      <c r="O300">
        <v>3000000001830774</v>
      </c>
      <c r="P300" t="s">
        <v>6784</v>
      </c>
      <c r="Q300" t="s">
        <v>7197</v>
      </c>
      <c r="W300" t="str">
        <f>Tabla_Consulta_desde_Proyectos10[[#This Row],[PRYcodigo]]&amp;Tabla_Consulta_desde_Proyectos10[[#This Row],[PRYApath]]</f>
        <v>151-400-RGT2.0/0020/0004</v>
      </c>
      <c r="X300" t="str">
        <f>Tabla_Consulta_desde_Proyectos10[[#This Row],[PRYAcodigo]]&amp;" - "&amp;Tabla_Consulta_desde_Proyectos10[[#This Row],[PRYAdescripcion]]</f>
        <v>2 - ADMINISTRACIÓN Y MANTENIMIENTO DE INFRAESTRUCTURA</v>
      </c>
      <c r="Y300" t="str">
        <f>SUBSTITUTE(IFERROR(VLOOKUP(LEFT(Tabla_Consulta_desde_Proyectos10[[#This Row],[Nivel1]],LEN(Tabla_Consulta_desde_Proyectos10[[#This Row],[Nivel1]])-5),Tabla_Consulta_desde_Proyectos10[[#All],[Nivel1]:[Actividad]],2,FALSE),""),"_","-")</f>
        <v>500.1-RM - ACTIVIDADES DEL EQUIPO DE RELEASE MANAGMENT</v>
      </c>
      <c r="Z300" t="str">
        <f>IFERROR(VLOOKUP(Tabla_Consulta_desde_Proyectos10[[#This Row],[PRYRAfecha]],'Fechas Mes'!G:J,4,TRUE),"")</f>
        <v>Semana 48CIP2</v>
      </c>
      <c r="AA300" t="str" cm="1">
        <f t="array" ref="AA300">INDEX('Fechas Mes'!F:F,MATCH(Tabla_Consulta_desde_Proyectos10[[#This Row],[Semana]],'Fechas Mes'!J:J,0),)</f>
        <v>M12CIP2</v>
      </c>
      <c r="AB300">
        <f>YEAR(Tabla_Consulta_desde_Proyectos10[[#This Row],[PRYRAfecha]])</f>
        <v>2026</v>
      </c>
      <c r="AC300" t="str">
        <f>VLOOKUP(Tabla_Consulta_desde_Proyectos10[[#This Row],[PRYRAfecha]],'Fechas Mes'!G:J,4,TRUE)</f>
        <v>Semana 48CIP2</v>
      </c>
      <c r="AD300" t="str">
        <f>IFERROR(VLOOKUP(Tabla_Consulta_desde_Proyectos10[[#This Row],[PRYcodigo]],Catálogo!A:B,2,FALSE),"Otros")</f>
        <v>Otros</v>
      </c>
      <c r="AE300" t="str">
        <f>IF(LEN(Tabla_Consulta_desde_Proyectos10[[#This Row],[Semana]])&lt;13,"CI",RIGHT(Tabla_Consulta_desde_Proyectos10[[#This Row],[Semana]],4))</f>
        <v>CIP2</v>
      </c>
    </row>
    <row r="301" spans="1:31">
      <c r="A301" t="s">
        <v>4032</v>
      </c>
      <c r="B301" t="s">
        <v>5344</v>
      </c>
      <c r="C301" t="s">
        <v>5345</v>
      </c>
      <c r="D301" t="s">
        <v>7201</v>
      </c>
      <c r="E301" t="s">
        <v>7202</v>
      </c>
      <c r="F301">
        <v>1</v>
      </c>
      <c r="G301" t="s">
        <v>7224</v>
      </c>
      <c r="H301" t="s">
        <v>5028</v>
      </c>
      <c r="I301" t="s">
        <v>5029</v>
      </c>
      <c r="J301" t="s">
        <v>5051</v>
      </c>
      <c r="K301" t="s">
        <v>5052</v>
      </c>
      <c r="L301" s="4">
        <v>46140</v>
      </c>
      <c r="M301" t="s">
        <v>7717</v>
      </c>
      <c r="N301">
        <v>0.25</v>
      </c>
      <c r="O301">
        <v>3000000001835010</v>
      </c>
      <c r="P301" t="s">
        <v>6784</v>
      </c>
      <c r="Q301" t="s">
        <v>7197</v>
      </c>
      <c r="W301" t="str">
        <f>Tabla_Consulta_desde_Proyectos10[[#This Row],[PRYcodigo]]&amp;Tabla_Consulta_desde_Proyectos10[[#This Row],[PRYApath]]</f>
        <v>151-400-RGT2.0/0020/0004</v>
      </c>
      <c r="X301" t="str">
        <f>Tabla_Consulta_desde_Proyectos10[[#This Row],[PRYAcodigo]]&amp;" - "&amp;Tabla_Consulta_desde_Proyectos10[[#This Row],[PRYAdescripcion]]</f>
        <v>2 - ADMINISTRACIÓN Y MANTENIMIENTO DE INFRAESTRUCTURA</v>
      </c>
      <c r="Y301" t="str">
        <f>SUBSTITUTE(IFERROR(VLOOKUP(LEFT(Tabla_Consulta_desde_Proyectos10[[#This Row],[Nivel1]],LEN(Tabla_Consulta_desde_Proyectos10[[#This Row],[Nivel1]])-5),Tabla_Consulta_desde_Proyectos10[[#All],[Nivel1]:[Actividad]],2,FALSE),""),"_","-")</f>
        <v>500.1-RM - ACTIVIDADES DEL EQUIPO DE RELEASE MANAGMENT</v>
      </c>
      <c r="Z301" t="str">
        <f>IFERROR(VLOOKUP(Tabla_Consulta_desde_Proyectos10[[#This Row],[PRYRAfecha]],'Fechas Mes'!G:J,4,TRUE),"")</f>
        <v>Semana 48CIP2</v>
      </c>
      <c r="AA301" t="str" cm="1">
        <f t="array" ref="AA301">INDEX('Fechas Mes'!F:F,MATCH(Tabla_Consulta_desde_Proyectos10[[#This Row],[Semana]],'Fechas Mes'!J:J,0),)</f>
        <v>M12CIP2</v>
      </c>
      <c r="AB301">
        <f>YEAR(Tabla_Consulta_desde_Proyectos10[[#This Row],[PRYRAfecha]])</f>
        <v>2026</v>
      </c>
      <c r="AC301" t="str">
        <f>VLOOKUP(Tabla_Consulta_desde_Proyectos10[[#This Row],[PRYRAfecha]],'Fechas Mes'!G:J,4,TRUE)</f>
        <v>Semana 48CIP2</v>
      </c>
      <c r="AD301" t="str">
        <f>IFERROR(VLOOKUP(Tabla_Consulta_desde_Proyectos10[[#This Row],[PRYcodigo]],Catálogo!A:B,2,FALSE),"Otros")</f>
        <v>Otros</v>
      </c>
      <c r="AE301" t="str">
        <f>IF(LEN(Tabla_Consulta_desde_Proyectos10[[#This Row],[Semana]])&lt;13,"CI",RIGHT(Tabla_Consulta_desde_Proyectos10[[#This Row],[Semana]],4))</f>
        <v>CIP2</v>
      </c>
    </row>
    <row r="302" spans="1:31">
      <c r="A302" t="s">
        <v>4032</v>
      </c>
      <c r="B302" t="s">
        <v>5344</v>
      </c>
      <c r="C302" t="s">
        <v>5345</v>
      </c>
      <c r="D302" t="s">
        <v>7207</v>
      </c>
      <c r="E302" t="s">
        <v>7237</v>
      </c>
      <c r="F302">
        <v>1</v>
      </c>
      <c r="G302" t="s">
        <v>7718</v>
      </c>
      <c r="H302" t="s">
        <v>646</v>
      </c>
      <c r="I302" t="s">
        <v>647</v>
      </c>
      <c r="J302" t="s">
        <v>1981</v>
      </c>
      <c r="K302" t="s">
        <v>1982</v>
      </c>
      <c r="L302" s="4">
        <v>46125</v>
      </c>
      <c r="M302" t="s">
        <v>7719</v>
      </c>
      <c r="N302">
        <v>1</v>
      </c>
      <c r="O302">
        <v>3000000001826922</v>
      </c>
      <c r="P302" t="s">
        <v>6786</v>
      </c>
      <c r="Q302" t="s">
        <v>7665</v>
      </c>
      <c r="W302" t="str">
        <f>Tabla_Consulta_desde_Proyectos10[[#This Row],[PRYcodigo]]&amp;Tabla_Consulta_desde_Proyectos10[[#This Row],[PRYApath]]</f>
        <v>151-400-RGT2.0/0020/0006</v>
      </c>
      <c r="X302" t="str">
        <f>Tabla_Consulta_desde_Proyectos10[[#This Row],[PRYAcodigo]]&amp;" - "&amp;Tabla_Consulta_desde_Proyectos10[[#This Row],[PRYAdescripcion]]</f>
        <v>3 - GESTIÓN DE BASES DE DATOS</v>
      </c>
      <c r="Y302" t="str">
        <f>SUBSTITUTE(IFERROR(VLOOKUP(LEFT(Tabla_Consulta_desde_Proyectos10[[#This Row],[Nivel1]],LEN(Tabla_Consulta_desde_Proyectos10[[#This Row],[Nivel1]])-5),Tabla_Consulta_desde_Proyectos10[[#All],[Nivel1]:[Actividad]],2,FALSE),""),"_","-")</f>
        <v>500.1-RM - ACTIVIDADES DEL EQUIPO DE RELEASE MANAGMENT</v>
      </c>
      <c r="Z302" t="str">
        <f>IFERROR(VLOOKUP(Tabla_Consulta_desde_Proyectos10[[#This Row],[PRYRAfecha]],'Fechas Mes'!G:J,4,TRUE),"")</f>
        <v>Semana 48CIP2</v>
      </c>
      <c r="AA302" t="str" cm="1">
        <f t="array" ref="AA302">INDEX('Fechas Mes'!F:F,MATCH(Tabla_Consulta_desde_Proyectos10[[#This Row],[Semana]],'Fechas Mes'!J:J,0),)</f>
        <v>M12CIP2</v>
      </c>
      <c r="AB302">
        <f>YEAR(Tabla_Consulta_desde_Proyectos10[[#This Row],[PRYRAfecha]])</f>
        <v>2026</v>
      </c>
      <c r="AC302" t="str">
        <f>VLOOKUP(Tabla_Consulta_desde_Proyectos10[[#This Row],[PRYRAfecha]],'Fechas Mes'!G:J,4,TRUE)</f>
        <v>Semana 48CIP2</v>
      </c>
      <c r="AD302" t="str">
        <f>IFERROR(VLOOKUP(Tabla_Consulta_desde_Proyectos10[[#This Row],[PRYcodigo]],Catálogo!A:B,2,FALSE),"Otros")</f>
        <v>Otros</v>
      </c>
      <c r="AE302" t="str">
        <f>IF(LEN(Tabla_Consulta_desde_Proyectos10[[#This Row],[Semana]])&lt;13,"CI",RIGHT(Tabla_Consulta_desde_Proyectos10[[#This Row],[Semana]],4))</f>
        <v>CIP2</v>
      </c>
    </row>
    <row r="303" spans="1:31">
      <c r="A303" t="s">
        <v>4032</v>
      </c>
      <c r="B303" t="s">
        <v>5344</v>
      </c>
      <c r="C303" t="s">
        <v>5345</v>
      </c>
      <c r="D303" t="s">
        <v>7207</v>
      </c>
      <c r="E303" t="s">
        <v>7237</v>
      </c>
      <c r="F303">
        <v>1</v>
      </c>
      <c r="G303" t="s">
        <v>7718</v>
      </c>
      <c r="H303" t="s">
        <v>646</v>
      </c>
      <c r="I303" t="s">
        <v>647</v>
      </c>
      <c r="J303" t="s">
        <v>1981</v>
      </c>
      <c r="K303" t="s">
        <v>1982</v>
      </c>
      <c r="L303" s="4">
        <v>46132</v>
      </c>
      <c r="M303" t="s">
        <v>7720</v>
      </c>
      <c r="N303">
        <v>0.75</v>
      </c>
      <c r="O303">
        <v>3000000001830823</v>
      </c>
      <c r="P303" t="s">
        <v>6786</v>
      </c>
      <c r="Q303" t="s">
        <v>7234</v>
      </c>
      <c r="W303" t="str">
        <f>Tabla_Consulta_desde_Proyectos10[[#This Row],[PRYcodigo]]&amp;Tabla_Consulta_desde_Proyectos10[[#This Row],[PRYApath]]</f>
        <v>151-400-RGT2.0/0020/0006</v>
      </c>
      <c r="X303" t="str">
        <f>Tabla_Consulta_desde_Proyectos10[[#This Row],[PRYAcodigo]]&amp;" - "&amp;Tabla_Consulta_desde_Proyectos10[[#This Row],[PRYAdescripcion]]</f>
        <v>3 - GESTIÓN DE BASES DE DATOS</v>
      </c>
      <c r="Y303" t="str">
        <f>SUBSTITUTE(IFERROR(VLOOKUP(LEFT(Tabla_Consulta_desde_Proyectos10[[#This Row],[Nivel1]],LEN(Tabla_Consulta_desde_Proyectos10[[#This Row],[Nivel1]])-5),Tabla_Consulta_desde_Proyectos10[[#All],[Nivel1]:[Actividad]],2,FALSE),""),"_","-")</f>
        <v>500.1-RM - ACTIVIDADES DEL EQUIPO DE RELEASE MANAGMENT</v>
      </c>
      <c r="Z303" t="str">
        <f>IFERROR(VLOOKUP(Tabla_Consulta_desde_Proyectos10[[#This Row],[PRYRAfecha]],'Fechas Mes'!G:J,4,TRUE),"")</f>
        <v>Semana 48CIP2</v>
      </c>
      <c r="AA303" t="str" cm="1">
        <f t="array" ref="AA303">INDEX('Fechas Mes'!F:F,MATCH(Tabla_Consulta_desde_Proyectos10[[#This Row],[Semana]],'Fechas Mes'!J:J,0),)</f>
        <v>M12CIP2</v>
      </c>
      <c r="AB303">
        <f>YEAR(Tabla_Consulta_desde_Proyectos10[[#This Row],[PRYRAfecha]])</f>
        <v>2026</v>
      </c>
      <c r="AC303" t="str">
        <f>VLOOKUP(Tabla_Consulta_desde_Proyectos10[[#This Row],[PRYRAfecha]],'Fechas Mes'!G:J,4,TRUE)</f>
        <v>Semana 48CIP2</v>
      </c>
      <c r="AD303" t="str">
        <f>IFERROR(VLOOKUP(Tabla_Consulta_desde_Proyectos10[[#This Row],[PRYcodigo]],Catálogo!A:B,2,FALSE),"Otros")</f>
        <v>Otros</v>
      </c>
      <c r="AE303" t="str">
        <f>IF(LEN(Tabla_Consulta_desde_Proyectos10[[#This Row],[Semana]])&lt;13,"CI",RIGHT(Tabla_Consulta_desde_Proyectos10[[#This Row],[Semana]],4))</f>
        <v>CIP2</v>
      </c>
    </row>
    <row r="304" spans="1:31">
      <c r="A304" t="s">
        <v>4032</v>
      </c>
      <c r="B304" t="s">
        <v>5344</v>
      </c>
      <c r="C304" t="s">
        <v>5345</v>
      </c>
      <c r="D304" t="s">
        <v>7207</v>
      </c>
      <c r="E304" t="s">
        <v>7237</v>
      </c>
      <c r="F304">
        <v>1</v>
      </c>
      <c r="G304" t="s">
        <v>7718</v>
      </c>
      <c r="H304" t="s">
        <v>6627</v>
      </c>
      <c r="I304" t="s">
        <v>6628</v>
      </c>
      <c r="J304" t="s">
        <v>6683</v>
      </c>
      <c r="K304" t="s">
        <v>6684</v>
      </c>
      <c r="L304" s="4">
        <v>46132</v>
      </c>
      <c r="M304" t="s">
        <v>7721</v>
      </c>
      <c r="N304">
        <v>0.5</v>
      </c>
      <c r="O304">
        <v>3000000001838336</v>
      </c>
      <c r="P304" t="s">
        <v>6786</v>
      </c>
      <c r="Q304" t="s">
        <v>7589</v>
      </c>
      <c r="W304" t="str">
        <f>Tabla_Consulta_desde_Proyectos10[[#This Row],[PRYcodigo]]&amp;Tabla_Consulta_desde_Proyectos10[[#This Row],[PRYApath]]</f>
        <v>151-400-RGT2.0/0020/0006</v>
      </c>
      <c r="X304" t="str">
        <f>Tabla_Consulta_desde_Proyectos10[[#This Row],[PRYAcodigo]]&amp;" - "&amp;Tabla_Consulta_desde_Proyectos10[[#This Row],[PRYAdescripcion]]</f>
        <v>3 - GESTIÓN DE BASES DE DATOS</v>
      </c>
      <c r="Y304" t="str">
        <f>SUBSTITUTE(IFERROR(VLOOKUP(LEFT(Tabla_Consulta_desde_Proyectos10[[#This Row],[Nivel1]],LEN(Tabla_Consulta_desde_Proyectos10[[#This Row],[Nivel1]])-5),Tabla_Consulta_desde_Proyectos10[[#All],[Nivel1]:[Actividad]],2,FALSE),""),"_","-")</f>
        <v>500.1-RM - ACTIVIDADES DEL EQUIPO DE RELEASE MANAGMENT</v>
      </c>
      <c r="Z304" t="str">
        <f>IFERROR(VLOOKUP(Tabla_Consulta_desde_Proyectos10[[#This Row],[PRYRAfecha]],'Fechas Mes'!G:J,4,TRUE),"")</f>
        <v>Semana 48CIP2</v>
      </c>
      <c r="AA304" t="str" cm="1">
        <f t="array" ref="AA304">INDEX('Fechas Mes'!F:F,MATCH(Tabla_Consulta_desde_Proyectos10[[#This Row],[Semana]],'Fechas Mes'!J:J,0),)</f>
        <v>M12CIP2</v>
      </c>
      <c r="AB304">
        <f>YEAR(Tabla_Consulta_desde_Proyectos10[[#This Row],[PRYRAfecha]])</f>
        <v>2026</v>
      </c>
      <c r="AC304" t="str">
        <f>VLOOKUP(Tabla_Consulta_desde_Proyectos10[[#This Row],[PRYRAfecha]],'Fechas Mes'!G:J,4,TRUE)</f>
        <v>Semana 48CIP2</v>
      </c>
      <c r="AD304" t="str">
        <f>IFERROR(VLOOKUP(Tabla_Consulta_desde_Proyectos10[[#This Row],[PRYcodigo]],Catálogo!A:B,2,FALSE),"Otros")</f>
        <v>Otros</v>
      </c>
      <c r="AE304" t="str">
        <f>IF(LEN(Tabla_Consulta_desde_Proyectos10[[#This Row],[Semana]])&lt;13,"CI",RIGHT(Tabla_Consulta_desde_Proyectos10[[#This Row],[Semana]],4))</f>
        <v>CIP2</v>
      </c>
    </row>
    <row r="305" spans="1:31">
      <c r="A305" t="s">
        <v>4032</v>
      </c>
      <c r="B305" t="s">
        <v>5344</v>
      </c>
      <c r="C305" t="s">
        <v>5345</v>
      </c>
      <c r="D305" t="s">
        <v>7208</v>
      </c>
      <c r="E305" t="s">
        <v>7243</v>
      </c>
      <c r="F305">
        <v>1</v>
      </c>
      <c r="G305" t="s">
        <v>7654</v>
      </c>
      <c r="H305" t="s">
        <v>5028</v>
      </c>
      <c r="I305" t="s">
        <v>5029</v>
      </c>
      <c r="J305" t="s">
        <v>5051</v>
      </c>
      <c r="K305" t="s">
        <v>5052</v>
      </c>
      <c r="L305" s="4">
        <v>46121</v>
      </c>
      <c r="M305" t="s">
        <v>7722</v>
      </c>
      <c r="N305">
        <v>0.25</v>
      </c>
      <c r="O305">
        <v>3000000001824408</v>
      </c>
      <c r="P305" t="s">
        <v>6788</v>
      </c>
      <c r="Q305" t="s">
        <v>7664</v>
      </c>
      <c r="W305" t="str">
        <f>Tabla_Consulta_desde_Proyectos10[[#This Row],[PRYcodigo]]&amp;Tabla_Consulta_desde_Proyectos10[[#This Row],[PRYApath]]</f>
        <v>151-400-RGT2.0/0020/0008</v>
      </c>
      <c r="X305" t="str">
        <f>Tabla_Consulta_desde_Proyectos10[[#This Row],[PRYAcodigo]]&amp;" - "&amp;Tabla_Consulta_desde_Proyectos10[[#This Row],[PRYAdescripcion]]</f>
        <v>4 - SEGURIDAD</v>
      </c>
      <c r="Y305" t="str">
        <f>SUBSTITUTE(IFERROR(VLOOKUP(LEFT(Tabla_Consulta_desde_Proyectos10[[#This Row],[Nivel1]],LEN(Tabla_Consulta_desde_Proyectos10[[#This Row],[Nivel1]])-5),Tabla_Consulta_desde_Proyectos10[[#All],[Nivel1]:[Actividad]],2,FALSE),""),"_","-")</f>
        <v>500.1-RM - ACTIVIDADES DEL EQUIPO DE RELEASE MANAGMENT</v>
      </c>
      <c r="Z305" t="str">
        <f>IFERROR(VLOOKUP(Tabla_Consulta_desde_Proyectos10[[#This Row],[PRYRAfecha]],'Fechas Mes'!G:J,4,TRUE),"")</f>
        <v>Semana 48CIP2</v>
      </c>
      <c r="AA305" t="str" cm="1">
        <f t="array" ref="AA305">INDEX('Fechas Mes'!F:F,MATCH(Tabla_Consulta_desde_Proyectos10[[#This Row],[Semana]],'Fechas Mes'!J:J,0),)</f>
        <v>M12CIP2</v>
      </c>
      <c r="AB305">
        <f>YEAR(Tabla_Consulta_desde_Proyectos10[[#This Row],[PRYRAfecha]])</f>
        <v>2026</v>
      </c>
      <c r="AC305" t="str">
        <f>VLOOKUP(Tabla_Consulta_desde_Proyectos10[[#This Row],[PRYRAfecha]],'Fechas Mes'!G:J,4,TRUE)</f>
        <v>Semana 48CIP2</v>
      </c>
      <c r="AD305" t="str">
        <f>IFERROR(VLOOKUP(Tabla_Consulta_desde_Proyectos10[[#This Row],[PRYcodigo]],Catálogo!A:B,2,FALSE),"Otros")</f>
        <v>Otros</v>
      </c>
      <c r="AE305" t="str">
        <f>IF(LEN(Tabla_Consulta_desde_Proyectos10[[#This Row],[Semana]])&lt;13,"CI",RIGHT(Tabla_Consulta_desde_Proyectos10[[#This Row],[Semana]],4))</f>
        <v>CIP2</v>
      </c>
    </row>
    <row r="306" spans="1:31">
      <c r="A306" t="s">
        <v>4032</v>
      </c>
      <c r="B306" t="s">
        <v>5344</v>
      </c>
      <c r="C306" t="s">
        <v>5345</v>
      </c>
      <c r="D306" t="s">
        <v>7239</v>
      </c>
      <c r="E306" t="s">
        <v>7245</v>
      </c>
      <c r="F306">
        <v>1</v>
      </c>
      <c r="G306" t="s">
        <v>7578</v>
      </c>
      <c r="H306" t="s">
        <v>6627</v>
      </c>
      <c r="I306" t="s">
        <v>6628</v>
      </c>
      <c r="J306" t="s">
        <v>6683</v>
      </c>
      <c r="K306" t="s">
        <v>6684</v>
      </c>
      <c r="L306" s="4">
        <v>46128</v>
      </c>
      <c r="M306" t="s">
        <v>7723</v>
      </c>
      <c r="N306">
        <v>1.5</v>
      </c>
      <c r="O306">
        <v>3000000001829488</v>
      </c>
      <c r="P306" t="s">
        <v>6792</v>
      </c>
      <c r="Q306" t="s">
        <v>7565</v>
      </c>
      <c r="W306" t="str">
        <f>Tabla_Consulta_desde_Proyectos10[[#This Row],[PRYcodigo]]&amp;Tabla_Consulta_desde_Proyectos10[[#This Row],[PRYApath]]</f>
        <v>151-400-RGT2.0/0020/0012</v>
      </c>
      <c r="X306" t="str">
        <f>Tabla_Consulta_desde_Proyectos10[[#This Row],[PRYAcodigo]]&amp;" - "&amp;Tabla_Consulta_desde_Proyectos10[[#This Row],[PRYAdescripcion]]</f>
        <v>6 - ATENCION DE INCIDENCIAS</v>
      </c>
      <c r="Y306" t="str">
        <f>SUBSTITUTE(IFERROR(VLOOKUP(LEFT(Tabla_Consulta_desde_Proyectos10[[#This Row],[Nivel1]],LEN(Tabla_Consulta_desde_Proyectos10[[#This Row],[Nivel1]])-5),Tabla_Consulta_desde_Proyectos10[[#All],[Nivel1]:[Actividad]],2,FALSE),""),"_","-")</f>
        <v>500.1-RM - ACTIVIDADES DEL EQUIPO DE RELEASE MANAGMENT</v>
      </c>
      <c r="Z306" t="str">
        <f>IFERROR(VLOOKUP(Tabla_Consulta_desde_Proyectos10[[#This Row],[PRYRAfecha]],'Fechas Mes'!G:J,4,TRUE),"")</f>
        <v>Semana 48CIP2</v>
      </c>
      <c r="AA306" t="str" cm="1">
        <f t="array" ref="AA306">INDEX('Fechas Mes'!F:F,MATCH(Tabla_Consulta_desde_Proyectos10[[#This Row],[Semana]],'Fechas Mes'!J:J,0),)</f>
        <v>M12CIP2</v>
      </c>
      <c r="AB306">
        <f>YEAR(Tabla_Consulta_desde_Proyectos10[[#This Row],[PRYRAfecha]])</f>
        <v>2026</v>
      </c>
      <c r="AC306" t="str">
        <f>VLOOKUP(Tabla_Consulta_desde_Proyectos10[[#This Row],[PRYRAfecha]],'Fechas Mes'!G:J,4,TRUE)</f>
        <v>Semana 48CIP2</v>
      </c>
      <c r="AD306" t="str">
        <f>IFERROR(VLOOKUP(Tabla_Consulta_desde_Proyectos10[[#This Row],[PRYcodigo]],Catálogo!A:B,2,FALSE),"Otros")</f>
        <v>Otros</v>
      </c>
      <c r="AE306" t="str">
        <f>IF(LEN(Tabla_Consulta_desde_Proyectos10[[#This Row],[Semana]])&lt;13,"CI",RIGHT(Tabla_Consulta_desde_Proyectos10[[#This Row],[Semana]],4))</f>
        <v>CIP2</v>
      </c>
    </row>
    <row r="307" spans="1:31">
      <c r="A307" t="s">
        <v>4032</v>
      </c>
      <c r="B307" t="s">
        <v>5344</v>
      </c>
      <c r="C307" t="s">
        <v>5345</v>
      </c>
      <c r="D307" t="s">
        <v>7239</v>
      </c>
      <c r="E307" t="s">
        <v>7245</v>
      </c>
      <c r="F307">
        <v>1</v>
      </c>
      <c r="G307" t="s">
        <v>7578</v>
      </c>
      <c r="H307" t="s">
        <v>6627</v>
      </c>
      <c r="I307" t="s">
        <v>6628</v>
      </c>
      <c r="J307" t="s">
        <v>6683</v>
      </c>
      <c r="K307" t="s">
        <v>6684</v>
      </c>
      <c r="L307" s="4">
        <v>46129</v>
      </c>
      <c r="M307" t="s">
        <v>7724</v>
      </c>
      <c r="N307">
        <v>2</v>
      </c>
      <c r="O307">
        <v>3000000001829500</v>
      </c>
      <c r="P307" t="s">
        <v>6792</v>
      </c>
      <c r="Q307" t="s">
        <v>7553</v>
      </c>
      <c r="W307" t="str">
        <f>Tabla_Consulta_desde_Proyectos10[[#This Row],[PRYcodigo]]&amp;Tabla_Consulta_desde_Proyectos10[[#This Row],[PRYApath]]</f>
        <v>151-400-RGT2.0/0020/0012</v>
      </c>
      <c r="X307" t="str">
        <f>Tabla_Consulta_desde_Proyectos10[[#This Row],[PRYAcodigo]]&amp;" - "&amp;Tabla_Consulta_desde_Proyectos10[[#This Row],[PRYAdescripcion]]</f>
        <v>6 - ATENCION DE INCIDENCIAS</v>
      </c>
      <c r="Y307" t="str">
        <f>SUBSTITUTE(IFERROR(VLOOKUP(LEFT(Tabla_Consulta_desde_Proyectos10[[#This Row],[Nivel1]],LEN(Tabla_Consulta_desde_Proyectos10[[#This Row],[Nivel1]])-5),Tabla_Consulta_desde_Proyectos10[[#All],[Nivel1]:[Actividad]],2,FALSE),""),"_","-")</f>
        <v>500.1-RM - ACTIVIDADES DEL EQUIPO DE RELEASE MANAGMENT</v>
      </c>
      <c r="Z307" t="str">
        <f>IFERROR(VLOOKUP(Tabla_Consulta_desde_Proyectos10[[#This Row],[PRYRAfecha]],'Fechas Mes'!G:J,4,TRUE),"")</f>
        <v>Semana 48CIP2</v>
      </c>
      <c r="AA307" t="str" cm="1">
        <f t="array" ref="AA307">INDEX('Fechas Mes'!F:F,MATCH(Tabla_Consulta_desde_Proyectos10[[#This Row],[Semana]],'Fechas Mes'!J:J,0),)</f>
        <v>M12CIP2</v>
      </c>
      <c r="AB307">
        <f>YEAR(Tabla_Consulta_desde_Proyectos10[[#This Row],[PRYRAfecha]])</f>
        <v>2026</v>
      </c>
      <c r="AC307" t="str">
        <f>VLOOKUP(Tabla_Consulta_desde_Proyectos10[[#This Row],[PRYRAfecha]],'Fechas Mes'!G:J,4,TRUE)</f>
        <v>Semana 48CIP2</v>
      </c>
      <c r="AD307" t="str">
        <f>IFERROR(VLOOKUP(Tabla_Consulta_desde_Proyectos10[[#This Row],[PRYcodigo]],Catálogo!A:B,2,FALSE),"Otros")</f>
        <v>Otros</v>
      </c>
      <c r="AE307" t="str">
        <f>IF(LEN(Tabla_Consulta_desde_Proyectos10[[#This Row],[Semana]])&lt;13,"CI",RIGHT(Tabla_Consulta_desde_Proyectos10[[#This Row],[Semana]],4))</f>
        <v>CIP2</v>
      </c>
    </row>
    <row r="308" spans="1:31">
      <c r="A308" t="s">
        <v>4032</v>
      </c>
      <c r="B308" t="s">
        <v>5344</v>
      </c>
      <c r="C308" t="s">
        <v>5345</v>
      </c>
      <c r="D308" t="s">
        <v>7239</v>
      </c>
      <c r="E308" t="s">
        <v>7245</v>
      </c>
      <c r="F308">
        <v>1</v>
      </c>
      <c r="G308" t="s">
        <v>7578</v>
      </c>
      <c r="H308" t="s">
        <v>6627</v>
      </c>
      <c r="I308" t="s">
        <v>6628</v>
      </c>
      <c r="J308" t="s">
        <v>6683</v>
      </c>
      <c r="K308" t="s">
        <v>6684</v>
      </c>
      <c r="L308" s="4">
        <v>46132</v>
      </c>
      <c r="M308" t="s">
        <v>7725</v>
      </c>
      <c r="N308">
        <v>0.5</v>
      </c>
      <c r="O308">
        <v>3000000001838347</v>
      </c>
      <c r="P308" t="s">
        <v>6792</v>
      </c>
      <c r="Q308" t="s">
        <v>7565</v>
      </c>
      <c r="W308" t="str">
        <f>Tabla_Consulta_desde_Proyectos10[[#This Row],[PRYcodigo]]&amp;Tabla_Consulta_desde_Proyectos10[[#This Row],[PRYApath]]</f>
        <v>151-400-RGT2.0/0020/0012</v>
      </c>
      <c r="X308" t="str">
        <f>Tabla_Consulta_desde_Proyectos10[[#This Row],[PRYAcodigo]]&amp;" - "&amp;Tabla_Consulta_desde_Proyectos10[[#This Row],[PRYAdescripcion]]</f>
        <v>6 - ATENCION DE INCIDENCIAS</v>
      </c>
      <c r="Y308" t="str">
        <f>SUBSTITUTE(IFERROR(VLOOKUP(LEFT(Tabla_Consulta_desde_Proyectos10[[#This Row],[Nivel1]],LEN(Tabla_Consulta_desde_Proyectos10[[#This Row],[Nivel1]])-5),Tabla_Consulta_desde_Proyectos10[[#All],[Nivel1]:[Actividad]],2,FALSE),""),"_","-")</f>
        <v>500.1-RM - ACTIVIDADES DEL EQUIPO DE RELEASE MANAGMENT</v>
      </c>
      <c r="Z308" t="str">
        <f>IFERROR(VLOOKUP(Tabla_Consulta_desde_Proyectos10[[#This Row],[PRYRAfecha]],'Fechas Mes'!G:J,4,TRUE),"")</f>
        <v>Semana 48CIP2</v>
      </c>
      <c r="AA308" t="str" cm="1">
        <f t="array" ref="AA308">INDEX('Fechas Mes'!F:F,MATCH(Tabla_Consulta_desde_Proyectos10[[#This Row],[Semana]],'Fechas Mes'!J:J,0),)</f>
        <v>M12CIP2</v>
      </c>
      <c r="AB308">
        <f>YEAR(Tabla_Consulta_desde_Proyectos10[[#This Row],[PRYRAfecha]])</f>
        <v>2026</v>
      </c>
      <c r="AC308" t="str">
        <f>VLOOKUP(Tabla_Consulta_desde_Proyectos10[[#This Row],[PRYRAfecha]],'Fechas Mes'!G:J,4,TRUE)</f>
        <v>Semana 48CIP2</v>
      </c>
      <c r="AD308" t="str">
        <f>IFERROR(VLOOKUP(Tabla_Consulta_desde_Proyectos10[[#This Row],[PRYcodigo]],Catálogo!A:B,2,FALSE),"Otros")</f>
        <v>Otros</v>
      </c>
      <c r="AE308" t="str">
        <f>IF(LEN(Tabla_Consulta_desde_Proyectos10[[#This Row],[Semana]])&lt;13,"CI",RIGHT(Tabla_Consulta_desde_Proyectos10[[#This Row],[Semana]],4))</f>
        <v>CIP2</v>
      </c>
    </row>
    <row r="309" spans="1:31">
      <c r="A309" t="s">
        <v>4032</v>
      </c>
      <c r="B309" t="s">
        <v>5344</v>
      </c>
      <c r="C309" t="s">
        <v>5345</v>
      </c>
      <c r="D309" t="s">
        <v>7239</v>
      </c>
      <c r="E309" t="s">
        <v>7245</v>
      </c>
      <c r="F309">
        <v>1</v>
      </c>
      <c r="G309" t="s">
        <v>7578</v>
      </c>
      <c r="H309" t="s">
        <v>6627</v>
      </c>
      <c r="I309" t="s">
        <v>6628</v>
      </c>
      <c r="J309" t="s">
        <v>6683</v>
      </c>
      <c r="K309" t="s">
        <v>6684</v>
      </c>
      <c r="L309" s="4">
        <v>46133</v>
      </c>
      <c r="M309" t="s">
        <v>7726</v>
      </c>
      <c r="N309">
        <v>0.5</v>
      </c>
      <c r="O309">
        <v>3000000001832858</v>
      </c>
      <c r="P309" t="s">
        <v>6792</v>
      </c>
      <c r="Q309" t="s">
        <v>7565</v>
      </c>
      <c r="W309" t="str">
        <f>Tabla_Consulta_desde_Proyectos10[[#This Row],[PRYcodigo]]&amp;Tabla_Consulta_desde_Proyectos10[[#This Row],[PRYApath]]</f>
        <v>151-400-RGT2.0/0020/0012</v>
      </c>
      <c r="X309" t="str">
        <f>Tabla_Consulta_desde_Proyectos10[[#This Row],[PRYAcodigo]]&amp;" - "&amp;Tabla_Consulta_desde_Proyectos10[[#This Row],[PRYAdescripcion]]</f>
        <v>6 - ATENCION DE INCIDENCIAS</v>
      </c>
      <c r="Y309" t="str">
        <f>SUBSTITUTE(IFERROR(VLOOKUP(LEFT(Tabla_Consulta_desde_Proyectos10[[#This Row],[Nivel1]],LEN(Tabla_Consulta_desde_Proyectos10[[#This Row],[Nivel1]])-5),Tabla_Consulta_desde_Proyectos10[[#All],[Nivel1]:[Actividad]],2,FALSE),""),"_","-")</f>
        <v>500.1-RM - ACTIVIDADES DEL EQUIPO DE RELEASE MANAGMENT</v>
      </c>
      <c r="Z309" t="str">
        <f>IFERROR(VLOOKUP(Tabla_Consulta_desde_Proyectos10[[#This Row],[PRYRAfecha]],'Fechas Mes'!G:J,4,TRUE),"")</f>
        <v>Semana 48CIP2</v>
      </c>
      <c r="AA309" t="str" cm="1">
        <f t="array" ref="AA309">INDEX('Fechas Mes'!F:F,MATCH(Tabla_Consulta_desde_Proyectos10[[#This Row],[Semana]],'Fechas Mes'!J:J,0),)</f>
        <v>M12CIP2</v>
      </c>
      <c r="AB309">
        <f>YEAR(Tabla_Consulta_desde_Proyectos10[[#This Row],[PRYRAfecha]])</f>
        <v>2026</v>
      </c>
      <c r="AC309" t="str">
        <f>VLOOKUP(Tabla_Consulta_desde_Proyectos10[[#This Row],[PRYRAfecha]],'Fechas Mes'!G:J,4,TRUE)</f>
        <v>Semana 48CIP2</v>
      </c>
      <c r="AD309" t="str">
        <f>IFERROR(VLOOKUP(Tabla_Consulta_desde_Proyectos10[[#This Row],[PRYcodigo]],Catálogo!A:B,2,FALSE),"Otros")</f>
        <v>Otros</v>
      </c>
      <c r="AE309" t="str">
        <f>IF(LEN(Tabla_Consulta_desde_Proyectos10[[#This Row],[Semana]])&lt;13,"CI",RIGHT(Tabla_Consulta_desde_Proyectos10[[#This Row],[Semana]],4))</f>
        <v>CIP2</v>
      </c>
    </row>
    <row r="310" spans="1:31">
      <c r="A310" t="s">
        <v>4032</v>
      </c>
      <c r="B310" t="s">
        <v>5344</v>
      </c>
      <c r="C310" t="s">
        <v>5345</v>
      </c>
      <c r="D310" t="s">
        <v>7543</v>
      </c>
      <c r="E310" t="s">
        <v>7548</v>
      </c>
      <c r="F310">
        <v>1</v>
      </c>
      <c r="G310" t="s">
        <v>7551</v>
      </c>
      <c r="H310" t="s">
        <v>6627</v>
      </c>
      <c r="I310" t="s">
        <v>6628</v>
      </c>
      <c r="J310" t="s">
        <v>6683</v>
      </c>
      <c r="K310" t="s">
        <v>6684</v>
      </c>
      <c r="L310" s="4">
        <v>46122</v>
      </c>
      <c r="M310" t="s">
        <v>7727</v>
      </c>
      <c r="N310">
        <v>1</v>
      </c>
      <c r="O310">
        <v>3000000001827136</v>
      </c>
      <c r="P310" t="s">
        <v>6794</v>
      </c>
      <c r="Q310" t="s">
        <v>7544</v>
      </c>
      <c r="W310" t="str">
        <f>Tabla_Consulta_desde_Proyectos10[[#This Row],[PRYcodigo]]&amp;Tabla_Consulta_desde_Proyectos10[[#This Row],[PRYApath]]</f>
        <v>151-400-RGT2.0/0020/0014</v>
      </c>
      <c r="X310" t="str">
        <f>Tabla_Consulta_desde_Proyectos10[[#This Row],[PRYAcodigo]]&amp;" - "&amp;Tabla_Consulta_desde_Proyectos10[[#This Row],[PRYAdescripcion]]</f>
        <v>7 - SOPORTE VARIO</v>
      </c>
      <c r="Y310" t="str">
        <f>SUBSTITUTE(IFERROR(VLOOKUP(LEFT(Tabla_Consulta_desde_Proyectos10[[#This Row],[Nivel1]],LEN(Tabla_Consulta_desde_Proyectos10[[#This Row],[Nivel1]])-5),Tabla_Consulta_desde_Proyectos10[[#All],[Nivel1]:[Actividad]],2,FALSE),""),"_","-")</f>
        <v>500.1-RM - ACTIVIDADES DEL EQUIPO DE RELEASE MANAGMENT</v>
      </c>
      <c r="Z310" t="str">
        <f>IFERROR(VLOOKUP(Tabla_Consulta_desde_Proyectos10[[#This Row],[PRYRAfecha]],'Fechas Mes'!G:J,4,TRUE),"")</f>
        <v>Semana 48CIP2</v>
      </c>
      <c r="AA310" t="str" cm="1">
        <f t="array" ref="AA310">INDEX('Fechas Mes'!F:F,MATCH(Tabla_Consulta_desde_Proyectos10[[#This Row],[Semana]],'Fechas Mes'!J:J,0),)</f>
        <v>M12CIP2</v>
      </c>
      <c r="AB310">
        <f>YEAR(Tabla_Consulta_desde_Proyectos10[[#This Row],[PRYRAfecha]])</f>
        <v>2026</v>
      </c>
      <c r="AC310" t="str">
        <f>VLOOKUP(Tabla_Consulta_desde_Proyectos10[[#This Row],[PRYRAfecha]],'Fechas Mes'!G:J,4,TRUE)</f>
        <v>Semana 48CIP2</v>
      </c>
      <c r="AD310" t="str">
        <f>IFERROR(VLOOKUP(Tabla_Consulta_desde_Proyectos10[[#This Row],[PRYcodigo]],Catálogo!A:B,2,FALSE),"Otros")</f>
        <v>Otros</v>
      </c>
      <c r="AE310" t="str">
        <f>IF(LEN(Tabla_Consulta_desde_Proyectos10[[#This Row],[Semana]])&lt;13,"CI",RIGHT(Tabla_Consulta_desde_Proyectos10[[#This Row],[Semana]],4))</f>
        <v>CIP2</v>
      </c>
    </row>
    <row r="311" spans="1:31">
      <c r="A311" t="s">
        <v>4032</v>
      </c>
      <c r="B311" t="s">
        <v>5344</v>
      </c>
      <c r="C311" t="s">
        <v>5345</v>
      </c>
      <c r="D311" t="s">
        <v>7203</v>
      </c>
      <c r="E311" t="s">
        <v>7204</v>
      </c>
      <c r="F311">
        <v>1</v>
      </c>
      <c r="G311" t="s">
        <v>7246</v>
      </c>
      <c r="H311" t="s">
        <v>753</v>
      </c>
      <c r="I311" t="s">
        <v>6067</v>
      </c>
      <c r="J311" t="s">
        <v>7241</v>
      </c>
      <c r="K311" t="s">
        <v>7242</v>
      </c>
      <c r="L311" s="4">
        <v>46140</v>
      </c>
      <c r="M311" t="s">
        <v>7728</v>
      </c>
      <c r="N311">
        <v>2</v>
      </c>
      <c r="O311">
        <v>3000000001835289</v>
      </c>
      <c r="P311" t="s">
        <v>6796</v>
      </c>
      <c r="Q311" t="s">
        <v>7215</v>
      </c>
      <c r="W311" t="str">
        <f>Tabla_Consulta_desde_Proyectos10[[#This Row],[PRYcodigo]]&amp;Tabla_Consulta_desde_Proyectos10[[#This Row],[PRYApath]]</f>
        <v>151-400-RGT2.0/0020/0016</v>
      </c>
      <c r="X311" t="str">
        <f>Tabla_Consulta_desde_Proyectos10[[#This Row],[PRYAcodigo]]&amp;" - "&amp;Tabla_Consulta_desde_Proyectos10[[#This Row],[PRYAdescripcion]]</f>
        <v>8 - DOCUMENTACIÓN Y REUNIONES</v>
      </c>
      <c r="Y311" t="str">
        <f>SUBSTITUTE(IFERROR(VLOOKUP(LEFT(Tabla_Consulta_desde_Proyectos10[[#This Row],[Nivel1]],LEN(Tabla_Consulta_desde_Proyectos10[[#This Row],[Nivel1]])-5),Tabla_Consulta_desde_Proyectos10[[#All],[Nivel1]:[Actividad]],2,FALSE),""),"_","-")</f>
        <v>500.1-RM - ACTIVIDADES DEL EQUIPO DE RELEASE MANAGMENT</v>
      </c>
      <c r="Z311" t="str">
        <f>IFERROR(VLOOKUP(Tabla_Consulta_desde_Proyectos10[[#This Row],[PRYRAfecha]],'Fechas Mes'!G:J,4,TRUE),"")</f>
        <v>Semana 48CIP2</v>
      </c>
      <c r="AA311" t="str" cm="1">
        <f t="array" ref="AA311">INDEX('Fechas Mes'!F:F,MATCH(Tabla_Consulta_desde_Proyectos10[[#This Row],[Semana]],'Fechas Mes'!J:J,0),)</f>
        <v>M12CIP2</v>
      </c>
      <c r="AB311">
        <f>YEAR(Tabla_Consulta_desde_Proyectos10[[#This Row],[PRYRAfecha]])</f>
        <v>2026</v>
      </c>
      <c r="AC311" t="str">
        <f>VLOOKUP(Tabla_Consulta_desde_Proyectos10[[#This Row],[PRYRAfecha]],'Fechas Mes'!G:J,4,TRUE)</f>
        <v>Semana 48CIP2</v>
      </c>
      <c r="AD311" t="str">
        <f>IFERROR(VLOOKUP(Tabla_Consulta_desde_Proyectos10[[#This Row],[PRYcodigo]],Catálogo!A:B,2,FALSE),"Otros")</f>
        <v>Otros</v>
      </c>
      <c r="AE311" t="str">
        <f>IF(LEN(Tabla_Consulta_desde_Proyectos10[[#This Row],[Semana]])&lt;13,"CI",RIGHT(Tabla_Consulta_desde_Proyectos10[[#This Row],[Semana]],4))</f>
        <v>CIP2</v>
      </c>
    </row>
    <row r="312" spans="1:31">
      <c r="A312" t="s">
        <v>4032</v>
      </c>
      <c r="B312" t="s">
        <v>5344</v>
      </c>
      <c r="C312" t="s">
        <v>5345</v>
      </c>
      <c r="D312" t="s">
        <v>7203</v>
      </c>
      <c r="E312" t="s">
        <v>7204</v>
      </c>
      <c r="F312">
        <v>1</v>
      </c>
      <c r="G312" t="s">
        <v>7246</v>
      </c>
      <c r="H312" t="s">
        <v>646</v>
      </c>
      <c r="I312" t="s">
        <v>647</v>
      </c>
      <c r="J312" t="s">
        <v>1981</v>
      </c>
      <c r="K312" t="s">
        <v>1982</v>
      </c>
      <c r="L312" s="4">
        <v>46132</v>
      </c>
      <c r="M312" t="s">
        <v>7729</v>
      </c>
      <c r="N312">
        <v>1.25</v>
      </c>
      <c r="O312">
        <v>3000000001830824</v>
      </c>
      <c r="P312" t="s">
        <v>6796</v>
      </c>
      <c r="Q312" t="s">
        <v>7215</v>
      </c>
      <c r="W312" t="str">
        <f>Tabla_Consulta_desde_Proyectos10[[#This Row],[PRYcodigo]]&amp;Tabla_Consulta_desde_Proyectos10[[#This Row],[PRYApath]]</f>
        <v>151-400-RGT2.0/0020/0016</v>
      </c>
      <c r="X312" t="str">
        <f>Tabla_Consulta_desde_Proyectos10[[#This Row],[PRYAcodigo]]&amp;" - "&amp;Tabla_Consulta_desde_Proyectos10[[#This Row],[PRYAdescripcion]]</f>
        <v>8 - DOCUMENTACIÓN Y REUNIONES</v>
      </c>
      <c r="Y312" t="str">
        <f>SUBSTITUTE(IFERROR(VLOOKUP(LEFT(Tabla_Consulta_desde_Proyectos10[[#This Row],[Nivel1]],LEN(Tabla_Consulta_desde_Proyectos10[[#This Row],[Nivel1]])-5),Tabla_Consulta_desde_Proyectos10[[#All],[Nivel1]:[Actividad]],2,FALSE),""),"_","-")</f>
        <v>500.1-RM - ACTIVIDADES DEL EQUIPO DE RELEASE MANAGMENT</v>
      </c>
      <c r="Z312" t="str">
        <f>IFERROR(VLOOKUP(Tabla_Consulta_desde_Proyectos10[[#This Row],[PRYRAfecha]],'Fechas Mes'!G:J,4,TRUE),"")</f>
        <v>Semana 48CIP2</v>
      </c>
      <c r="AA312" t="str" cm="1">
        <f t="array" ref="AA312">INDEX('Fechas Mes'!F:F,MATCH(Tabla_Consulta_desde_Proyectos10[[#This Row],[Semana]],'Fechas Mes'!J:J,0),)</f>
        <v>M12CIP2</v>
      </c>
      <c r="AB312">
        <f>YEAR(Tabla_Consulta_desde_Proyectos10[[#This Row],[PRYRAfecha]])</f>
        <v>2026</v>
      </c>
      <c r="AC312" t="str">
        <f>VLOOKUP(Tabla_Consulta_desde_Proyectos10[[#This Row],[PRYRAfecha]],'Fechas Mes'!G:J,4,TRUE)</f>
        <v>Semana 48CIP2</v>
      </c>
      <c r="AD312" t="str">
        <f>IFERROR(VLOOKUP(Tabla_Consulta_desde_Proyectos10[[#This Row],[PRYcodigo]],Catálogo!A:B,2,FALSE),"Otros")</f>
        <v>Otros</v>
      </c>
      <c r="AE312" t="str">
        <f>IF(LEN(Tabla_Consulta_desde_Proyectos10[[#This Row],[Semana]])&lt;13,"CI",RIGHT(Tabla_Consulta_desde_Proyectos10[[#This Row],[Semana]],4))</f>
        <v>CIP2</v>
      </c>
    </row>
    <row r="313" spans="1:31" hidden="1">
      <c r="A313" t="s">
        <v>4032</v>
      </c>
      <c r="B313" t="s">
        <v>4907</v>
      </c>
      <c r="C313" t="s">
        <v>4908</v>
      </c>
      <c r="D313" t="s">
        <v>7225</v>
      </c>
      <c r="E313" t="s">
        <v>7226</v>
      </c>
      <c r="F313">
        <v>0</v>
      </c>
      <c r="G313" t="s">
        <v>7211</v>
      </c>
      <c r="L313" s="4"/>
      <c r="O313">
        <v>3000000001822627</v>
      </c>
      <c r="W313" t="str">
        <f>Tabla_Consulta_desde_Proyectos10[[#This Row],[PRYcodigo]]&amp;Tabla_Consulta_desde_Proyectos10[[#This Row],[PRYApath]]</f>
        <v>579-203-REDIMED/0018</v>
      </c>
      <c r="X313" t="str">
        <f>Tabla_Consulta_desde_Proyectos10[[#This Row],[PRYAcodigo]]&amp;" - "&amp;Tabla_Consulta_desde_Proyectos10[[#This Row],[PRYAdescripcion]]</f>
        <v>202_REDIMED - ACTIVIDADES ASOCIADAS A IMPLEMENTACIÓN - REDIMED</v>
      </c>
      <c r="Y313" t="str">
        <f>SUBSTITUTE(IFERROR(VLOOKUP(LEFT(Tabla_Consulta_desde_Proyectos10[[#This Row],[Nivel1]],LEN(Tabla_Consulta_desde_Proyectos10[[#This Row],[Nivel1]])-5),Tabla_Consulta_desde_Proyectos10[[#All],[Nivel1]:[Actividad]],2,FALSE),""),"_","-")</f>
        <v/>
      </c>
      <c r="Z313" t="str">
        <f>IFERROR(VLOOKUP(Tabla_Consulta_desde_Proyectos10[[#This Row],[PRYRAfecha]],'Fechas Mes'!G:J,4,TRUE),"")</f>
        <v/>
      </c>
      <c r="AA313" t="e" cm="1">
        <f t="array" ref="AA313">INDEX('Fechas Mes'!F:F,MATCH(Tabla_Consulta_desde_Proyectos10[[#This Row],[Semana]],'Fechas Mes'!J:J,0),)</f>
        <v>#N/A</v>
      </c>
      <c r="AB313">
        <f>YEAR(Tabla_Consulta_desde_Proyectos10[[#This Row],[PRYRAfecha]])</f>
        <v>1900</v>
      </c>
      <c r="AC313" t="e">
        <f>VLOOKUP(Tabla_Consulta_desde_Proyectos10[[#This Row],[PRYRAfecha]],'Fechas Mes'!G:J,4,TRUE)</f>
        <v>#N/A</v>
      </c>
      <c r="AD313" t="str">
        <f>IFERROR(VLOOKUP(Tabla_Consulta_desde_Proyectos10[[#This Row],[PRYcodigo]],Catálogo!A:B,2,FALSE),"Otros")</f>
        <v>Otros</v>
      </c>
      <c r="AE313" t="str">
        <f>IF(LEN(Tabla_Consulta_desde_Proyectos10[[#This Row],[Semana]])&lt;13,"CI",RIGHT(Tabla_Consulta_desde_Proyectos10[[#This Row],[Semana]],4))</f>
        <v>CI</v>
      </c>
    </row>
    <row r="314" spans="1:31" hidden="1">
      <c r="A314" t="s">
        <v>4032</v>
      </c>
      <c r="B314" t="s">
        <v>4907</v>
      </c>
      <c r="C314" t="s">
        <v>4908</v>
      </c>
      <c r="D314" t="s">
        <v>7225</v>
      </c>
      <c r="E314" t="s">
        <v>7226</v>
      </c>
      <c r="F314">
        <v>0</v>
      </c>
      <c r="G314" t="s">
        <v>7211</v>
      </c>
      <c r="L314" s="4"/>
      <c r="O314">
        <v>3000000001822628</v>
      </c>
      <c r="W314" t="str">
        <f>Tabla_Consulta_desde_Proyectos10[[#This Row],[PRYcodigo]]&amp;Tabla_Consulta_desde_Proyectos10[[#This Row],[PRYApath]]</f>
        <v>579-203-REDIMED/0018</v>
      </c>
      <c r="X314" t="str">
        <f>Tabla_Consulta_desde_Proyectos10[[#This Row],[PRYAcodigo]]&amp;" - "&amp;Tabla_Consulta_desde_Proyectos10[[#This Row],[PRYAdescripcion]]</f>
        <v>202_REDIMED - ACTIVIDADES ASOCIADAS A IMPLEMENTACIÓN - REDIMED</v>
      </c>
      <c r="Y314" t="str">
        <f>SUBSTITUTE(IFERROR(VLOOKUP(LEFT(Tabla_Consulta_desde_Proyectos10[[#This Row],[Nivel1]],LEN(Tabla_Consulta_desde_Proyectos10[[#This Row],[Nivel1]])-5),Tabla_Consulta_desde_Proyectos10[[#All],[Nivel1]:[Actividad]],2,FALSE),""),"_","-")</f>
        <v/>
      </c>
      <c r="Z314" t="str">
        <f>IFERROR(VLOOKUP(Tabla_Consulta_desde_Proyectos10[[#This Row],[PRYRAfecha]],'Fechas Mes'!G:J,4,TRUE),"")</f>
        <v/>
      </c>
      <c r="AA314" t="e" cm="1">
        <f t="array" ref="AA314">INDEX('Fechas Mes'!F:F,MATCH(Tabla_Consulta_desde_Proyectos10[[#This Row],[Semana]],'Fechas Mes'!J:J,0),)</f>
        <v>#N/A</v>
      </c>
      <c r="AB314">
        <f>YEAR(Tabla_Consulta_desde_Proyectos10[[#This Row],[PRYRAfecha]])</f>
        <v>1900</v>
      </c>
      <c r="AC314" t="e">
        <f>VLOOKUP(Tabla_Consulta_desde_Proyectos10[[#This Row],[PRYRAfecha]],'Fechas Mes'!G:J,4,TRUE)</f>
        <v>#N/A</v>
      </c>
      <c r="AD314" t="str">
        <f>IFERROR(VLOOKUP(Tabla_Consulta_desde_Proyectos10[[#This Row],[PRYcodigo]],Catálogo!A:B,2,FALSE),"Otros")</f>
        <v>Otros</v>
      </c>
      <c r="AE314" t="str">
        <f>IF(LEN(Tabla_Consulta_desde_Proyectos10[[#This Row],[Semana]])&lt;13,"CI",RIGHT(Tabla_Consulta_desde_Proyectos10[[#This Row],[Semana]],4))</f>
        <v>CI</v>
      </c>
    </row>
    <row r="315" spans="1:31" hidden="1">
      <c r="A315" t="s">
        <v>4032</v>
      </c>
      <c r="B315" t="s">
        <v>4907</v>
      </c>
      <c r="C315" t="s">
        <v>4908</v>
      </c>
      <c r="D315" t="s">
        <v>7225</v>
      </c>
      <c r="E315" t="s">
        <v>7226</v>
      </c>
      <c r="F315">
        <v>0</v>
      </c>
      <c r="G315" t="s">
        <v>7211</v>
      </c>
      <c r="L315" s="4"/>
      <c r="O315">
        <v>3000000001822630</v>
      </c>
      <c r="W315" t="str">
        <f>Tabla_Consulta_desde_Proyectos10[[#This Row],[PRYcodigo]]&amp;Tabla_Consulta_desde_Proyectos10[[#This Row],[PRYApath]]</f>
        <v>579-203-REDIMED/0018</v>
      </c>
      <c r="X315" t="str">
        <f>Tabla_Consulta_desde_Proyectos10[[#This Row],[PRYAcodigo]]&amp;" - "&amp;Tabla_Consulta_desde_Proyectos10[[#This Row],[PRYAdescripcion]]</f>
        <v>202_REDIMED - ACTIVIDADES ASOCIADAS A IMPLEMENTACIÓN - REDIMED</v>
      </c>
      <c r="Y315" t="str">
        <f>SUBSTITUTE(IFERROR(VLOOKUP(LEFT(Tabla_Consulta_desde_Proyectos10[[#This Row],[Nivel1]],LEN(Tabla_Consulta_desde_Proyectos10[[#This Row],[Nivel1]])-5),Tabla_Consulta_desde_Proyectos10[[#All],[Nivel1]:[Actividad]],2,FALSE),""),"_","-")</f>
        <v/>
      </c>
      <c r="Z315" t="str">
        <f>IFERROR(VLOOKUP(Tabla_Consulta_desde_Proyectos10[[#This Row],[PRYRAfecha]],'Fechas Mes'!G:J,4,TRUE),"")</f>
        <v/>
      </c>
      <c r="AA315" t="e" cm="1">
        <f t="array" ref="AA315">INDEX('Fechas Mes'!F:F,MATCH(Tabla_Consulta_desde_Proyectos10[[#This Row],[Semana]],'Fechas Mes'!J:J,0),)</f>
        <v>#N/A</v>
      </c>
      <c r="AB315">
        <f>YEAR(Tabla_Consulta_desde_Proyectos10[[#This Row],[PRYRAfecha]])</f>
        <v>1900</v>
      </c>
      <c r="AC315" t="e">
        <f>VLOOKUP(Tabla_Consulta_desde_Proyectos10[[#This Row],[PRYRAfecha]],'Fechas Mes'!G:J,4,TRUE)</f>
        <v>#N/A</v>
      </c>
      <c r="AD315" t="str">
        <f>IFERROR(VLOOKUP(Tabla_Consulta_desde_Proyectos10[[#This Row],[PRYcodigo]],Catálogo!A:B,2,FALSE),"Otros")</f>
        <v>Otros</v>
      </c>
      <c r="AE315" t="str">
        <f>IF(LEN(Tabla_Consulta_desde_Proyectos10[[#This Row],[Semana]])&lt;13,"CI",RIGHT(Tabla_Consulta_desde_Proyectos10[[#This Row],[Semana]],4))</f>
        <v>CI</v>
      </c>
    </row>
    <row r="316" spans="1:31" hidden="1">
      <c r="A316" t="s">
        <v>4032</v>
      </c>
      <c r="B316" t="s">
        <v>4907</v>
      </c>
      <c r="C316" t="s">
        <v>4908</v>
      </c>
      <c r="D316" t="s">
        <v>7225</v>
      </c>
      <c r="E316" t="s">
        <v>7226</v>
      </c>
      <c r="F316">
        <v>0</v>
      </c>
      <c r="G316" t="s">
        <v>7211</v>
      </c>
      <c r="L316" s="4"/>
      <c r="O316">
        <v>3000000001822634</v>
      </c>
      <c r="W316" t="str">
        <f>Tabla_Consulta_desde_Proyectos10[[#This Row],[PRYcodigo]]&amp;Tabla_Consulta_desde_Proyectos10[[#This Row],[PRYApath]]</f>
        <v>579-203-REDIMED/0018</v>
      </c>
      <c r="X316" t="str">
        <f>Tabla_Consulta_desde_Proyectos10[[#This Row],[PRYAcodigo]]&amp;" - "&amp;Tabla_Consulta_desde_Proyectos10[[#This Row],[PRYAdescripcion]]</f>
        <v>202_REDIMED - ACTIVIDADES ASOCIADAS A IMPLEMENTACIÓN - REDIMED</v>
      </c>
      <c r="Y316" t="str">
        <f>SUBSTITUTE(IFERROR(VLOOKUP(LEFT(Tabla_Consulta_desde_Proyectos10[[#This Row],[Nivel1]],LEN(Tabla_Consulta_desde_Proyectos10[[#This Row],[Nivel1]])-5),Tabla_Consulta_desde_Proyectos10[[#All],[Nivel1]:[Actividad]],2,FALSE),""),"_","-")</f>
        <v/>
      </c>
      <c r="Z316" t="str">
        <f>IFERROR(VLOOKUP(Tabla_Consulta_desde_Proyectos10[[#This Row],[PRYRAfecha]],'Fechas Mes'!G:J,4,TRUE),"")</f>
        <v/>
      </c>
      <c r="AA316" t="e" cm="1">
        <f t="array" ref="AA316">INDEX('Fechas Mes'!F:F,MATCH(Tabla_Consulta_desde_Proyectos10[[#This Row],[Semana]],'Fechas Mes'!J:J,0),)</f>
        <v>#N/A</v>
      </c>
      <c r="AB316">
        <f>YEAR(Tabla_Consulta_desde_Proyectos10[[#This Row],[PRYRAfecha]])</f>
        <v>1900</v>
      </c>
      <c r="AC316" t="e">
        <f>VLOOKUP(Tabla_Consulta_desde_Proyectos10[[#This Row],[PRYRAfecha]],'Fechas Mes'!G:J,4,TRUE)</f>
        <v>#N/A</v>
      </c>
      <c r="AD316" t="str">
        <f>IFERROR(VLOOKUP(Tabla_Consulta_desde_Proyectos10[[#This Row],[PRYcodigo]],Catálogo!A:B,2,FALSE),"Otros")</f>
        <v>Otros</v>
      </c>
      <c r="AE316" t="str">
        <f>IF(LEN(Tabla_Consulta_desde_Proyectos10[[#This Row],[Semana]])&lt;13,"CI",RIGHT(Tabla_Consulta_desde_Proyectos10[[#This Row],[Semana]],4))</f>
        <v>CI</v>
      </c>
    </row>
    <row r="317" spans="1:31" hidden="1">
      <c r="A317" t="s">
        <v>4032</v>
      </c>
      <c r="B317" t="s">
        <v>4907</v>
      </c>
      <c r="C317" t="s">
        <v>4908</v>
      </c>
      <c r="D317" t="s">
        <v>7225</v>
      </c>
      <c r="E317" t="s">
        <v>7226</v>
      </c>
      <c r="F317">
        <v>0</v>
      </c>
      <c r="G317" t="s">
        <v>7211</v>
      </c>
      <c r="L317" s="4"/>
      <c r="O317">
        <v>3000000001825337</v>
      </c>
      <c r="W317" t="str">
        <f>Tabla_Consulta_desde_Proyectos10[[#This Row],[PRYcodigo]]&amp;Tabla_Consulta_desde_Proyectos10[[#This Row],[PRYApath]]</f>
        <v>579-203-REDIMED/0018</v>
      </c>
      <c r="X317" t="str">
        <f>Tabla_Consulta_desde_Proyectos10[[#This Row],[PRYAcodigo]]&amp;" - "&amp;Tabla_Consulta_desde_Proyectos10[[#This Row],[PRYAdescripcion]]</f>
        <v>202_REDIMED - ACTIVIDADES ASOCIADAS A IMPLEMENTACIÓN - REDIMED</v>
      </c>
      <c r="Y317" t="str">
        <f>SUBSTITUTE(IFERROR(VLOOKUP(LEFT(Tabla_Consulta_desde_Proyectos10[[#This Row],[Nivel1]],LEN(Tabla_Consulta_desde_Proyectos10[[#This Row],[Nivel1]])-5),Tabla_Consulta_desde_Proyectos10[[#All],[Nivel1]:[Actividad]],2,FALSE),""),"_","-")</f>
        <v/>
      </c>
      <c r="Z317" t="str">
        <f>IFERROR(VLOOKUP(Tabla_Consulta_desde_Proyectos10[[#This Row],[PRYRAfecha]],'Fechas Mes'!G:J,4,TRUE),"")</f>
        <v/>
      </c>
      <c r="AA317" t="e" cm="1">
        <f t="array" ref="AA317">INDEX('Fechas Mes'!F:F,MATCH(Tabla_Consulta_desde_Proyectos10[[#This Row],[Semana]],'Fechas Mes'!J:J,0),)</f>
        <v>#N/A</v>
      </c>
      <c r="AB317">
        <f>YEAR(Tabla_Consulta_desde_Proyectos10[[#This Row],[PRYRAfecha]])</f>
        <v>1900</v>
      </c>
      <c r="AC317" t="e">
        <f>VLOOKUP(Tabla_Consulta_desde_Proyectos10[[#This Row],[PRYRAfecha]],'Fechas Mes'!G:J,4,TRUE)</f>
        <v>#N/A</v>
      </c>
      <c r="AD317" t="str">
        <f>IFERROR(VLOOKUP(Tabla_Consulta_desde_Proyectos10[[#This Row],[PRYcodigo]],Catálogo!A:B,2,FALSE),"Otros")</f>
        <v>Otros</v>
      </c>
      <c r="AE317" t="str">
        <f>IF(LEN(Tabla_Consulta_desde_Proyectos10[[#This Row],[Semana]])&lt;13,"CI",RIGHT(Tabla_Consulta_desde_Proyectos10[[#This Row],[Semana]],4))</f>
        <v>CI</v>
      </c>
    </row>
    <row r="318" spans="1:31" hidden="1">
      <c r="A318" t="s">
        <v>4032</v>
      </c>
      <c r="B318" t="s">
        <v>4907</v>
      </c>
      <c r="C318" t="s">
        <v>4908</v>
      </c>
      <c r="D318" t="s">
        <v>7225</v>
      </c>
      <c r="E318" t="s">
        <v>7226</v>
      </c>
      <c r="F318">
        <v>0</v>
      </c>
      <c r="G318" t="s">
        <v>7211</v>
      </c>
      <c r="L318" s="4"/>
      <c r="O318">
        <v>3000000001825340</v>
      </c>
      <c r="W318" t="str">
        <f>Tabla_Consulta_desde_Proyectos10[[#This Row],[PRYcodigo]]&amp;Tabla_Consulta_desde_Proyectos10[[#This Row],[PRYApath]]</f>
        <v>579-203-REDIMED/0018</v>
      </c>
      <c r="X318" t="str">
        <f>Tabla_Consulta_desde_Proyectos10[[#This Row],[PRYAcodigo]]&amp;" - "&amp;Tabla_Consulta_desde_Proyectos10[[#This Row],[PRYAdescripcion]]</f>
        <v>202_REDIMED - ACTIVIDADES ASOCIADAS A IMPLEMENTACIÓN - REDIMED</v>
      </c>
      <c r="Y318" t="str">
        <f>SUBSTITUTE(IFERROR(VLOOKUP(LEFT(Tabla_Consulta_desde_Proyectos10[[#This Row],[Nivel1]],LEN(Tabla_Consulta_desde_Proyectos10[[#This Row],[Nivel1]])-5),Tabla_Consulta_desde_Proyectos10[[#All],[Nivel1]:[Actividad]],2,FALSE),""),"_","-")</f>
        <v/>
      </c>
      <c r="Z318" t="str">
        <f>IFERROR(VLOOKUP(Tabla_Consulta_desde_Proyectos10[[#This Row],[PRYRAfecha]],'Fechas Mes'!G:J,4,TRUE),"")</f>
        <v/>
      </c>
      <c r="AA318" t="e" cm="1">
        <f t="array" ref="AA318">INDEX('Fechas Mes'!F:F,MATCH(Tabla_Consulta_desde_Proyectos10[[#This Row],[Semana]],'Fechas Mes'!J:J,0),)</f>
        <v>#N/A</v>
      </c>
      <c r="AB318">
        <f>YEAR(Tabla_Consulta_desde_Proyectos10[[#This Row],[PRYRAfecha]])</f>
        <v>1900</v>
      </c>
      <c r="AC318" t="e">
        <f>VLOOKUP(Tabla_Consulta_desde_Proyectos10[[#This Row],[PRYRAfecha]],'Fechas Mes'!G:J,4,TRUE)</f>
        <v>#N/A</v>
      </c>
      <c r="AD318" t="str">
        <f>IFERROR(VLOOKUP(Tabla_Consulta_desde_Proyectos10[[#This Row],[PRYcodigo]],Catálogo!A:B,2,FALSE),"Otros")</f>
        <v>Otros</v>
      </c>
      <c r="AE318" t="str">
        <f>IF(LEN(Tabla_Consulta_desde_Proyectos10[[#This Row],[Semana]])&lt;13,"CI",RIGHT(Tabla_Consulta_desde_Proyectos10[[#This Row],[Semana]],4))</f>
        <v>CI</v>
      </c>
    </row>
    <row r="319" spans="1:31" hidden="1">
      <c r="A319" t="s">
        <v>4032</v>
      </c>
      <c r="B319" t="s">
        <v>4907</v>
      </c>
      <c r="C319" t="s">
        <v>4908</v>
      </c>
      <c r="D319" t="s">
        <v>7225</v>
      </c>
      <c r="E319" t="s">
        <v>7226</v>
      </c>
      <c r="F319">
        <v>0</v>
      </c>
      <c r="G319" t="s">
        <v>7211</v>
      </c>
      <c r="L319" s="4"/>
      <c r="O319">
        <v>3000000001832815</v>
      </c>
      <c r="W319" t="str">
        <f>Tabla_Consulta_desde_Proyectos10[[#This Row],[PRYcodigo]]&amp;Tabla_Consulta_desde_Proyectos10[[#This Row],[PRYApath]]</f>
        <v>579-203-REDIMED/0018</v>
      </c>
      <c r="X319" t="str">
        <f>Tabla_Consulta_desde_Proyectos10[[#This Row],[PRYAcodigo]]&amp;" - "&amp;Tabla_Consulta_desde_Proyectos10[[#This Row],[PRYAdescripcion]]</f>
        <v>202_REDIMED - ACTIVIDADES ASOCIADAS A IMPLEMENTACIÓN - REDIMED</v>
      </c>
      <c r="Y319" t="str">
        <f>SUBSTITUTE(IFERROR(VLOOKUP(LEFT(Tabla_Consulta_desde_Proyectos10[[#This Row],[Nivel1]],LEN(Tabla_Consulta_desde_Proyectos10[[#This Row],[Nivel1]])-5),Tabla_Consulta_desde_Proyectos10[[#All],[Nivel1]:[Actividad]],2,FALSE),""),"_","-")</f>
        <v/>
      </c>
      <c r="Z319" t="str">
        <f>IFERROR(VLOOKUP(Tabla_Consulta_desde_Proyectos10[[#This Row],[PRYRAfecha]],'Fechas Mes'!G:J,4,TRUE),"")</f>
        <v/>
      </c>
      <c r="AA319" t="e" cm="1">
        <f t="array" ref="AA319">INDEX('Fechas Mes'!F:F,MATCH(Tabla_Consulta_desde_Proyectos10[[#This Row],[Semana]],'Fechas Mes'!J:J,0),)</f>
        <v>#N/A</v>
      </c>
      <c r="AB319">
        <f>YEAR(Tabla_Consulta_desde_Proyectos10[[#This Row],[PRYRAfecha]])</f>
        <v>1900</v>
      </c>
      <c r="AC319" t="e">
        <f>VLOOKUP(Tabla_Consulta_desde_Proyectos10[[#This Row],[PRYRAfecha]],'Fechas Mes'!G:J,4,TRUE)</f>
        <v>#N/A</v>
      </c>
      <c r="AD319" t="str">
        <f>IFERROR(VLOOKUP(Tabla_Consulta_desde_Proyectos10[[#This Row],[PRYcodigo]],Catálogo!A:B,2,FALSE),"Otros")</f>
        <v>Otros</v>
      </c>
      <c r="AE319" t="str">
        <f>IF(LEN(Tabla_Consulta_desde_Proyectos10[[#This Row],[Semana]])&lt;13,"CI",RIGHT(Tabla_Consulta_desde_Proyectos10[[#This Row],[Semana]],4))</f>
        <v>CI</v>
      </c>
    </row>
    <row r="320" spans="1:31" hidden="1">
      <c r="A320" t="s">
        <v>4032</v>
      </c>
      <c r="B320" t="s">
        <v>4907</v>
      </c>
      <c r="C320" t="s">
        <v>4908</v>
      </c>
      <c r="D320" t="s">
        <v>7225</v>
      </c>
      <c r="E320" t="s">
        <v>7226</v>
      </c>
      <c r="F320">
        <v>0</v>
      </c>
      <c r="G320" t="s">
        <v>7211</v>
      </c>
      <c r="L320" s="4"/>
      <c r="O320">
        <v>3000000001836177</v>
      </c>
      <c r="W320" t="str">
        <f>Tabla_Consulta_desde_Proyectos10[[#This Row],[PRYcodigo]]&amp;Tabla_Consulta_desde_Proyectos10[[#This Row],[PRYApath]]</f>
        <v>579-203-REDIMED/0018</v>
      </c>
      <c r="X320" t="str">
        <f>Tabla_Consulta_desde_Proyectos10[[#This Row],[PRYAcodigo]]&amp;" - "&amp;Tabla_Consulta_desde_Proyectos10[[#This Row],[PRYAdescripcion]]</f>
        <v>202_REDIMED - ACTIVIDADES ASOCIADAS A IMPLEMENTACIÓN - REDIMED</v>
      </c>
      <c r="Y320" t="str">
        <f>SUBSTITUTE(IFERROR(VLOOKUP(LEFT(Tabla_Consulta_desde_Proyectos10[[#This Row],[Nivel1]],LEN(Tabla_Consulta_desde_Proyectos10[[#This Row],[Nivel1]])-5),Tabla_Consulta_desde_Proyectos10[[#All],[Nivel1]:[Actividad]],2,FALSE),""),"_","-")</f>
        <v/>
      </c>
      <c r="Z320" t="str">
        <f>IFERROR(VLOOKUP(Tabla_Consulta_desde_Proyectos10[[#This Row],[PRYRAfecha]],'Fechas Mes'!G:J,4,TRUE),"")</f>
        <v/>
      </c>
      <c r="AA320" t="e" cm="1">
        <f t="array" ref="AA320">INDEX('Fechas Mes'!F:F,MATCH(Tabla_Consulta_desde_Proyectos10[[#This Row],[Semana]],'Fechas Mes'!J:J,0),)</f>
        <v>#N/A</v>
      </c>
      <c r="AB320">
        <f>YEAR(Tabla_Consulta_desde_Proyectos10[[#This Row],[PRYRAfecha]])</f>
        <v>1900</v>
      </c>
      <c r="AC320" t="e">
        <f>VLOOKUP(Tabla_Consulta_desde_Proyectos10[[#This Row],[PRYRAfecha]],'Fechas Mes'!G:J,4,TRUE)</f>
        <v>#N/A</v>
      </c>
      <c r="AD320" t="str">
        <f>IFERROR(VLOOKUP(Tabla_Consulta_desde_Proyectos10[[#This Row],[PRYcodigo]],Catálogo!A:B,2,FALSE),"Otros")</f>
        <v>Otros</v>
      </c>
      <c r="AE320" t="str">
        <f>IF(LEN(Tabla_Consulta_desde_Proyectos10[[#This Row],[Semana]])&lt;13,"CI",RIGHT(Tabla_Consulta_desde_Proyectos10[[#This Row],[Semana]],4))</f>
        <v>CI</v>
      </c>
    </row>
    <row r="321" spans="1:31" hidden="1">
      <c r="A321" t="s">
        <v>4032</v>
      </c>
      <c r="B321" t="s">
        <v>4907</v>
      </c>
      <c r="C321" t="s">
        <v>4908</v>
      </c>
      <c r="D321" t="s">
        <v>7227</v>
      </c>
      <c r="E321" t="s">
        <v>7228</v>
      </c>
      <c r="F321">
        <v>1</v>
      </c>
      <c r="G321" t="s">
        <v>7229</v>
      </c>
      <c r="L321" s="4"/>
      <c r="O321">
        <v>3000000001822627</v>
      </c>
      <c r="W321" t="str">
        <f>Tabla_Consulta_desde_Proyectos10[[#This Row],[PRYcodigo]]&amp;Tabla_Consulta_desde_Proyectos10[[#This Row],[PRYApath]]</f>
        <v>579-203-REDIMED/0018/0010</v>
      </c>
      <c r="X321" t="str">
        <f>Tabla_Consulta_desde_Proyectos10[[#This Row],[PRYAcodigo]]&amp;" - "&amp;Tabla_Consulta_desde_Proyectos10[[#This Row],[PRYAdescripcion]]</f>
        <v>IMP.SER - IMPLEMENTACIÓN DEL SERVICIO</v>
      </c>
      <c r="Y321" t="str">
        <f>SUBSTITUTE(IFERROR(VLOOKUP(LEFT(Tabla_Consulta_desde_Proyectos10[[#This Row],[Nivel1]],LEN(Tabla_Consulta_desde_Proyectos10[[#This Row],[Nivel1]])-5),Tabla_Consulta_desde_Proyectos10[[#All],[Nivel1]:[Actividad]],2,FALSE),""),"_","-")</f>
        <v>202-REDIMED - ACTIVIDADES ASOCIADAS A IMPLEMENTACIÓN - REDIMED</v>
      </c>
      <c r="Z321" t="str">
        <f>IFERROR(VLOOKUP(Tabla_Consulta_desde_Proyectos10[[#This Row],[PRYRAfecha]],'Fechas Mes'!G:J,4,TRUE),"")</f>
        <v/>
      </c>
      <c r="AA321" t="e" cm="1">
        <f t="array" ref="AA321">INDEX('Fechas Mes'!F:F,MATCH(Tabla_Consulta_desde_Proyectos10[[#This Row],[Semana]],'Fechas Mes'!J:J,0),)</f>
        <v>#N/A</v>
      </c>
      <c r="AB321">
        <f>YEAR(Tabla_Consulta_desde_Proyectos10[[#This Row],[PRYRAfecha]])</f>
        <v>1900</v>
      </c>
      <c r="AC321" t="e">
        <f>VLOOKUP(Tabla_Consulta_desde_Proyectos10[[#This Row],[PRYRAfecha]],'Fechas Mes'!G:J,4,TRUE)</f>
        <v>#N/A</v>
      </c>
      <c r="AD321" t="str">
        <f>IFERROR(VLOOKUP(Tabla_Consulta_desde_Proyectos10[[#This Row],[PRYcodigo]],Catálogo!A:B,2,FALSE),"Otros")</f>
        <v>Otros</v>
      </c>
      <c r="AE321" t="str">
        <f>IF(LEN(Tabla_Consulta_desde_Proyectos10[[#This Row],[Semana]])&lt;13,"CI",RIGHT(Tabla_Consulta_desde_Proyectos10[[#This Row],[Semana]],4))</f>
        <v>CI</v>
      </c>
    </row>
    <row r="322" spans="1:31" hidden="1">
      <c r="A322" t="s">
        <v>4032</v>
      </c>
      <c r="B322" t="s">
        <v>4907</v>
      </c>
      <c r="C322" t="s">
        <v>4908</v>
      </c>
      <c r="D322" t="s">
        <v>7227</v>
      </c>
      <c r="E322" t="s">
        <v>7228</v>
      </c>
      <c r="F322">
        <v>1</v>
      </c>
      <c r="G322" t="s">
        <v>7229</v>
      </c>
      <c r="L322" s="4"/>
      <c r="O322">
        <v>3000000001822628</v>
      </c>
      <c r="W322" t="str">
        <f>Tabla_Consulta_desde_Proyectos10[[#This Row],[PRYcodigo]]&amp;Tabla_Consulta_desde_Proyectos10[[#This Row],[PRYApath]]</f>
        <v>579-203-REDIMED/0018/0010</v>
      </c>
      <c r="X322" t="str">
        <f>Tabla_Consulta_desde_Proyectos10[[#This Row],[PRYAcodigo]]&amp;" - "&amp;Tabla_Consulta_desde_Proyectos10[[#This Row],[PRYAdescripcion]]</f>
        <v>IMP.SER - IMPLEMENTACIÓN DEL SERVICIO</v>
      </c>
      <c r="Y322" t="str">
        <f>SUBSTITUTE(IFERROR(VLOOKUP(LEFT(Tabla_Consulta_desde_Proyectos10[[#This Row],[Nivel1]],LEN(Tabla_Consulta_desde_Proyectos10[[#This Row],[Nivel1]])-5),Tabla_Consulta_desde_Proyectos10[[#All],[Nivel1]:[Actividad]],2,FALSE),""),"_","-")</f>
        <v>202-REDIMED - ACTIVIDADES ASOCIADAS A IMPLEMENTACIÓN - REDIMED</v>
      </c>
      <c r="Z322" t="str">
        <f>IFERROR(VLOOKUP(Tabla_Consulta_desde_Proyectos10[[#This Row],[PRYRAfecha]],'Fechas Mes'!G:J,4,TRUE),"")</f>
        <v/>
      </c>
      <c r="AA322" t="e" cm="1">
        <f t="array" ref="AA322">INDEX('Fechas Mes'!F:F,MATCH(Tabla_Consulta_desde_Proyectos10[[#This Row],[Semana]],'Fechas Mes'!J:J,0),)</f>
        <v>#N/A</v>
      </c>
      <c r="AB322">
        <f>YEAR(Tabla_Consulta_desde_Proyectos10[[#This Row],[PRYRAfecha]])</f>
        <v>1900</v>
      </c>
      <c r="AC322" t="e">
        <f>VLOOKUP(Tabla_Consulta_desde_Proyectos10[[#This Row],[PRYRAfecha]],'Fechas Mes'!G:J,4,TRUE)</f>
        <v>#N/A</v>
      </c>
      <c r="AD322" t="str">
        <f>IFERROR(VLOOKUP(Tabla_Consulta_desde_Proyectos10[[#This Row],[PRYcodigo]],Catálogo!A:B,2,FALSE),"Otros")</f>
        <v>Otros</v>
      </c>
      <c r="AE322" t="str">
        <f>IF(LEN(Tabla_Consulta_desde_Proyectos10[[#This Row],[Semana]])&lt;13,"CI",RIGHT(Tabla_Consulta_desde_Proyectos10[[#This Row],[Semana]],4))</f>
        <v>CI</v>
      </c>
    </row>
    <row r="323" spans="1:31" hidden="1">
      <c r="A323" t="s">
        <v>4032</v>
      </c>
      <c r="B323" t="s">
        <v>4907</v>
      </c>
      <c r="C323" t="s">
        <v>4908</v>
      </c>
      <c r="D323" t="s">
        <v>7227</v>
      </c>
      <c r="E323" t="s">
        <v>7228</v>
      </c>
      <c r="F323">
        <v>1</v>
      </c>
      <c r="G323" t="s">
        <v>7229</v>
      </c>
      <c r="L323" s="4"/>
      <c r="O323">
        <v>3000000001822630</v>
      </c>
      <c r="W323" t="str">
        <f>Tabla_Consulta_desde_Proyectos10[[#This Row],[PRYcodigo]]&amp;Tabla_Consulta_desde_Proyectos10[[#This Row],[PRYApath]]</f>
        <v>579-203-REDIMED/0018/0010</v>
      </c>
      <c r="X323" t="str">
        <f>Tabla_Consulta_desde_Proyectos10[[#This Row],[PRYAcodigo]]&amp;" - "&amp;Tabla_Consulta_desde_Proyectos10[[#This Row],[PRYAdescripcion]]</f>
        <v>IMP.SER - IMPLEMENTACIÓN DEL SERVICIO</v>
      </c>
      <c r="Y323" t="str">
        <f>SUBSTITUTE(IFERROR(VLOOKUP(LEFT(Tabla_Consulta_desde_Proyectos10[[#This Row],[Nivel1]],LEN(Tabla_Consulta_desde_Proyectos10[[#This Row],[Nivel1]])-5),Tabla_Consulta_desde_Proyectos10[[#All],[Nivel1]:[Actividad]],2,FALSE),""),"_","-")</f>
        <v>202-REDIMED - ACTIVIDADES ASOCIADAS A IMPLEMENTACIÓN - REDIMED</v>
      </c>
      <c r="Z323" t="str">
        <f>IFERROR(VLOOKUP(Tabla_Consulta_desde_Proyectos10[[#This Row],[PRYRAfecha]],'Fechas Mes'!G:J,4,TRUE),"")</f>
        <v/>
      </c>
      <c r="AA323" t="e" cm="1">
        <f t="array" ref="AA323">INDEX('Fechas Mes'!F:F,MATCH(Tabla_Consulta_desde_Proyectos10[[#This Row],[Semana]],'Fechas Mes'!J:J,0),)</f>
        <v>#N/A</v>
      </c>
      <c r="AB323">
        <f>YEAR(Tabla_Consulta_desde_Proyectos10[[#This Row],[PRYRAfecha]])</f>
        <v>1900</v>
      </c>
      <c r="AC323" t="e">
        <f>VLOOKUP(Tabla_Consulta_desde_Proyectos10[[#This Row],[PRYRAfecha]],'Fechas Mes'!G:J,4,TRUE)</f>
        <v>#N/A</v>
      </c>
      <c r="AD323" t="str">
        <f>IFERROR(VLOOKUP(Tabla_Consulta_desde_Proyectos10[[#This Row],[PRYcodigo]],Catálogo!A:B,2,FALSE),"Otros")</f>
        <v>Otros</v>
      </c>
      <c r="AE323" t="str">
        <f>IF(LEN(Tabla_Consulta_desde_Proyectos10[[#This Row],[Semana]])&lt;13,"CI",RIGHT(Tabla_Consulta_desde_Proyectos10[[#This Row],[Semana]],4))</f>
        <v>CI</v>
      </c>
    </row>
    <row r="324" spans="1:31" hidden="1">
      <c r="A324" t="s">
        <v>4032</v>
      </c>
      <c r="B324" t="s">
        <v>4907</v>
      </c>
      <c r="C324" t="s">
        <v>4908</v>
      </c>
      <c r="D324" t="s">
        <v>7227</v>
      </c>
      <c r="E324" t="s">
        <v>7228</v>
      </c>
      <c r="F324">
        <v>1</v>
      </c>
      <c r="G324" t="s">
        <v>7229</v>
      </c>
      <c r="L324" s="4"/>
      <c r="O324">
        <v>3000000001822634</v>
      </c>
      <c r="W324" t="str">
        <f>Tabla_Consulta_desde_Proyectos10[[#This Row],[PRYcodigo]]&amp;Tabla_Consulta_desde_Proyectos10[[#This Row],[PRYApath]]</f>
        <v>579-203-REDIMED/0018/0010</v>
      </c>
      <c r="X324" t="str">
        <f>Tabla_Consulta_desde_Proyectos10[[#This Row],[PRYAcodigo]]&amp;" - "&amp;Tabla_Consulta_desde_Proyectos10[[#This Row],[PRYAdescripcion]]</f>
        <v>IMP.SER - IMPLEMENTACIÓN DEL SERVICIO</v>
      </c>
      <c r="Y324" t="str">
        <f>SUBSTITUTE(IFERROR(VLOOKUP(LEFT(Tabla_Consulta_desde_Proyectos10[[#This Row],[Nivel1]],LEN(Tabla_Consulta_desde_Proyectos10[[#This Row],[Nivel1]])-5),Tabla_Consulta_desde_Proyectos10[[#All],[Nivel1]:[Actividad]],2,FALSE),""),"_","-")</f>
        <v>202-REDIMED - ACTIVIDADES ASOCIADAS A IMPLEMENTACIÓN - REDIMED</v>
      </c>
      <c r="Z324" t="str">
        <f>IFERROR(VLOOKUP(Tabla_Consulta_desde_Proyectos10[[#This Row],[PRYRAfecha]],'Fechas Mes'!G:J,4,TRUE),"")</f>
        <v/>
      </c>
      <c r="AA324" t="e" cm="1">
        <f t="array" ref="AA324">INDEX('Fechas Mes'!F:F,MATCH(Tabla_Consulta_desde_Proyectos10[[#This Row],[Semana]],'Fechas Mes'!J:J,0),)</f>
        <v>#N/A</v>
      </c>
      <c r="AB324">
        <f>YEAR(Tabla_Consulta_desde_Proyectos10[[#This Row],[PRYRAfecha]])</f>
        <v>1900</v>
      </c>
      <c r="AC324" t="e">
        <f>VLOOKUP(Tabla_Consulta_desde_Proyectos10[[#This Row],[PRYRAfecha]],'Fechas Mes'!G:J,4,TRUE)</f>
        <v>#N/A</v>
      </c>
      <c r="AD324" t="str">
        <f>IFERROR(VLOOKUP(Tabla_Consulta_desde_Proyectos10[[#This Row],[PRYcodigo]],Catálogo!A:B,2,FALSE),"Otros")</f>
        <v>Otros</v>
      </c>
      <c r="AE324" t="str">
        <f>IF(LEN(Tabla_Consulta_desde_Proyectos10[[#This Row],[Semana]])&lt;13,"CI",RIGHT(Tabla_Consulta_desde_Proyectos10[[#This Row],[Semana]],4))</f>
        <v>CI</v>
      </c>
    </row>
    <row r="325" spans="1:31" hidden="1">
      <c r="A325" t="s">
        <v>4032</v>
      </c>
      <c r="B325" t="s">
        <v>4907</v>
      </c>
      <c r="C325" t="s">
        <v>4908</v>
      </c>
      <c r="D325" t="s">
        <v>7227</v>
      </c>
      <c r="E325" t="s">
        <v>7228</v>
      </c>
      <c r="F325">
        <v>1</v>
      </c>
      <c r="G325" t="s">
        <v>7229</v>
      </c>
      <c r="L325" s="4"/>
      <c r="O325">
        <v>3000000001825337</v>
      </c>
      <c r="W325" t="str">
        <f>Tabla_Consulta_desde_Proyectos10[[#This Row],[PRYcodigo]]&amp;Tabla_Consulta_desde_Proyectos10[[#This Row],[PRYApath]]</f>
        <v>579-203-REDIMED/0018/0010</v>
      </c>
      <c r="X325" t="str">
        <f>Tabla_Consulta_desde_Proyectos10[[#This Row],[PRYAcodigo]]&amp;" - "&amp;Tabla_Consulta_desde_Proyectos10[[#This Row],[PRYAdescripcion]]</f>
        <v>IMP.SER - IMPLEMENTACIÓN DEL SERVICIO</v>
      </c>
      <c r="Y325" t="str">
        <f>SUBSTITUTE(IFERROR(VLOOKUP(LEFT(Tabla_Consulta_desde_Proyectos10[[#This Row],[Nivel1]],LEN(Tabla_Consulta_desde_Proyectos10[[#This Row],[Nivel1]])-5),Tabla_Consulta_desde_Proyectos10[[#All],[Nivel1]:[Actividad]],2,FALSE),""),"_","-")</f>
        <v>202-REDIMED - ACTIVIDADES ASOCIADAS A IMPLEMENTACIÓN - REDIMED</v>
      </c>
      <c r="Z325" t="str">
        <f>IFERROR(VLOOKUP(Tabla_Consulta_desde_Proyectos10[[#This Row],[PRYRAfecha]],'Fechas Mes'!G:J,4,TRUE),"")</f>
        <v/>
      </c>
      <c r="AA325" t="e" cm="1">
        <f t="array" ref="AA325">INDEX('Fechas Mes'!F:F,MATCH(Tabla_Consulta_desde_Proyectos10[[#This Row],[Semana]],'Fechas Mes'!J:J,0),)</f>
        <v>#N/A</v>
      </c>
      <c r="AB325">
        <f>YEAR(Tabla_Consulta_desde_Proyectos10[[#This Row],[PRYRAfecha]])</f>
        <v>1900</v>
      </c>
      <c r="AC325" t="e">
        <f>VLOOKUP(Tabla_Consulta_desde_Proyectos10[[#This Row],[PRYRAfecha]],'Fechas Mes'!G:J,4,TRUE)</f>
        <v>#N/A</v>
      </c>
      <c r="AD325" t="str">
        <f>IFERROR(VLOOKUP(Tabla_Consulta_desde_Proyectos10[[#This Row],[PRYcodigo]],Catálogo!A:B,2,FALSE),"Otros")</f>
        <v>Otros</v>
      </c>
      <c r="AE325" t="str">
        <f>IF(LEN(Tabla_Consulta_desde_Proyectos10[[#This Row],[Semana]])&lt;13,"CI",RIGHT(Tabla_Consulta_desde_Proyectos10[[#This Row],[Semana]],4))</f>
        <v>CI</v>
      </c>
    </row>
    <row r="326" spans="1:31" hidden="1">
      <c r="A326" t="s">
        <v>4032</v>
      </c>
      <c r="B326" t="s">
        <v>4907</v>
      </c>
      <c r="C326" t="s">
        <v>4908</v>
      </c>
      <c r="D326" t="s">
        <v>7227</v>
      </c>
      <c r="E326" t="s">
        <v>7228</v>
      </c>
      <c r="F326">
        <v>1</v>
      </c>
      <c r="G326" t="s">
        <v>7229</v>
      </c>
      <c r="L326" s="4"/>
      <c r="O326">
        <v>3000000001825340</v>
      </c>
      <c r="W326" t="str">
        <f>Tabla_Consulta_desde_Proyectos10[[#This Row],[PRYcodigo]]&amp;Tabla_Consulta_desde_Proyectos10[[#This Row],[PRYApath]]</f>
        <v>579-203-REDIMED/0018/0010</v>
      </c>
      <c r="X326" t="str">
        <f>Tabla_Consulta_desde_Proyectos10[[#This Row],[PRYAcodigo]]&amp;" - "&amp;Tabla_Consulta_desde_Proyectos10[[#This Row],[PRYAdescripcion]]</f>
        <v>IMP.SER - IMPLEMENTACIÓN DEL SERVICIO</v>
      </c>
      <c r="Y326" t="str">
        <f>SUBSTITUTE(IFERROR(VLOOKUP(LEFT(Tabla_Consulta_desde_Proyectos10[[#This Row],[Nivel1]],LEN(Tabla_Consulta_desde_Proyectos10[[#This Row],[Nivel1]])-5),Tabla_Consulta_desde_Proyectos10[[#All],[Nivel1]:[Actividad]],2,FALSE),""),"_","-")</f>
        <v>202-REDIMED - ACTIVIDADES ASOCIADAS A IMPLEMENTACIÓN - REDIMED</v>
      </c>
      <c r="Z326" t="str">
        <f>IFERROR(VLOOKUP(Tabla_Consulta_desde_Proyectos10[[#This Row],[PRYRAfecha]],'Fechas Mes'!G:J,4,TRUE),"")</f>
        <v/>
      </c>
      <c r="AA326" t="e" cm="1">
        <f t="array" ref="AA326">INDEX('Fechas Mes'!F:F,MATCH(Tabla_Consulta_desde_Proyectos10[[#This Row],[Semana]],'Fechas Mes'!J:J,0),)</f>
        <v>#N/A</v>
      </c>
      <c r="AB326">
        <f>YEAR(Tabla_Consulta_desde_Proyectos10[[#This Row],[PRYRAfecha]])</f>
        <v>1900</v>
      </c>
      <c r="AC326" t="e">
        <f>VLOOKUP(Tabla_Consulta_desde_Proyectos10[[#This Row],[PRYRAfecha]],'Fechas Mes'!G:J,4,TRUE)</f>
        <v>#N/A</v>
      </c>
      <c r="AD326" t="str">
        <f>IFERROR(VLOOKUP(Tabla_Consulta_desde_Proyectos10[[#This Row],[PRYcodigo]],Catálogo!A:B,2,FALSE),"Otros")</f>
        <v>Otros</v>
      </c>
      <c r="AE326" t="str">
        <f>IF(LEN(Tabla_Consulta_desde_Proyectos10[[#This Row],[Semana]])&lt;13,"CI",RIGHT(Tabla_Consulta_desde_Proyectos10[[#This Row],[Semana]],4))</f>
        <v>CI</v>
      </c>
    </row>
    <row r="327" spans="1:31" hidden="1">
      <c r="A327" t="s">
        <v>4032</v>
      </c>
      <c r="B327" t="s">
        <v>4907</v>
      </c>
      <c r="C327" t="s">
        <v>4908</v>
      </c>
      <c r="D327" t="s">
        <v>7227</v>
      </c>
      <c r="E327" t="s">
        <v>7228</v>
      </c>
      <c r="F327">
        <v>1</v>
      </c>
      <c r="G327" t="s">
        <v>7229</v>
      </c>
      <c r="L327" s="4"/>
      <c r="O327">
        <v>3000000001832815</v>
      </c>
      <c r="W327" t="str">
        <f>Tabla_Consulta_desde_Proyectos10[[#This Row],[PRYcodigo]]&amp;Tabla_Consulta_desde_Proyectos10[[#This Row],[PRYApath]]</f>
        <v>579-203-REDIMED/0018/0010</v>
      </c>
      <c r="X327" t="str">
        <f>Tabla_Consulta_desde_Proyectos10[[#This Row],[PRYAcodigo]]&amp;" - "&amp;Tabla_Consulta_desde_Proyectos10[[#This Row],[PRYAdescripcion]]</f>
        <v>IMP.SER - IMPLEMENTACIÓN DEL SERVICIO</v>
      </c>
      <c r="Y327" t="str">
        <f>SUBSTITUTE(IFERROR(VLOOKUP(LEFT(Tabla_Consulta_desde_Proyectos10[[#This Row],[Nivel1]],LEN(Tabla_Consulta_desde_Proyectos10[[#This Row],[Nivel1]])-5),Tabla_Consulta_desde_Proyectos10[[#All],[Nivel1]:[Actividad]],2,FALSE),""),"_","-")</f>
        <v>202-REDIMED - ACTIVIDADES ASOCIADAS A IMPLEMENTACIÓN - REDIMED</v>
      </c>
      <c r="Z327" t="str">
        <f>IFERROR(VLOOKUP(Tabla_Consulta_desde_Proyectos10[[#This Row],[PRYRAfecha]],'Fechas Mes'!G:J,4,TRUE),"")</f>
        <v/>
      </c>
      <c r="AA327" t="e" cm="1">
        <f t="array" ref="AA327">INDEX('Fechas Mes'!F:F,MATCH(Tabla_Consulta_desde_Proyectos10[[#This Row],[Semana]],'Fechas Mes'!J:J,0),)</f>
        <v>#N/A</v>
      </c>
      <c r="AB327">
        <f>YEAR(Tabla_Consulta_desde_Proyectos10[[#This Row],[PRYRAfecha]])</f>
        <v>1900</v>
      </c>
      <c r="AC327" t="e">
        <f>VLOOKUP(Tabla_Consulta_desde_Proyectos10[[#This Row],[PRYRAfecha]],'Fechas Mes'!G:J,4,TRUE)</f>
        <v>#N/A</v>
      </c>
      <c r="AD327" t="str">
        <f>IFERROR(VLOOKUP(Tabla_Consulta_desde_Proyectos10[[#This Row],[PRYcodigo]],Catálogo!A:B,2,FALSE),"Otros")</f>
        <v>Otros</v>
      </c>
      <c r="AE327" t="str">
        <f>IF(LEN(Tabla_Consulta_desde_Proyectos10[[#This Row],[Semana]])&lt;13,"CI",RIGHT(Tabla_Consulta_desde_Proyectos10[[#This Row],[Semana]],4))</f>
        <v>CI</v>
      </c>
    </row>
    <row r="328" spans="1:31" hidden="1">
      <c r="A328" t="s">
        <v>4032</v>
      </c>
      <c r="B328" t="s">
        <v>4907</v>
      </c>
      <c r="C328" t="s">
        <v>4908</v>
      </c>
      <c r="D328" t="s">
        <v>7227</v>
      </c>
      <c r="E328" t="s">
        <v>7228</v>
      </c>
      <c r="F328">
        <v>1</v>
      </c>
      <c r="G328" t="s">
        <v>7229</v>
      </c>
      <c r="L328" s="4"/>
      <c r="O328">
        <v>3000000001836177</v>
      </c>
      <c r="W328" t="str">
        <f>Tabla_Consulta_desde_Proyectos10[[#This Row],[PRYcodigo]]&amp;Tabla_Consulta_desde_Proyectos10[[#This Row],[PRYApath]]</f>
        <v>579-203-REDIMED/0018/0010</v>
      </c>
      <c r="X328" t="str">
        <f>Tabla_Consulta_desde_Proyectos10[[#This Row],[PRYAcodigo]]&amp;" - "&amp;Tabla_Consulta_desde_Proyectos10[[#This Row],[PRYAdescripcion]]</f>
        <v>IMP.SER - IMPLEMENTACIÓN DEL SERVICIO</v>
      </c>
      <c r="Y328" t="str">
        <f>SUBSTITUTE(IFERROR(VLOOKUP(LEFT(Tabla_Consulta_desde_Proyectos10[[#This Row],[Nivel1]],LEN(Tabla_Consulta_desde_Proyectos10[[#This Row],[Nivel1]])-5),Tabla_Consulta_desde_Proyectos10[[#All],[Nivel1]:[Actividad]],2,FALSE),""),"_","-")</f>
        <v>202-REDIMED - ACTIVIDADES ASOCIADAS A IMPLEMENTACIÓN - REDIMED</v>
      </c>
      <c r="Z328" t="str">
        <f>IFERROR(VLOOKUP(Tabla_Consulta_desde_Proyectos10[[#This Row],[PRYRAfecha]],'Fechas Mes'!G:J,4,TRUE),"")</f>
        <v/>
      </c>
      <c r="AA328" t="e" cm="1">
        <f t="array" ref="AA328">INDEX('Fechas Mes'!F:F,MATCH(Tabla_Consulta_desde_Proyectos10[[#This Row],[Semana]],'Fechas Mes'!J:J,0),)</f>
        <v>#N/A</v>
      </c>
      <c r="AB328">
        <f>YEAR(Tabla_Consulta_desde_Proyectos10[[#This Row],[PRYRAfecha]])</f>
        <v>1900</v>
      </c>
      <c r="AC328" t="e">
        <f>VLOOKUP(Tabla_Consulta_desde_Proyectos10[[#This Row],[PRYRAfecha]],'Fechas Mes'!G:J,4,TRUE)</f>
        <v>#N/A</v>
      </c>
      <c r="AD328" t="str">
        <f>IFERROR(VLOOKUP(Tabla_Consulta_desde_Proyectos10[[#This Row],[PRYcodigo]],Catálogo!A:B,2,FALSE),"Otros")</f>
        <v>Otros</v>
      </c>
      <c r="AE328" t="str">
        <f>IF(LEN(Tabla_Consulta_desde_Proyectos10[[#This Row],[Semana]])&lt;13,"CI",RIGHT(Tabla_Consulta_desde_Proyectos10[[#This Row],[Semana]],4))</f>
        <v>CI</v>
      </c>
    </row>
    <row r="329" spans="1:31">
      <c r="A329" t="s">
        <v>4032</v>
      </c>
      <c r="B329" t="s">
        <v>4907</v>
      </c>
      <c r="C329" t="s">
        <v>4908</v>
      </c>
      <c r="D329" t="s">
        <v>7230</v>
      </c>
      <c r="E329" t="s">
        <v>7231</v>
      </c>
      <c r="F329">
        <v>2</v>
      </c>
      <c r="G329" t="s">
        <v>7232</v>
      </c>
      <c r="H329" t="s">
        <v>790</v>
      </c>
      <c r="I329" t="s">
        <v>791</v>
      </c>
      <c r="J329" t="s">
        <v>919</v>
      </c>
      <c r="K329" t="s">
        <v>920</v>
      </c>
      <c r="L329" s="4">
        <v>46113</v>
      </c>
      <c r="M329" t="s">
        <v>7730</v>
      </c>
      <c r="N329">
        <v>1</v>
      </c>
      <c r="O329">
        <v>3000000001822627</v>
      </c>
      <c r="W329" t="str">
        <f>Tabla_Consulta_desde_Proyectos10[[#This Row],[PRYcodigo]]&amp;Tabla_Consulta_desde_Proyectos10[[#This Row],[PRYApath]]</f>
        <v>579-203-REDIMED/0018/0010/0022</v>
      </c>
      <c r="X329" t="str">
        <f>Tabla_Consulta_desde_Proyectos10[[#This Row],[PRYAcodigo]]&amp;" - "&amp;Tabla_Consulta_desde_Proyectos10[[#This Row],[PRYAdescripcion]]</f>
        <v>11 - SEGUIMIENTO AL CAMBIO Y ACOMPAÑAMIENTO</v>
      </c>
      <c r="Y329" t="str">
        <f>SUBSTITUTE(IFERROR(VLOOKUP(LEFT(Tabla_Consulta_desde_Proyectos10[[#This Row],[Nivel1]],LEN(Tabla_Consulta_desde_Proyectos10[[#This Row],[Nivel1]])-5),Tabla_Consulta_desde_Proyectos10[[#All],[Nivel1]:[Actividad]],2,FALSE),""),"_","-")</f>
        <v>IMP.SER - IMPLEMENTACIÓN DEL SERVICIO</v>
      </c>
      <c r="Z329" t="str">
        <f>IFERROR(VLOOKUP(Tabla_Consulta_desde_Proyectos10[[#This Row],[PRYRAfecha]],'Fechas Mes'!G:J,4,TRUE),"")</f>
        <v>Semana 48CIP2</v>
      </c>
      <c r="AA329" t="str" cm="1">
        <f t="array" ref="AA329">INDEX('Fechas Mes'!F:F,MATCH(Tabla_Consulta_desde_Proyectos10[[#This Row],[Semana]],'Fechas Mes'!J:J,0),)</f>
        <v>M12CIP2</v>
      </c>
      <c r="AB329">
        <f>YEAR(Tabla_Consulta_desde_Proyectos10[[#This Row],[PRYRAfecha]])</f>
        <v>2026</v>
      </c>
      <c r="AC329" t="str">
        <f>VLOOKUP(Tabla_Consulta_desde_Proyectos10[[#This Row],[PRYRAfecha]],'Fechas Mes'!G:J,4,TRUE)</f>
        <v>Semana 48CIP2</v>
      </c>
      <c r="AD329" t="str">
        <f>IFERROR(VLOOKUP(Tabla_Consulta_desde_Proyectos10[[#This Row],[PRYcodigo]],Catálogo!A:B,2,FALSE),"Otros")</f>
        <v>Otros</v>
      </c>
      <c r="AE329" t="str">
        <f>IF(LEN(Tabla_Consulta_desde_Proyectos10[[#This Row],[Semana]])&lt;13,"CI",RIGHT(Tabla_Consulta_desde_Proyectos10[[#This Row],[Semana]],4))</f>
        <v>CIP2</v>
      </c>
    </row>
    <row r="330" spans="1:31">
      <c r="A330" t="s">
        <v>4032</v>
      </c>
      <c r="B330" t="s">
        <v>4907</v>
      </c>
      <c r="C330" t="s">
        <v>4908</v>
      </c>
      <c r="D330" t="s">
        <v>7230</v>
      </c>
      <c r="E330" t="s">
        <v>7231</v>
      </c>
      <c r="F330">
        <v>2</v>
      </c>
      <c r="G330" t="s">
        <v>7232</v>
      </c>
      <c r="H330" t="s">
        <v>790</v>
      </c>
      <c r="I330" t="s">
        <v>791</v>
      </c>
      <c r="J330" t="s">
        <v>919</v>
      </c>
      <c r="K330" t="s">
        <v>920</v>
      </c>
      <c r="L330" s="4">
        <v>46113</v>
      </c>
      <c r="M330" t="s">
        <v>7731</v>
      </c>
      <c r="N330">
        <v>1</v>
      </c>
      <c r="O330">
        <v>3000000001822628</v>
      </c>
      <c r="W330" t="str">
        <f>Tabla_Consulta_desde_Proyectos10[[#This Row],[PRYcodigo]]&amp;Tabla_Consulta_desde_Proyectos10[[#This Row],[PRYApath]]</f>
        <v>579-203-REDIMED/0018/0010/0022</v>
      </c>
      <c r="X330" t="str">
        <f>Tabla_Consulta_desde_Proyectos10[[#This Row],[PRYAcodigo]]&amp;" - "&amp;Tabla_Consulta_desde_Proyectos10[[#This Row],[PRYAdescripcion]]</f>
        <v>11 - SEGUIMIENTO AL CAMBIO Y ACOMPAÑAMIENTO</v>
      </c>
      <c r="Y330" t="str">
        <f>SUBSTITUTE(IFERROR(VLOOKUP(LEFT(Tabla_Consulta_desde_Proyectos10[[#This Row],[Nivel1]],LEN(Tabla_Consulta_desde_Proyectos10[[#This Row],[Nivel1]])-5),Tabla_Consulta_desde_Proyectos10[[#All],[Nivel1]:[Actividad]],2,FALSE),""),"_","-")</f>
        <v>IMP.SER - IMPLEMENTACIÓN DEL SERVICIO</v>
      </c>
      <c r="Z330" t="str">
        <f>IFERROR(VLOOKUP(Tabla_Consulta_desde_Proyectos10[[#This Row],[PRYRAfecha]],'Fechas Mes'!G:J,4,TRUE),"")</f>
        <v>Semana 48CIP2</v>
      </c>
      <c r="AA330" t="str" cm="1">
        <f t="array" ref="AA330">INDEX('Fechas Mes'!F:F,MATCH(Tabla_Consulta_desde_Proyectos10[[#This Row],[Semana]],'Fechas Mes'!J:J,0),)</f>
        <v>M12CIP2</v>
      </c>
      <c r="AB330">
        <f>YEAR(Tabla_Consulta_desde_Proyectos10[[#This Row],[PRYRAfecha]])</f>
        <v>2026</v>
      </c>
      <c r="AC330" t="str">
        <f>VLOOKUP(Tabla_Consulta_desde_Proyectos10[[#This Row],[PRYRAfecha]],'Fechas Mes'!G:J,4,TRUE)</f>
        <v>Semana 48CIP2</v>
      </c>
      <c r="AD330" t="str">
        <f>IFERROR(VLOOKUP(Tabla_Consulta_desde_Proyectos10[[#This Row],[PRYcodigo]],Catálogo!A:B,2,FALSE),"Otros")</f>
        <v>Otros</v>
      </c>
      <c r="AE330" t="str">
        <f>IF(LEN(Tabla_Consulta_desde_Proyectos10[[#This Row],[Semana]])&lt;13,"CI",RIGHT(Tabla_Consulta_desde_Proyectos10[[#This Row],[Semana]],4))</f>
        <v>CIP2</v>
      </c>
    </row>
    <row r="331" spans="1:31">
      <c r="A331" t="s">
        <v>4032</v>
      </c>
      <c r="B331" t="s">
        <v>4907</v>
      </c>
      <c r="C331" t="s">
        <v>4908</v>
      </c>
      <c r="D331" t="s">
        <v>7230</v>
      </c>
      <c r="E331" t="s">
        <v>7231</v>
      </c>
      <c r="F331">
        <v>2</v>
      </c>
      <c r="G331" t="s">
        <v>7232</v>
      </c>
      <c r="H331" t="s">
        <v>790</v>
      </c>
      <c r="I331" t="s">
        <v>791</v>
      </c>
      <c r="J331" t="s">
        <v>919</v>
      </c>
      <c r="K331" t="s">
        <v>920</v>
      </c>
      <c r="L331" s="4">
        <v>46113</v>
      </c>
      <c r="M331" t="s">
        <v>7732</v>
      </c>
      <c r="N331">
        <v>2</v>
      </c>
      <c r="O331">
        <v>3000000001822630</v>
      </c>
      <c r="W331" t="str">
        <f>Tabla_Consulta_desde_Proyectos10[[#This Row],[PRYcodigo]]&amp;Tabla_Consulta_desde_Proyectos10[[#This Row],[PRYApath]]</f>
        <v>579-203-REDIMED/0018/0010/0022</v>
      </c>
      <c r="X331" t="str">
        <f>Tabla_Consulta_desde_Proyectos10[[#This Row],[PRYAcodigo]]&amp;" - "&amp;Tabla_Consulta_desde_Proyectos10[[#This Row],[PRYAdescripcion]]</f>
        <v>11 - SEGUIMIENTO AL CAMBIO Y ACOMPAÑAMIENTO</v>
      </c>
      <c r="Y331" t="str">
        <f>SUBSTITUTE(IFERROR(VLOOKUP(LEFT(Tabla_Consulta_desde_Proyectos10[[#This Row],[Nivel1]],LEN(Tabla_Consulta_desde_Proyectos10[[#This Row],[Nivel1]])-5),Tabla_Consulta_desde_Proyectos10[[#All],[Nivel1]:[Actividad]],2,FALSE),""),"_","-")</f>
        <v>IMP.SER - IMPLEMENTACIÓN DEL SERVICIO</v>
      </c>
      <c r="Z331" t="str">
        <f>IFERROR(VLOOKUP(Tabla_Consulta_desde_Proyectos10[[#This Row],[PRYRAfecha]],'Fechas Mes'!G:J,4,TRUE),"")</f>
        <v>Semana 48CIP2</v>
      </c>
      <c r="AA331" t="str" cm="1">
        <f t="array" ref="AA331">INDEX('Fechas Mes'!F:F,MATCH(Tabla_Consulta_desde_Proyectos10[[#This Row],[Semana]],'Fechas Mes'!J:J,0),)</f>
        <v>M12CIP2</v>
      </c>
      <c r="AB331">
        <f>YEAR(Tabla_Consulta_desde_Proyectos10[[#This Row],[PRYRAfecha]])</f>
        <v>2026</v>
      </c>
      <c r="AC331" t="str">
        <f>VLOOKUP(Tabla_Consulta_desde_Proyectos10[[#This Row],[PRYRAfecha]],'Fechas Mes'!G:J,4,TRUE)</f>
        <v>Semana 48CIP2</v>
      </c>
      <c r="AD331" t="str">
        <f>IFERROR(VLOOKUP(Tabla_Consulta_desde_Proyectos10[[#This Row],[PRYcodigo]],Catálogo!A:B,2,FALSE),"Otros")</f>
        <v>Otros</v>
      </c>
      <c r="AE331" t="str">
        <f>IF(LEN(Tabla_Consulta_desde_Proyectos10[[#This Row],[Semana]])&lt;13,"CI",RIGHT(Tabla_Consulta_desde_Proyectos10[[#This Row],[Semana]],4))</f>
        <v>CIP2</v>
      </c>
    </row>
    <row r="332" spans="1:31">
      <c r="A332" t="s">
        <v>4032</v>
      </c>
      <c r="B332" t="s">
        <v>4907</v>
      </c>
      <c r="C332" t="s">
        <v>4908</v>
      </c>
      <c r="D332" t="s">
        <v>7230</v>
      </c>
      <c r="E332" t="s">
        <v>7231</v>
      </c>
      <c r="F332">
        <v>2</v>
      </c>
      <c r="G332" t="s">
        <v>7232</v>
      </c>
      <c r="H332" t="s">
        <v>790</v>
      </c>
      <c r="I332" t="s">
        <v>791</v>
      </c>
      <c r="J332" t="s">
        <v>919</v>
      </c>
      <c r="K332" t="s">
        <v>920</v>
      </c>
      <c r="L332" s="4">
        <v>46113</v>
      </c>
      <c r="M332" t="s">
        <v>7733</v>
      </c>
      <c r="N332">
        <v>2</v>
      </c>
      <c r="O332">
        <v>3000000001822634</v>
      </c>
      <c r="W332" t="str">
        <f>Tabla_Consulta_desde_Proyectos10[[#This Row],[PRYcodigo]]&amp;Tabla_Consulta_desde_Proyectos10[[#This Row],[PRYApath]]</f>
        <v>579-203-REDIMED/0018/0010/0022</v>
      </c>
      <c r="X332" t="str">
        <f>Tabla_Consulta_desde_Proyectos10[[#This Row],[PRYAcodigo]]&amp;" - "&amp;Tabla_Consulta_desde_Proyectos10[[#This Row],[PRYAdescripcion]]</f>
        <v>11 - SEGUIMIENTO AL CAMBIO Y ACOMPAÑAMIENTO</v>
      </c>
      <c r="Y332" t="str">
        <f>SUBSTITUTE(IFERROR(VLOOKUP(LEFT(Tabla_Consulta_desde_Proyectos10[[#This Row],[Nivel1]],LEN(Tabla_Consulta_desde_Proyectos10[[#This Row],[Nivel1]])-5),Tabla_Consulta_desde_Proyectos10[[#All],[Nivel1]:[Actividad]],2,FALSE),""),"_","-")</f>
        <v>IMP.SER - IMPLEMENTACIÓN DEL SERVICIO</v>
      </c>
      <c r="Z332" t="str">
        <f>IFERROR(VLOOKUP(Tabla_Consulta_desde_Proyectos10[[#This Row],[PRYRAfecha]],'Fechas Mes'!G:J,4,TRUE),"")</f>
        <v>Semana 48CIP2</v>
      </c>
      <c r="AA332" t="str" cm="1">
        <f t="array" ref="AA332">INDEX('Fechas Mes'!F:F,MATCH(Tabla_Consulta_desde_Proyectos10[[#This Row],[Semana]],'Fechas Mes'!J:J,0),)</f>
        <v>M12CIP2</v>
      </c>
      <c r="AB332">
        <f>YEAR(Tabla_Consulta_desde_Proyectos10[[#This Row],[PRYRAfecha]])</f>
        <v>2026</v>
      </c>
      <c r="AC332" t="str">
        <f>VLOOKUP(Tabla_Consulta_desde_Proyectos10[[#This Row],[PRYRAfecha]],'Fechas Mes'!G:J,4,TRUE)</f>
        <v>Semana 48CIP2</v>
      </c>
      <c r="AD332" t="str">
        <f>IFERROR(VLOOKUP(Tabla_Consulta_desde_Proyectos10[[#This Row],[PRYcodigo]],Catálogo!A:B,2,FALSE),"Otros")</f>
        <v>Otros</v>
      </c>
      <c r="AE332" t="str">
        <f>IF(LEN(Tabla_Consulta_desde_Proyectos10[[#This Row],[Semana]])&lt;13,"CI",RIGHT(Tabla_Consulta_desde_Proyectos10[[#This Row],[Semana]],4))</f>
        <v>CIP2</v>
      </c>
    </row>
    <row r="333" spans="1:31">
      <c r="A333" t="s">
        <v>4032</v>
      </c>
      <c r="B333" t="s">
        <v>4907</v>
      </c>
      <c r="C333" t="s">
        <v>4908</v>
      </c>
      <c r="D333" t="s">
        <v>7230</v>
      </c>
      <c r="E333" t="s">
        <v>7231</v>
      </c>
      <c r="F333">
        <v>2</v>
      </c>
      <c r="G333" t="s">
        <v>7232</v>
      </c>
      <c r="H333" t="s">
        <v>790</v>
      </c>
      <c r="I333" t="s">
        <v>791</v>
      </c>
      <c r="J333" t="s">
        <v>919</v>
      </c>
      <c r="K333" t="s">
        <v>920</v>
      </c>
      <c r="L333" s="4">
        <v>46118</v>
      </c>
      <c r="M333" t="s">
        <v>7734</v>
      </c>
      <c r="N333">
        <v>4</v>
      </c>
      <c r="O333">
        <v>3000000001825337</v>
      </c>
      <c r="W333" t="str">
        <f>Tabla_Consulta_desde_Proyectos10[[#This Row],[PRYcodigo]]&amp;Tabla_Consulta_desde_Proyectos10[[#This Row],[PRYApath]]</f>
        <v>579-203-REDIMED/0018/0010/0022</v>
      </c>
      <c r="X333" t="str">
        <f>Tabla_Consulta_desde_Proyectos10[[#This Row],[PRYAcodigo]]&amp;" - "&amp;Tabla_Consulta_desde_Proyectos10[[#This Row],[PRYAdescripcion]]</f>
        <v>11 - SEGUIMIENTO AL CAMBIO Y ACOMPAÑAMIENTO</v>
      </c>
      <c r="Y333" t="str">
        <f>SUBSTITUTE(IFERROR(VLOOKUP(LEFT(Tabla_Consulta_desde_Proyectos10[[#This Row],[Nivel1]],LEN(Tabla_Consulta_desde_Proyectos10[[#This Row],[Nivel1]])-5),Tabla_Consulta_desde_Proyectos10[[#All],[Nivel1]:[Actividad]],2,FALSE),""),"_","-")</f>
        <v>IMP.SER - IMPLEMENTACIÓN DEL SERVICIO</v>
      </c>
      <c r="Z333" t="str">
        <f>IFERROR(VLOOKUP(Tabla_Consulta_desde_Proyectos10[[#This Row],[PRYRAfecha]],'Fechas Mes'!G:J,4,TRUE),"")</f>
        <v>Semana 48CIP2</v>
      </c>
      <c r="AA333" t="str" cm="1">
        <f t="array" ref="AA333">INDEX('Fechas Mes'!F:F,MATCH(Tabla_Consulta_desde_Proyectos10[[#This Row],[Semana]],'Fechas Mes'!J:J,0),)</f>
        <v>M12CIP2</v>
      </c>
      <c r="AB333">
        <f>YEAR(Tabla_Consulta_desde_Proyectos10[[#This Row],[PRYRAfecha]])</f>
        <v>2026</v>
      </c>
      <c r="AC333" t="str">
        <f>VLOOKUP(Tabla_Consulta_desde_Proyectos10[[#This Row],[PRYRAfecha]],'Fechas Mes'!G:J,4,TRUE)</f>
        <v>Semana 48CIP2</v>
      </c>
      <c r="AD333" t="str">
        <f>IFERROR(VLOOKUP(Tabla_Consulta_desde_Proyectos10[[#This Row],[PRYcodigo]],Catálogo!A:B,2,FALSE),"Otros")</f>
        <v>Otros</v>
      </c>
      <c r="AE333" t="str">
        <f>IF(LEN(Tabla_Consulta_desde_Proyectos10[[#This Row],[Semana]])&lt;13,"CI",RIGHT(Tabla_Consulta_desde_Proyectos10[[#This Row],[Semana]],4))</f>
        <v>CIP2</v>
      </c>
    </row>
    <row r="334" spans="1:31">
      <c r="A334" t="s">
        <v>4032</v>
      </c>
      <c r="B334" t="s">
        <v>4907</v>
      </c>
      <c r="C334" t="s">
        <v>4908</v>
      </c>
      <c r="D334" t="s">
        <v>7230</v>
      </c>
      <c r="E334" t="s">
        <v>7231</v>
      </c>
      <c r="F334">
        <v>2</v>
      </c>
      <c r="G334" t="s">
        <v>7232</v>
      </c>
      <c r="H334" t="s">
        <v>790</v>
      </c>
      <c r="I334" t="s">
        <v>791</v>
      </c>
      <c r="J334" t="s">
        <v>919</v>
      </c>
      <c r="K334" t="s">
        <v>920</v>
      </c>
      <c r="L334" s="4">
        <v>46119</v>
      </c>
      <c r="M334" t="s">
        <v>7735</v>
      </c>
      <c r="N334">
        <v>4</v>
      </c>
      <c r="O334">
        <v>3000000001825340</v>
      </c>
      <c r="W334" t="str">
        <f>Tabla_Consulta_desde_Proyectos10[[#This Row],[PRYcodigo]]&amp;Tabla_Consulta_desde_Proyectos10[[#This Row],[PRYApath]]</f>
        <v>579-203-REDIMED/0018/0010/0022</v>
      </c>
      <c r="X334" t="str">
        <f>Tabla_Consulta_desde_Proyectos10[[#This Row],[PRYAcodigo]]&amp;" - "&amp;Tabla_Consulta_desde_Proyectos10[[#This Row],[PRYAdescripcion]]</f>
        <v>11 - SEGUIMIENTO AL CAMBIO Y ACOMPAÑAMIENTO</v>
      </c>
      <c r="Y334" t="str">
        <f>SUBSTITUTE(IFERROR(VLOOKUP(LEFT(Tabla_Consulta_desde_Proyectos10[[#This Row],[Nivel1]],LEN(Tabla_Consulta_desde_Proyectos10[[#This Row],[Nivel1]])-5),Tabla_Consulta_desde_Proyectos10[[#All],[Nivel1]:[Actividad]],2,FALSE),""),"_","-")</f>
        <v>IMP.SER - IMPLEMENTACIÓN DEL SERVICIO</v>
      </c>
      <c r="Z334" t="str">
        <f>IFERROR(VLOOKUP(Tabla_Consulta_desde_Proyectos10[[#This Row],[PRYRAfecha]],'Fechas Mes'!G:J,4,TRUE),"")</f>
        <v>Semana 48CIP2</v>
      </c>
      <c r="AA334" t="str" cm="1">
        <f t="array" ref="AA334">INDEX('Fechas Mes'!F:F,MATCH(Tabla_Consulta_desde_Proyectos10[[#This Row],[Semana]],'Fechas Mes'!J:J,0),)</f>
        <v>M12CIP2</v>
      </c>
      <c r="AB334">
        <f>YEAR(Tabla_Consulta_desde_Proyectos10[[#This Row],[PRYRAfecha]])</f>
        <v>2026</v>
      </c>
      <c r="AC334" t="str">
        <f>VLOOKUP(Tabla_Consulta_desde_Proyectos10[[#This Row],[PRYRAfecha]],'Fechas Mes'!G:J,4,TRUE)</f>
        <v>Semana 48CIP2</v>
      </c>
      <c r="AD334" t="str">
        <f>IFERROR(VLOOKUP(Tabla_Consulta_desde_Proyectos10[[#This Row],[PRYcodigo]],Catálogo!A:B,2,FALSE),"Otros")</f>
        <v>Otros</v>
      </c>
      <c r="AE334" t="str">
        <f>IF(LEN(Tabla_Consulta_desde_Proyectos10[[#This Row],[Semana]])&lt;13,"CI",RIGHT(Tabla_Consulta_desde_Proyectos10[[#This Row],[Semana]],4))</f>
        <v>CIP2</v>
      </c>
    </row>
    <row r="335" spans="1:31">
      <c r="A335" t="s">
        <v>4032</v>
      </c>
      <c r="B335" t="s">
        <v>4907</v>
      </c>
      <c r="C335" t="s">
        <v>4908</v>
      </c>
      <c r="D335" t="s">
        <v>7230</v>
      </c>
      <c r="E335" t="s">
        <v>7231</v>
      </c>
      <c r="F335">
        <v>2</v>
      </c>
      <c r="G335" t="s">
        <v>7232</v>
      </c>
      <c r="H335" t="s">
        <v>790</v>
      </c>
      <c r="I335" t="s">
        <v>791</v>
      </c>
      <c r="J335" t="s">
        <v>919</v>
      </c>
      <c r="K335" t="s">
        <v>920</v>
      </c>
      <c r="L335" s="4">
        <v>46134</v>
      </c>
      <c r="M335" t="s">
        <v>7736</v>
      </c>
      <c r="N335">
        <v>2</v>
      </c>
      <c r="O335">
        <v>3000000001832815</v>
      </c>
      <c r="W335" t="str">
        <f>Tabla_Consulta_desde_Proyectos10[[#This Row],[PRYcodigo]]&amp;Tabla_Consulta_desde_Proyectos10[[#This Row],[PRYApath]]</f>
        <v>579-203-REDIMED/0018/0010/0022</v>
      </c>
      <c r="X335" t="str">
        <f>Tabla_Consulta_desde_Proyectos10[[#This Row],[PRYAcodigo]]&amp;" - "&amp;Tabla_Consulta_desde_Proyectos10[[#This Row],[PRYAdescripcion]]</f>
        <v>11 - SEGUIMIENTO AL CAMBIO Y ACOMPAÑAMIENTO</v>
      </c>
      <c r="Y335" t="str">
        <f>SUBSTITUTE(IFERROR(VLOOKUP(LEFT(Tabla_Consulta_desde_Proyectos10[[#This Row],[Nivel1]],LEN(Tabla_Consulta_desde_Proyectos10[[#This Row],[Nivel1]])-5),Tabla_Consulta_desde_Proyectos10[[#All],[Nivel1]:[Actividad]],2,FALSE),""),"_","-")</f>
        <v>IMP.SER - IMPLEMENTACIÓN DEL SERVICIO</v>
      </c>
      <c r="Z335" t="str">
        <f>IFERROR(VLOOKUP(Tabla_Consulta_desde_Proyectos10[[#This Row],[PRYRAfecha]],'Fechas Mes'!G:J,4,TRUE),"")</f>
        <v>Semana 48CIP2</v>
      </c>
      <c r="AA335" t="str" cm="1">
        <f t="array" ref="AA335">INDEX('Fechas Mes'!F:F,MATCH(Tabla_Consulta_desde_Proyectos10[[#This Row],[Semana]],'Fechas Mes'!J:J,0),)</f>
        <v>M12CIP2</v>
      </c>
      <c r="AB335">
        <f>YEAR(Tabla_Consulta_desde_Proyectos10[[#This Row],[PRYRAfecha]])</f>
        <v>2026</v>
      </c>
      <c r="AC335" t="str">
        <f>VLOOKUP(Tabla_Consulta_desde_Proyectos10[[#This Row],[PRYRAfecha]],'Fechas Mes'!G:J,4,TRUE)</f>
        <v>Semana 48CIP2</v>
      </c>
      <c r="AD335" t="str">
        <f>IFERROR(VLOOKUP(Tabla_Consulta_desde_Proyectos10[[#This Row],[PRYcodigo]],Catálogo!A:B,2,FALSE),"Otros")</f>
        <v>Otros</v>
      </c>
      <c r="AE335" t="str">
        <f>IF(LEN(Tabla_Consulta_desde_Proyectos10[[#This Row],[Semana]])&lt;13,"CI",RIGHT(Tabla_Consulta_desde_Proyectos10[[#This Row],[Semana]],4))</f>
        <v>CIP2</v>
      </c>
    </row>
    <row r="336" spans="1:31">
      <c r="A336" t="s">
        <v>4032</v>
      </c>
      <c r="B336" t="s">
        <v>4907</v>
      </c>
      <c r="C336" t="s">
        <v>4908</v>
      </c>
      <c r="D336" t="s">
        <v>7230</v>
      </c>
      <c r="E336" t="s">
        <v>7231</v>
      </c>
      <c r="F336">
        <v>2</v>
      </c>
      <c r="G336" t="s">
        <v>7232</v>
      </c>
      <c r="H336" t="s">
        <v>790</v>
      </c>
      <c r="I336" t="s">
        <v>791</v>
      </c>
      <c r="J336" t="s">
        <v>919</v>
      </c>
      <c r="K336" t="s">
        <v>920</v>
      </c>
      <c r="L336" s="4">
        <v>46140</v>
      </c>
      <c r="M336" t="s">
        <v>7737</v>
      </c>
      <c r="N336">
        <v>1</v>
      </c>
      <c r="O336">
        <v>3000000001836177</v>
      </c>
      <c r="W336" t="str">
        <f>Tabla_Consulta_desde_Proyectos10[[#This Row],[PRYcodigo]]&amp;Tabla_Consulta_desde_Proyectos10[[#This Row],[PRYApath]]</f>
        <v>579-203-REDIMED/0018/0010/0022</v>
      </c>
      <c r="X336" t="str">
        <f>Tabla_Consulta_desde_Proyectos10[[#This Row],[PRYAcodigo]]&amp;" - "&amp;Tabla_Consulta_desde_Proyectos10[[#This Row],[PRYAdescripcion]]</f>
        <v>11 - SEGUIMIENTO AL CAMBIO Y ACOMPAÑAMIENTO</v>
      </c>
      <c r="Y336" t="str">
        <f>SUBSTITUTE(IFERROR(VLOOKUP(LEFT(Tabla_Consulta_desde_Proyectos10[[#This Row],[Nivel1]],LEN(Tabla_Consulta_desde_Proyectos10[[#This Row],[Nivel1]])-5),Tabla_Consulta_desde_Proyectos10[[#All],[Nivel1]:[Actividad]],2,FALSE),""),"_","-")</f>
        <v>IMP.SER - IMPLEMENTACIÓN DEL SERVICIO</v>
      </c>
      <c r="Z336" t="str">
        <f>IFERROR(VLOOKUP(Tabla_Consulta_desde_Proyectos10[[#This Row],[PRYRAfecha]],'Fechas Mes'!G:J,4,TRUE),"")</f>
        <v>Semana 48CIP2</v>
      </c>
      <c r="AA336" t="str" cm="1">
        <f t="array" ref="AA336">INDEX('Fechas Mes'!F:F,MATCH(Tabla_Consulta_desde_Proyectos10[[#This Row],[Semana]],'Fechas Mes'!J:J,0),)</f>
        <v>M12CIP2</v>
      </c>
      <c r="AB336">
        <f>YEAR(Tabla_Consulta_desde_Proyectos10[[#This Row],[PRYRAfecha]])</f>
        <v>2026</v>
      </c>
      <c r="AC336" t="str">
        <f>VLOOKUP(Tabla_Consulta_desde_Proyectos10[[#This Row],[PRYRAfecha]],'Fechas Mes'!G:J,4,TRUE)</f>
        <v>Semana 48CIP2</v>
      </c>
      <c r="AD336" t="str">
        <f>IFERROR(VLOOKUP(Tabla_Consulta_desde_Proyectos10[[#This Row],[PRYcodigo]],Catálogo!A:B,2,FALSE),"Otros")</f>
        <v>Otros</v>
      </c>
      <c r="AE336" t="str">
        <f>IF(LEN(Tabla_Consulta_desde_Proyectos10[[#This Row],[Semana]])&lt;13,"CI",RIGHT(Tabla_Consulta_desde_Proyectos10[[#This Row],[Semana]],4))</f>
        <v>CIP2</v>
      </c>
    </row>
    <row r="337" spans="1:31" hidden="1">
      <c r="A337" t="s">
        <v>4032</v>
      </c>
      <c r="B337" t="s">
        <v>4907</v>
      </c>
      <c r="C337" t="s">
        <v>4908</v>
      </c>
      <c r="D337" t="s">
        <v>7220</v>
      </c>
      <c r="E337" t="s">
        <v>7195</v>
      </c>
      <c r="F337">
        <v>0</v>
      </c>
      <c r="G337" t="s">
        <v>7233</v>
      </c>
      <c r="L337" s="4"/>
      <c r="O337">
        <v>3000000001822494</v>
      </c>
      <c r="P337" t="s">
        <v>6784</v>
      </c>
      <c r="Q337" t="s">
        <v>7197</v>
      </c>
      <c r="W337" t="str">
        <f>Tabla_Consulta_desde_Proyectos10[[#This Row],[PRYcodigo]]&amp;Tabla_Consulta_desde_Proyectos10[[#This Row],[PRYApath]]</f>
        <v>579-203-REDIMED/0026</v>
      </c>
      <c r="X337" t="str">
        <f>Tabla_Consulta_desde_Proyectos10[[#This Row],[PRYAcodigo]]&amp;" - "&amp;Tabla_Consulta_desde_Proyectos10[[#This Row],[PRYAdescripcion]]</f>
        <v>500.1_RM - ACTIVIDADES DEL EQUIPO DE RELEASE MANAGMENT</v>
      </c>
      <c r="Y337" t="str">
        <f>SUBSTITUTE(IFERROR(VLOOKUP(LEFT(Tabla_Consulta_desde_Proyectos10[[#This Row],[Nivel1]],LEN(Tabla_Consulta_desde_Proyectos10[[#This Row],[Nivel1]])-5),Tabla_Consulta_desde_Proyectos10[[#All],[Nivel1]:[Actividad]],2,FALSE),""),"_","-")</f>
        <v/>
      </c>
      <c r="Z337" t="str">
        <f>IFERROR(VLOOKUP(Tabla_Consulta_desde_Proyectos10[[#This Row],[PRYRAfecha]],'Fechas Mes'!G:J,4,TRUE),"")</f>
        <v/>
      </c>
      <c r="AA337" t="e" cm="1">
        <f t="array" ref="AA337">INDEX('Fechas Mes'!F:F,MATCH(Tabla_Consulta_desde_Proyectos10[[#This Row],[Semana]],'Fechas Mes'!J:J,0),)</f>
        <v>#N/A</v>
      </c>
      <c r="AB337">
        <f>YEAR(Tabla_Consulta_desde_Proyectos10[[#This Row],[PRYRAfecha]])</f>
        <v>1900</v>
      </c>
      <c r="AC337" t="e">
        <f>VLOOKUP(Tabla_Consulta_desde_Proyectos10[[#This Row],[PRYRAfecha]],'Fechas Mes'!G:J,4,TRUE)</f>
        <v>#N/A</v>
      </c>
      <c r="AD337" t="str">
        <f>IFERROR(VLOOKUP(Tabla_Consulta_desde_Proyectos10[[#This Row],[PRYcodigo]],Catálogo!A:B,2,FALSE),"Otros")</f>
        <v>Otros</v>
      </c>
      <c r="AE337" t="str">
        <f>IF(LEN(Tabla_Consulta_desde_Proyectos10[[#This Row],[Semana]])&lt;13,"CI",RIGHT(Tabla_Consulta_desde_Proyectos10[[#This Row],[Semana]],4))</f>
        <v>CI</v>
      </c>
    </row>
    <row r="338" spans="1:31" hidden="1">
      <c r="A338" t="s">
        <v>4032</v>
      </c>
      <c r="B338" t="s">
        <v>4907</v>
      </c>
      <c r="C338" t="s">
        <v>4908</v>
      </c>
      <c r="D338" t="s">
        <v>7220</v>
      </c>
      <c r="E338" t="s">
        <v>7195</v>
      </c>
      <c r="F338">
        <v>0</v>
      </c>
      <c r="G338" t="s">
        <v>7233</v>
      </c>
      <c r="L338" s="4"/>
      <c r="O338">
        <v>3000000001822495</v>
      </c>
      <c r="P338" t="s">
        <v>6786</v>
      </c>
      <c r="Q338" t="s">
        <v>7234</v>
      </c>
      <c r="W338" t="str">
        <f>Tabla_Consulta_desde_Proyectos10[[#This Row],[PRYcodigo]]&amp;Tabla_Consulta_desde_Proyectos10[[#This Row],[PRYApath]]</f>
        <v>579-203-REDIMED/0026</v>
      </c>
      <c r="X338" t="str">
        <f>Tabla_Consulta_desde_Proyectos10[[#This Row],[PRYAcodigo]]&amp;" - "&amp;Tabla_Consulta_desde_Proyectos10[[#This Row],[PRYAdescripcion]]</f>
        <v>500.1_RM - ACTIVIDADES DEL EQUIPO DE RELEASE MANAGMENT</v>
      </c>
      <c r="Y338" t="str">
        <f>SUBSTITUTE(IFERROR(VLOOKUP(LEFT(Tabla_Consulta_desde_Proyectos10[[#This Row],[Nivel1]],LEN(Tabla_Consulta_desde_Proyectos10[[#This Row],[Nivel1]])-5),Tabla_Consulta_desde_Proyectos10[[#All],[Nivel1]:[Actividad]],2,FALSE),""),"_","-")</f>
        <v/>
      </c>
      <c r="Z338" t="str">
        <f>IFERROR(VLOOKUP(Tabla_Consulta_desde_Proyectos10[[#This Row],[PRYRAfecha]],'Fechas Mes'!G:J,4,TRUE),"")</f>
        <v/>
      </c>
      <c r="AA338" t="e" cm="1">
        <f t="array" ref="AA338">INDEX('Fechas Mes'!F:F,MATCH(Tabla_Consulta_desde_Proyectos10[[#This Row],[Semana]],'Fechas Mes'!J:J,0),)</f>
        <v>#N/A</v>
      </c>
      <c r="AB338">
        <f>YEAR(Tabla_Consulta_desde_Proyectos10[[#This Row],[PRYRAfecha]])</f>
        <v>1900</v>
      </c>
      <c r="AC338" t="e">
        <f>VLOOKUP(Tabla_Consulta_desde_Proyectos10[[#This Row],[PRYRAfecha]],'Fechas Mes'!G:J,4,TRUE)</f>
        <v>#N/A</v>
      </c>
      <c r="AD338" t="str">
        <f>IFERROR(VLOOKUP(Tabla_Consulta_desde_Proyectos10[[#This Row],[PRYcodigo]],Catálogo!A:B,2,FALSE),"Otros")</f>
        <v>Otros</v>
      </c>
      <c r="AE338" t="str">
        <f>IF(LEN(Tabla_Consulta_desde_Proyectos10[[#This Row],[Semana]])&lt;13,"CI",RIGHT(Tabla_Consulta_desde_Proyectos10[[#This Row],[Semana]],4))</f>
        <v>CI</v>
      </c>
    </row>
    <row r="339" spans="1:31" hidden="1">
      <c r="A339" t="s">
        <v>4032</v>
      </c>
      <c r="B339" t="s">
        <v>4907</v>
      </c>
      <c r="C339" t="s">
        <v>4908</v>
      </c>
      <c r="D339" t="s">
        <v>7220</v>
      </c>
      <c r="E339" t="s">
        <v>7195</v>
      </c>
      <c r="F339">
        <v>0</v>
      </c>
      <c r="G339" t="s">
        <v>7233</v>
      </c>
      <c r="L339" s="4"/>
      <c r="O339">
        <v>3000000001822498</v>
      </c>
      <c r="P339" t="s">
        <v>6784</v>
      </c>
      <c r="Q339" t="s">
        <v>7197</v>
      </c>
      <c r="W339" t="str">
        <f>Tabla_Consulta_desde_Proyectos10[[#This Row],[PRYcodigo]]&amp;Tabla_Consulta_desde_Proyectos10[[#This Row],[PRYApath]]</f>
        <v>579-203-REDIMED/0026</v>
      </c>
      <c r="X339" t="str">
        <f>Tabla_Consulta_desde_Proyectos10[[#This Row],[PRYAcodigo]]&amp;" - "&amp;Tabla_Consulta_desde_Proyectos10[[#This Row],[PRYAdescripcion]]</f>
        <v>500.1_RM - ACTIVIDADES DEL EQUIPO DE RELEASE MANAGMENT</v>
      </c>
      <c r="Y339" t="str">
        <f>SUBSTITUTE(IFERROR(VLOOKUP(LEFT(Tabla_Consulta_desde_Proyectos10[[#This Row],[Nivel1]],LEN(Tabla_Consulta_desde_Proyectos10[[#This Row],[Nivel1]])-5),Tabla_Consulta_desde_Proyectos10[[#All],[Nivel1]:[Actividad]],2,FALSE),""),"_","-")</f>
        <v/>
      </c>
      <c r="Z339" t="str">
        <f>IFERROR(VLOOKUP(Tabla_Consulta_desde_Proyectos10[[#This Row],[PRYRAfecha]],'Fechas Mes'!G:J,4,TRUE),"")</f>
        <v/>
      </c>
      <c r="AA339" t="e" cm="1">
        <f t="array" ref="AA339">INDEX('Fechas Mes'!F:F,MATCH(Tabla_Consulta_desde_Proyectos10[[#This Row],[Semana]],'Fechas Mes'!J:J,0),)</f>
        <v>#N/A</v>
      </c>
      <c r="AB339">
        <f>YEAR(Tabla_Consulta_desde_Proyectos10[[#This Row],[PRYRAfecha]])</f>
        <v>1900</v>
      </c>
      <c r="AC339" t="e">
        <f>VLOOKUP(Tabla_Consulta_desde_Proyectos10[[#This Row],[PRYRAfecha]],'Fechas Mes'!G:J,4,TRUE)</f>
        <v>#N/A</v>
      </c>
      <c r="AD339" t="str">
        <f>IFERROR(VLOOKUP(Tabla_Consulta_desde_Proyectos10[[#This Row],[PRYcodigo]],Catálogo!A:B,2,FALSE),"Otros")</f>
        <v>Otros</v>
      </c>
      <c r="AE339" t="str">
        <f>IF(LEN(Tabla_Consulta_desde_Proyectos10[[#This Row],[Semana]])&lt;13,"CI",RIGHT(Tabla_Consulta_desde_Proyectos10[[#This Row],[Semana]],4))</f>
        <v>CI</v>
      </c>
    </row>
    <row r="340" spans="1:31" hidden="1">
      <c r="A340" t="s">
        <v>4032</v>
      </c>
      <c r="B340" t="s">
        <v>4907</v>
      </c>
      <c r="C340" t="s">
        <v>4908</v>
      </c>
      <c r="D340" t="s">
        <v>7220</v>
      </c>
      <c r="E340" t="s">
        <v>7195</v>
      </c>
      <c r="F340">
        <v>0</v>
      </c>
      <c r="G340" t="s">
        <v>7233</v>
      </c>
      <c r="L340" s="4"/>
      <c r="O340">
        <v>3000000001824805</v>
      </c>
      <c r="P340" t="s">
        <v>6784</v>
      </c>
      <c r="Q340" t="s">
        <v>7214</v>
      </c>
      <c r="W340" t="str">
        <f>Tabla_Consulta_desde_Proyectos10[[#This Row],[PRYcodigo]]&amp;Tabla_Consulta_desde_Proyectos10[[#This Row],[PRYApath]]</f>
        <v>579-203-REDIMED/0026</v>
      </c>
      <c r="X340" t="str">
        <f>Tabla_Consulta_desde_Proyectos10[[#This Row],[PRYAcodigo]]&amp;" - "&amp;Tabla_Consulta_desde_Proyectos10[[#This Row],[PRYAdescripcion]]</f>
        <v>500.1_RM - ACTIVIDADES DEL EQUIPO DE RELEASE MANAGMENT</v>
      </c>
      <c r="Y340" t="str">
        <f>SUBSTITUTE(IFERROR(VLOOKUP(LEFT(Tabla_Consulta_desde_Proyectos10[[#This Row],[Nivel1]],LEN(Tabla_Consulta_desde_Proyectos10[[#This Row],[Nivel1]])-5),Tabla_Consulta_desde_Proyectos10[[#All],[Nivel1]:[Actividad]],2,FALSE),""),"_","-")</f>
        <v/>
      </c>
      <c r="Z340" t="str">
        <f>IFERROR(VLOOKUP(Tabla_Consulta_desde_Proyectos10[[#This Row],[PRYRAfecha]],'Fechas Mes'!G:J,4,TRUE),"")</f>
        <v/>
      </c>
      <c r="AA340" t="e" cm="1">
        <f t="array" ref="AA340">INDEX('Fechas Mes'!F:F,MATCH(Tabla_Consulta_desde_Proyectos10[[#This Row],[Semana]],'Fechas Mes'!J:J,0),)</f>
        <v>#N/A</v>
      </c>
      <c r="AB340">
        <f>YEAR(Tabla_Consulta_desde_Proyectos10[[#This Row],[PRYRAfecha]])</f>
        <v>1900</v>
      </c>
      <c r="AC340" t="e">
        <f>VLOOKUP(Tabla_Consulta_desde_Proyectos10[[#This Row],[PRYRAfecha]],'Fechas Mes'!G:J,4,TRUE)</f>
        <v>#N/A</v>
      </c>
      <c r="AD340" t="str">
        <f>IFERROR(VLOOKUP(Tabla_Consulta_desde_Proyectos10[[#This Row],[PRYcodigo]],Catálogo!A:B,2,FALSE),"Otros")</f>
        <v>Otros</v>
      </c>
      <c r="AE340" t="str">
        <f>IF(LEN(Tabla_Consulta_desde_Proyectos10[[#This Row],[Semana]])&lt;13,"CI",RIGHT(Tabla_Consulta_desde_Proyectos10[[#This Row],[Semana]],4))</f>
        <v>CI</v>
      </c>
    </row>
    <row r="341" spans="1:31" hidden="1">
      <c r="A341" t="s">
        <v>4032</v>
      </c>
      <c r="B341" t="s">
        <v>4907</v>
      </c>
      <c r="C341" t="s">
        <v>4908</v>
      </c>
      <c r="D341" t="s">
        <v>7220</v>
      </c>
      <c r="E341" t="s">
        <v>7195</v>
      </c>
      <c r="F341">
        <v>0</v>
      </c>
      <c r="G341" t="s">
        <v>7233</v>
      </c>
      <c r="L341" s="4"/>
      <c r="O341">
        <v>3000000001824816</v>
      </c>
      <c r="P341" t="s">
        <v>6784</v>
      </c>
      <c r="Q341" t="s">
        <v>7214</v>
      </c>
      <c r="W341" t="str">
        <f>Tabla_Consulta_desde_Proyectos10[[#This Row],[PRYcodigo]]&amp;Tabla_Consulta_desde_Proyectos10[[#This Row],[PRYApath]]</f>
        <v>579-203-REDIMED/0026</v>
      </c>
      <c r="X341" t="str">
        <f>Tabla_Consulta_desde_Proyectos10[[#This Row],[PRYAcodigo]]&amp;" - "&amp;Tabla_Consulta_desde_Proyectos10[[#This Row],[PRYAdescripcion]]</f>
        <v>500.1_RM - ACTIVIDADES DEL EQUIPO DE RELEASE MANAGMENT</v>
      </c>
      <c r="Y341" t="str">
        <f>SUBSTITUTE(IFERROR(VLOOKUP(LEFT(Tabla_Consulta_desde_Proyectos10[[#This Row],[Nivel1]],LEN(Tabla_Consulta_desde_Proyectos10[[#This Row],[Nivel1]])-5),Tabla_Consulta_desde_Proyectos10[[#All],[Nivel1]:[Actividad]],2,FALSE),""),"_","-")</f>
        <v/>
      </c>
      <c r="Z341" t="str">
        <f>IFERROR(VLOOKUP(Tabla_Consulta_desde_Proyectos10[[#This Row],[PRYRAfecha]],'Fechas Mes'!G:J,4,TRUE),"")</f>
        <v/>
      </c>
      <c r="AA341" t="e" cm="1">
        <f t="array" ref="AA341">INDEX('Fechas Mes'!F:F,MATCH(Tabla_Consulta_desde_Proyectos10[[#This Row],[Semana]],'Fechas Mes'!J:J,0),)</f>
        <v>#N/A</v>
      </c>
      <c r="AB341">
        <f>YEAR(Tabla_Consulta_desde_Proyectos10[[#This Row],[PRYRAfecha]])</f>
        <v>1900</v>
      </c>
      <c r="AC341" t="e">
        <f>VLOOKUP(Tabla_Consulta_desde_Proyectos10[[#This Row],[PRYRAfecha]],'Fechas Mes'!G:J,4,TRUE)</f>
        <v>#N/A</v>
      </c>
      <c r="AD341" t="str">
        <f>IFERROR(VLOOKUP(Tabla_Consulta_desde_Proyectos10[[#This Row],[PRYcodigo]],Catálogo!A:B,2,FALSE),"Otros")</f>
        <v>Otros</v>
      </c>
      <c r="AE341" t="str">
        <f>IF(LEN(Tabla_Consulta_desde_Proyectos10[[#This Row],[Semana]])&lt;13,"CI",RIGHT(Tabla_Consulta_desde_Proyectos10[[#This Row],[Semana]],4))</f>
        <v>CI</v>
      </c>
    </row>
    <row r="342" spans="1:31" hidden="1">
      <c r="A342" t="s">
        <v>4032</v>
      </c>
      <c r="B342" t="s">
        <v>4907</v>
      </c>
      <c r="C342" t="s">
        <v>4908</v>
      </c>
      <c r="D342" t="s">
        <v>7220</v>
      </c>
      <c r="E342" t="s">
        <v>7195</v>
      </c>
      <c r="F342">
        <v>0</v>
      </c>
      <c r="G342" t="s">
        <v>7233</v>
      </c>
      <c r="L342" s="4"/>
      <c r="O342">
        <v>3000000001824818</v>
      </c>
      <c r="P342" t="s">
        <v>6786</v>
      </c>
      <c r="Q342" t="s">
        <v>7234</v>
      </c>
      <c r="W342" t="str">
        <f>Tabla_Consulta_desde_Proyectos10[[#This Row],[PRYcodigo]]&amp;Tabla_Consulta_desde_Proyectos10[[#This Row],[PRYApath]]</f>
        <v>579-203-REDIMED/0026</v>
      </c>
      <c r="X342" t="str">
        <f>Tabla_Consulta_desde_Proyectos10[[#This Row],[PRYAcodigo]]&amp;" - "&amp;Tabla_Consulta_desde_Proyectos10[[#This Row],[PRYAdescripcion]]</f>
        <v>500.1_RM - ACTIVIDADES DEL EQUIPO DE RELEASE MANAGMENT</v>
      </c>
      <c r="Y342" t="str">
        <f>SUBSTITUTE(IFERROR(VLOOKUP(LEFT(Tabla_Consulta_desde_Proyectos10[[#This Row],[Nivel1]],LEN(Tabla_Consulta_desde_Proyectos10[[#This Row],[Nivel1]])-5),Tabla_Consulta_desde_Proyectos10[[#All],[Nivel1]:[Actividad]],2,FALSE),""),"_","-")</f>
        <v/>
      </c>
      <c r="Z342" t="str">
        <f>IFERROR(VLOOKUP(Tabla_Consulta_desde_Proyectos10[[#This Row],[PRYRAfecha]],'Fechas Mes'!G:J,4,TRUE),"")</f>
        <v/>
      </c>
      <c r="AA342" t="e" cm="1">
        <f t="array" ref="AA342">INDEX('Fechas Mes'!F:F,MATCH(Tabla_Consulta_desde_Proyectos10[[#This Row],[Semana]],'Fechas Mes'!J:J,0),)</f>
        <v>#N/A</v>
      </c>
      <c r="AB342">
        <f>YEAR(Tabla_Consulta_desde_Proyectos10[[#This Row],[PRYRAfecha]])</f>
        <v>1900</v>
      </c>
      <c r="AC342" t="e">
        <f>VLOOKUP(Tabla_Consulta_desde_Proyectos10[[#This Row],[PRYRAfecha]],'Fechas Mes'!G:J,4,TRUE)</f>
        <v>#N/A</v>
      </c>
      <c r="AD342" t="str">
        <f>IFERROR(VLOOKUP(Tabla_Consulta_desde_Proyectos10[[#This Row],[PRYcodigo]],Catálogo!A:B,2,FALSE),"Otros")</f>
        <v>Otros</v>
      </c>
      <c r="AE342" t="str">
        <f>IF(LEN(Tabla_Consulta_desde_Proyectos10[[#This Row],[Semana]])&lt;13,"CI",RIGHT(Tabla_Consulta_desde_Proyectos10[[#This Row],[Semana]],4))</f>
        <v>CI</v>
      </c>
    </row>
    <row r="343" spans="1:31" hidden="1">
      <c r="A343" t="s">
        <v>4032</v>
      </c>
      <c r="B343" t="s">
        <v>4907</v>
      </c>
      <c r="C343" t="s">
        <v>4908</v>
      </c>
      <c r="D343" t="s">
        <v>7220</v>
      </c>
      <c r="E343" t="s">
        <v>7195</v>
      </c>
      <c r="F343">
        <v>0</v>
      </c>
      <c r="G343" t="s">
        <v>7233</v>
      </c>
      <c r="L343" s="4"/>
      <c r="O343">
        <v>3000000001824828</v>
      </c>
      <c r="P343" t="s">
        <v>6784</v>
      </c>
      <c r="Q343" t="s">
        <v>7214</v>
      </c>
      <c r="W343" t="str">
        <f>Tabla_Consulta_desde_Proyectos10[[#This Row],[PRYcodigo]]&amp;Tabla_Consulta_desde_Proyectos10[[#This Row],[PRYApath]]</f>
        <v>579-203-REDIMED/0026</v>
      </c>
      <c r="X343" t="str">
        <f>Tabla_Consulta_desde_Proyectos10[[#This Row],[PRYAcodigo]]&amp;" - "&amp;Tabla_Consulta_desde_Proyectos10[[#This Row],[PRYAdescripcion]]</f>
        <v>500.1_RM - ACTIVIDADES DEL EQUIPO DE RELEASE MANAGMENT</v>
      </c>
      <c r="Y343" t="str">
        <f>SUBSTITUTE(IFERROR(VLOOKUP(LEFT(Tabla_Consulta_desde_Proyectos10[[#This Row],[Nivel1]],LEN(Tabla_Consulta_desde_Proyectos10[[#This Row],[Nivel1]])-5),Tabla_Consulta_desde_Proyectos10[[#All],[Nivel1]:[Actividad]],2,FALSE),""),"_","-")</f>
        <v/>
      </c>
      <c r="Z343" t="str">
        <f>IFERROR(VLOOKUP(Tabla_Consulta_desde_Proyectos10[[#This Row],[PRYRAfecha]],'Fechas Mes'!G:J,4,TRUE),"")</f>
        <v/>
      </c>
      <c r="AA343" t="e" cm="1">
        <f t="array" ref="AA343">INDEX('Fechas Mes'!F:F,MATCH(Tabla_Consulta_desde_Proyectos10[[#This Row],[Semana]],'Fechas Mes'!J:J,0),)</f>
        <v>#N/A</v>
      </c>
      <c r="AB343">
        <f>YEAR(Tabla_Consulta_desde_Proyectos10[[#This Row],[PRYRAfecha]])</f>
        <v>1900</v>
      </c>
      <c r="AC343" t="e">
        <f>VLOOKUP(Tabla_Consulta_desde_Proyectos10[[#This Row],[PRYRAfecha]],'Fechas Mes'!G:J,4,TRUE)</f>
        <v>#N/A</v>
      </c>
      <c r="AD343" t="str">
        <f>IFERROR(VLOOKUP(Tabla_Consulta_desde_Proyectos10[[#This Row],[PRYcodigo]],Catálogo!A:B,2,FALSE),"Otros")</f>
        <v>Otros</v>
      </c>
      <c r="AE343" t="str">
        <f>IF(LEN(Tabla_Consulta_desde_Proyectos10[[#This Row],[Semana]])&lt;13,"CI",RIGHT(Tabla_Consulta_desde_Proyectos10[[#This Row],[Semana]],4))</f>
        <v>CI</v>
      </c>
    </row>
    <row r="344" spans="1:31" hidden="1">
      <c r="A344" t="s">
        <v>4032</v>
      </c>
      <c r="B344" t="s">
        <v>4907</v>
      </c>
      <c r="C344" t="s">
        <v>4908</v>
      </c>
      <c r="D344" t="s">
        <v>7220</v>
      </c>
      <c r="E344" t="s">
        <v>7195</v>
      </c>
      <c r="F344">
        <v>0</v>
      </c>
      <c r="G344" t="s">
        <v>7233</v>
      </c>
      <c r="L344" s="4"/>
      <c r="O344">
        <v>3000000001824831</v>
      </c>
      <c r="P344" t="s">
        <v>6786</v>
      </c>
      <c r="Q344" t="s">
        <v>7234</v>
      </c>
      <c r="W344" t="str">
        <f>Tabla_Consulta_desde_Proyectos10[[#This Row],[PRYcodigo]]&amp;Tabla_Consulta_desde_Proyectos10[[#This Row],[PRYApath]]</f>
        <v>579-203-REDIMED/0026</v>
      </c>
      <c r="X344" t="str">
        <f>Tabla_Consulta_desde_Proyectos10[[#This Row],[PRYAcodigo]]&amp;" - "&amp;Tabla_Consulta_desde_Proyectos10[[#This Row],[PRYAdescripcion]]</f>
        <v>500.1_RM - ACTIVIDADES DEL EQUIPO DE RELEASE MANAGMENT</v>
      </c>
      <c r="Y344" t="str">
        <f>SUBSTITUTE(IFERROR(VLOOKUP(LEFT(Tabla_Consulta_desde_Proyectos10[[#This Row],[Nivel1]],LEN(Tabla_Consulta_desde_Proyectos10[[#This Row],[Nivel1]])-5),Tabla_Consulta_desde_Proyectos10[[#All],[Nivel1]:[Actividad]],2,FALSE),""),"_","-")</f>
        <v/>
      </c>
      <c r="Z344" t="str">
        <f>IFERROR(VLOOKUP(Tabla_Consulta_desde_Proyectos10[[#This Row],[PRYRAfecha]],'Fechas Mes'!G:J,4,TRUE),"")</f>
        <v/>
      </c>
      <c r="AA344" t="e" cm="1">
        <f t="array" ref="AA344">INDEX('Fechas Mes'!F:F,MATCH(Tabla_Consulta_desde_Proyectos10[[#This Row],[Semana]],'Fechas Mes'!J:J,0),)</f>
        <v>#N/A</v>
      </c>
      <c r="AB344">
        <f>YEAR(Tabla_Consulta_desde_Proyectos10[[#This Row],[PRYRAfecha]])</f>
        <v>1900</v>
      </c>
      <c r="AC344" t="e">
        <f>VLOOKUP(Tabla_Consulta_desde_Proyectos10[[#This Row],[PRYRAfecha]],'Fechas Mes'!G:J,4,TRUE)</f>
        <v>#N/A</v>
      </c>
      <c r="AD344" t="str">
        <f>IFERROR(VLOOKUP(Tabla_Consulta_desde_Proyectos10[[#This Row],[PRYcodigo]],Catálogo!A:B,2,FALSE),"Otros")</f>
        <v>Otros</v>
      </c>
      <c r="AE344" t="str">
        <f>IF(LEN(Tabla_Consulta_desde_Proyectos10[[#This Row],[Semana]])&lt;13,"CI",RIGHT(Tabla_Consulta_desde_Proyectos10[[#This Row],[Semana]],4))</f>
        <v>CI</v>
      </c>
    </row>
    <row r="345" spans="1:31" hidden="1">
      <c r="A345" t="s">
        <v>4032</v>
      </c>
      <c r="B345" t="s">
        <v>4907</v>
      </c>
      <c r="C345" t="s">
        <v>4908</v>
      </c>
      <c r="D345" t="s">
        <v>7220</v>
      </c>
      <c r="E345" t="s">
        <v>7195</v>
      </c>
      <c r="F345">
        <v>0</v>
      </c>
      <c r="G345" t="s">
        <v>7233</v>
      </c>
      <c r="L345" s="4"/>
      <c r="O345">
        <v>3000000001824840</v>
      </c>
      <c r="P345" t="s">
        <v>6784</v>
      </c>
      <c r="Q345" t="s">
        <v>7214</v>
      </c>
      <c r="W345" t="str">
        <f>Tabla_Consulta_desde_Proyectos10[[#This Row],[PRYcodigo]]&amp;Tabla_Consulta_desde_Proyectos10[[#This Row],[PRYApath]]</f>
        <v>579-203-REDIMED/0026</v>
      </c>
      <c r="X345" t="str">
        <f>Tabla_Consulta_desde_Proyectos10[[#This Row],[PRYAcodigo]]&amp;" - "&amp;Tabla_Consulta_desde_Proyectos10[[#This Row],[PRYAdescripcion]]</f>
        <v>500.1_RM - ACTIVIDADES DEL EQUIPO DE RELEASE MANAGMENT</v>
      </c>
      <c r="Y345" t="str">
        <f>SUBSTITUTE(IFERROR(VLOOKUP(LEFT(Tabla_Consulta_desde_Proyectos10[[#This Row],[Nivel1]],LEN(Tabla_Consulta_desde_Proyectos10[[#This Row],[Nivel1]])-5),Tabla_Consulta_desde_Proyectos10[[#All],[Nivel1]:[Actividad]],2,FALSE),""),"_","-")</f>
        <v/>
      </c>
      <c r="Z345" t="str">
        <f>IFERROR(VLOOKUP(Tabla_Consulta_desde_Proyectos10[[#This Row],[PRYRAfecha]],'Fechas Mes'!G:J,4,TRUE),"")</f>
        <v/>
      </c>
      <c r="AA345" t="e" cm="1">
        <f t="array" ref="AA345">INDEX('Fechas Mes'!F:F,MATCH(Tabla_Consulta_desde_Proyectos10[[#This Row],[Semana]],'Fechas Mes'!J:J,0),)</f>
        <v>#N/A</v>
      </c>
      <c r="AB345">
        <f>YEAR(Tabla_Consulta_desde_Proyectos10[[#This Row],[PRYRAfecha]])</f>
        <v>1900</v>
      </c>
      <c r="AC345" t="e">
        <f>VLOOKUP(Tabla_Consulta_desde_Proyectos10[[#This Row],[PRYRAfecha]],'Fechas Mes'!G:J,4,TRUE)</f>
        <v>#N/A</v>
      </c>
      <c r="AD345" t="str">
        <f>IFERROR(VLOOKUP(Tabla_Consulta_desde_Proyectos10[[#This Row],[PRYcodigo]],Catálogo!A:B,2,FALSE),"Otros")</f>
        <v>Otros</v>
      </c>
      <c r="AE345" t="str">
        <f>IF(LEN(Tabla_Consulta_desde_Proyectos10[[#This Row],[Semana]])&lt;13,"CI",RIGHT(Tabla_Consulta_desde_Proyectos10[[#This Row],[Semana]],4))</f>
        <v>CI</v>
      </c>
    </row>
    <row r="346" spans="1:31" hidden="1">
      <c r="A346" t="s">
        <v>4032</v>
      </c>
      <c r="B346" t="s">
        <v>4907</v>
      </c>
      <c r="C346" t="s">
        <v>4908</v>
      </c>
      <c r="D346" t="s">
        <v>7220</v>
      </c>
      <c r="E346" t="s">
        <v>7195</v>
      </c>
      <c r="F346">
        <v>0</v>
      </c>
      <c r="G346" t="s">
        <v>7233</v>
      </c>
      <c r="L346" s="4"/>
      <c r="O346">
        <v>3000000001824842</v>
      </c>
      <c r="P346" t="s">
        <v>6786</v>
      </c>
      <c r="Q346" t="s">
        <v>7234</v>
      </c>
      <c r="W346" t="str">
        <f>Tabla_Consulta_desde_Proyectos10[[#This Row],[PRYcodigo]]&amp;Tabla_Consulta_desde_Proyectos10[[#This Row],[PRYApath]]</f>
        <v>579-203-REDIMED/0026</v>
      </c>
      <c r="X346" t="str">
        <f>Tabla_Consulta_desde_Proyectos10[[#This Row],[PRYAcodigo]]&amp;" - "&amp;Tabla_Consulta_desde_Proyectos10[[#This Row],[PRYAdescripcion]]</f>
        <v>500.1_RM - ACTIVIDADES DEL EQUIPO DE RELEASE MANAGMENT</v>
      </c>
      <c r="Y346" t="str">
        <f>SUBSTITUTE(IFERROR(VLOOKUP(LEFT(Tabla_Consulta_desde_Proyectos10[[#This Row],[Nivel1]],LEN(Tabla_Consulta_desde_Proyectos10[[#This Row],[Nivel1]])-5),Tabla_Consulta_desde_Proyectos10[[#All],[Nivel1]:[Actividad]],2,FALSE),""),"_","-")</f>
        <v/>
      </c>
      <c r="Z346" t="str">
        <f>IFERROR(VLOOKUP(Tabla_Consulta_desde_Proyectos10[[#This Row],[PRYRAfecha]],'Fechas Mes'!G:J,4,TRUE),"")</f>
        <v/>
      </c>
      <c r="AA346" t="e" cm="1">
        <f t="array" ref="AA346">INDEX('Fechas Mes'!F:F,MATCH(Tabla_Consulta_desde_Proyectos10[[#This Row],[Semana]],'Fechas Mes'!J:J,0),)</f>
        <v>#N/A</v>
      </c>
      <c r="AB346">
        <f>YEAR(Tabla_Consulta_desde_Proyectos10[[#This Row],[PRYRAfecha]])</f>
        <v>1900</v>
      </c>
      <c r="AC346" t="e">
        <f>VLOOKUP(Tabla_Consulta_desde_Proyectos10[[#This Row],[PRYRAfecha]],'Fechas Mes'!G:J,4,TRUE)</f>
        <v>#N/A</v>
      </c>
      <c r="AD346" t="str">
        <f>IFERROR(VLOOKUP(Tabla_Consulta_desde_Proyectos10[[#This Row],[PRYcodigo]],Catálogo!A:B,2,FALSE),"Otros")</f>
        <v>Otros</v>
      </c>
      <c r="AE346" t="str">
        <f>IF(LEN(Tabla_Consulta_desde_Proyectos10[[#This Row],[Semana]])&lt;13,"CI",RIGHT(Tabla_Consulta_desde_Proyectos10[[#This Row],[Semana]],4))</f>
        <v>CI</v>
      </c>
    </row>
    <row r="347" spans="1:31" hidden="1">
      <c r="A347" t="s">
        <v>4032</v>
      </c>
      <c r="B347" t="s">
        <v>4907</v>
      </c>
      <c r="C347" t="s">
        <v>4908</v>
      </c>
      <c r="D347" t="s">
        <v>7220</v>
      </c>
      <c r="E347" t="s">
        <v>7195</v>
      </c>
      <c r="F347">
        <v>0</v>
      </c>
      <c r="G347" t="s">
        <v>7233</v>
      </c>
      <c r="L347" s="4"/>
      <c r="O347">
        <v>3000000001824850</v>
      </c>
      <c r="P347" t="s">
        <v>6784</v>
      </c>
      <c r="Q347" t="s">
        <v>7214</v>
      </c>
      <c r="W347" t="str">
        <f>Tabla_Consulta_desde_Proyectos10[[#This Row],[PRYcodigo]]&amp;Tabla_Consulta_desde_Proyectos10[[#This Row],[PRYApath]]</f>
        <v>579-203-REDIMED/0026</v>
      </c>
      <c r="X347" t="str">
        <f>Tabla_Consulta_desde_Proyectos10[[#This Row],[PRYAcodigo]]&amp;" - "&amp;Tabla_Consulta_desde_Proyectos10[[#This Row],[PRYAdescripcion]]</f>
        <v>500.1_RM - ACTIVIDADES DEL EQUIPO DE RELEASE MANAGMENT</v>
      </c>
      <c r="Y347" t="str">
        <f>SUBSTITUTE(IFERROR(VLOOKUP(LEFT(Tabla_Consulta_desde_Proyectos10[[#This Row],[Nivel1]],LEN(Tabla_Consulta_desde_Proyectos10[[#This Row],[Nivel1]])-5),Tabla_Consulta_desde_Proyectos10[[#All],[Nivel1]:[Actividad]],2,FALSE),""),"_","-")</f>
        <v/>
      </c>
      <c r="Z347" t="str">
        <f>IFERROR(VLOOKUP(Tabla_Consulta_desde_Proyectos10[[#This Row],[PRYRAfecha]],'Fechas Mes'!G:J,4,TRUE),"")</f>
        <v/>
      </c>
      <c r="AA347" t="e" cm="1">
        <f t="array" ref="AA347">INDEX('Fechas Mes'!F:F,MATCH(Tabla_Consulta_desde_Proyectos10[[#This Row],[Semana]],'Fechas Mes'!J:J,0),)</f>
        <v>#N/A</v>
      </c>
      <c r="AB347">
        <f>YEAR(Tabla_Consulta_desde_Proyectos10[[#This Row],[PRYRAfecha]])</f>
        <v>1900</v>
      </c>
      <c r="AC347" t="e">
        <f>VLOOKUP(Tabla_Consulta_desde_Proyectos10[[#This Row],[PRYRAfecha]],'Fechas Mes'!G:J,4,TRUE)</f>
        <v>#N/A</v>
      </c>
      <c r="AD347" t="str">
        <f>IFERROR(VLOOKUP(Tabla_Consulta_desde_Proyectos10[[#This Row],[PRYcodigo]],Catálogo!A:B,2,FALSE),"Otros")</f>
        <v>Otros</v>
      </c>
      <c r="AE347" t="str">
        <f>IF(LEN(Tabla_Consulta_desde_Proyectos10[[#This Row],[Semana]])&lt;13,"CI",RIGHT(Tabla_Consulta_desde_Proyectos10[[#This Row],[Semana]],4))</f>
        <v>CI</v>
      </c>
    </row>
    <row r="348" spans="1:31" hidden="1">
      <c r="A348" t="s">
        <v>4032</v>
      </c>
      <c r="B348" t="s">
        <v>4907</v>
      </c>
      <c r="C348" t="s">
        <v>4908</v>
      </c>
      <c r="D348" t="s">
        <v>7220</v>
      </c>
      <c r="E348" t="s">
        <v>7195</v>
      </c>
      <c r="F348">
        <v>0</v>
      </c>
      <c r="G348" t="s">
        <v>7233</v>
      </c>
      <c r="L348" s="4"/>
      <c r="O348">
        <v>3000000001824854</v>
      </c>
      <c r="P348" t="s">
        <v>6786</v>
      </c>
      <c r="Q348" t="s">
        <v>7234</v>
      </c>
      <c r="W348" t="str">
        <f>Tabla_Consulta_desde_Proyectos10[[#This Row],[PRYcodigo]]&amp;Tabla_Consulta_desde_Proyectos10[[#This Row],[PRYApath]]</f>
        <v>579-203-REDIMED/0026</v>
      </c>
      <c r="X348" t="str">
        <f>Tabla_Consulta_desde_Proyectos10[[#This Row],[PRYAcodigo]]&amp;" - "&amp;Tabla_Consulta_desde_Proyectos10[[#This Row],[PRYAdescripcion]]</f>
        <v>500.1_RM - ACTIVIDADES DEL EQUIPO DE RELEASE MANAGMENT</v>
      </c>
      <c r="Y348" t="str">
        <f>SUBSTITUTE(IFERROR(VLOOKUP(LEFT(Tabla_Consulta_desde_Proyectos10[[#This Row],[Nivel1]],LEN(Tabla_Consulta_desde_Proyectos10[[#This Row],[Nivel1]])-5),Tabla_Consulta_desde_Proyectos10[[#All],[Nivel1]:[Actividad]],2,FALSE),""),"_","-")</f>
        <v/>
      </c>
      <c r="Z348" t="str">
        <f>IFERROR(VLOOKUP(Tabla_Consulta_desde_Proyectos10[[#This Row],[PRYRAfecha]],'Fechas Mes'!G:J,4,TRUE),"")</f>
        <v/>
      </c>
      <c r="AA348" t="e" cm="1">
        <f t="array" ref="AA348">INDEX('Fechas Mes'!F:F,MATCH(Tabla_Consulta_desde_Proyectos10[[#This Row],[Semana]],'Fechas Mes'!J:J,0),)</f>
        <v>#N/A</v>
      </c>
      <c r="AB348">
        <f>YEAR(Tabla_Consulta_desde_Proyectos10[[#This Row],[PRYRAfecha]])</f>
        <v>1900</v>
      </c>
      <c r="AC348" t="e">
        <f>VLOOKUP(Tabla_Consulta_desde_Proyectos10[[#This Row],[PRYRAfecha]],'Fechas Mes'!G:J,4,TRUE)</f>
        <v>#N/A</v>
      </c>
      <c r="AD348" t="str">
        <f>IFERROR(VLOOKUP(Tabla_Consulta_desde_Proyectos10[[#This Row],[PRYcodigo]],Catálogo!A:B,2,FALSE),"Otros")</f>
        <v>Otros</v>
      </c>
      <c r="AE348" t="str">
        <f>IF(LEN(Tabla_Consulta_desde_Proyectos10[[#This Row],[Semana]])&lt;13,"CI",RIGHT(Tabla_Consulta_desde_Proyectos10[[#This Row],[Semana]],4))</f>
        <v>CI</v>
      </c>
    </row>
    <row r="349" spans="1:31" hidden="1">
      <c r="A349" t="s">
        <v>4032</v>
      </c>
      <c r="B349" t="s">
        <v>4907</v>
      </c>
      <c r="C349" t="s">
        <v>4908</v>
      </c>
      <c r="D349" t="s">
        <v>7220</v>
      </c>
      <c r="E349" t="s">
        <v>7195</v>
      </c>
      <c r="F349">
        <v>0</v>
      </c>
      <c r="G349" t="s">
        <v>7233</v>
      </c>
      <c r="L349" s="4"/>
      <c r="O349">
        <v>3000000001827014</v>
      </c>
      <c r="P349" t="s">
        <v>6790</v>
      </c>
      <c r="Q349" t="s">
        <v>7240</v>
      </c>
      <c r="W349" t="str">
        <f>Tabla_Consulta_desde_Proyectos10[[#This Row],[PRYcodigo]]&amp;Tabla_Consulta_desde_Proyectos10[[#This Row],[PRYApath]]</f>
        <v>579-203-REDIMED/0026</v>
      </c>
      <c r="X349" t="str">
        <f>Tabla_Consulta_desde_Proyectos10[[#This Row],[PRYAcodigo]]&amp;" - "&amp;Tabla_Consulta_desde_Proyectos10[[#This Row],[PRYAdescripcion]]</f>
        <v>500.1_RM - ACTIVIDADES DEL EQUIPO DE RELEASE MANAGMENT</v>
      </c>
      <c r="Y349" t="str">
        <f>SUBSTITUTE(IFERROR(VLOOKUP(LEFT(Tabla_Consulta_desde_Proyectos10[[#This Row],[Nivel1]],LEN(Tabla_Consulta_desde_Proyectos10[[#This Row],[Nivel1]])-5),Tabla_Consulta_desde_Proyectos10[[#All],[Nivel1]:[Actividad]],2,FALSE),""),"_","-")</f>
        <v/>
      </c>
      <c r="Z349" t="str">
        <f>IFERROR(VLOOKUP(Tabla_Consulta_desde_Proyectos10[[#This Row],[PRYRAfecha]],'Fechas Mes'!G:J,4,TRUE),"")</f>
        <v/>
      </c>
      <c r="AA349" t="e" cm="1">
        <f t="array" ref="AA349">INDEX('Fechas Mes'!F:F,MATCH(Tabla_Consulta_desde_Proyectos10[[#This Row],[Semana]],'Fechas Mes'!J:J,0),)</f>
        <v>#N/A</v>
      </c>
      <c r="AB349">
        <f>YEAR(Tabla_Consulta_desde_Proyectos10[[#This Row],[PRYRAfecha]])</f>
        <v>1900</v>
      </c>
      <c r="AC349" t="e">
        <f>VLOOKUP(Tabla_Consulta_desde_Proyectos10[[#This Row],[PRYRAfecha]],'Fechas Mes'!G:J,4,TRUE)</f>
        <v>#N/A</v>
      </c>
      <c r="AD349" t="str">
        <f>IFERROR(VLOOKUP(Tabla_Consulta_desde_Proyectos10[[#This Row],[PRYcodigo]],Catálogo!A:B,2,FALSE),"Otros")</f>
        <v>Otros</v>
      </c>
      <c r="AE349" t="str">
        <f>IF(LEN(Tabla_Consulta_desde_Proyectos10[[#This Row],[Semana]])&lt;13,"CI",RIGHT(Tabla_Consulta_desde_Proyectos10[[#This Row],[Semana]],4))</f>
        <v>CI</v>
      </c>
    </row>
    <row r="350" spans="1:31" hidden="1">
      <c r="A350" t="s">
        <v>4032</v>
      </c>
      <c r="B350" t="s">
        <v>4907</v>
      </c>
      <c r="C350" t="s">
        <v>4908</v>
      </c>
      <c r="D350" t="s">
        <v>7220</v>
      </c>
      <c r="E350" t="s">
        <v>7195</v>
      </c>
      <c r="F350">
        <v>0</v>
      </c>
      <c r="G350" t="s">
        <v>7233</v>
      </c>
      <c r="L350" s="4"/>
      <c r="O350">
        <v>3000000001828900</v>
      </c>
      <c r="P350" t="s">
        <v>6784</v>
      </c>
      <c r="Q350" t="s">
        <v>7214</v>
      </c>
      <c r="W350" t="str">
        <f>Tabla_Consulta_desde_Proyectos10[[#This Row],[PRYcodigo]]&amp;Tabla_Consulta_desde_Proyectos10[[#This Row],[PRYApath]]</f>
        <v>579-203-REDIMED/0026</v>
      </c>
      <c r="X350" t="str">
        <f>Tabla_Consulta_desde_Proyectos10[[#This Row],[PRYAcodigo]]&amp;" - "&amp;Tabla_Consulta_desde_Proyectos10[[#This Row],[PRYAdescripcion]]</f>
        <v>500.1_RM - ACTIVIDADES DEL EQUIPO DE RELEASE MANAGMENT</v>
      </c>
      <c r="Y350" t="str">
        <f>SUBSTITUTE(IFERROR(VLOOKUP(LEFT(Tabla_Consulta_desde_Proyectos10[[#This Row],[Nivel1]],LEN(Tabla_Consulta_desde_Proyectos10[[#This Row],[Nivel1]])-5),Tabla_Consulta_desde_Proyectos10[[#All],[Nivel1]:[Actividad]],2,FALSE),""),"_","-")</f>
        <v/>
      </c>
      <c r="Z350" t="str">
        <f>IFERROR(VLOOKUP(Tabla_Consulta_desde_Proyectos10[[#This Row],[PRYRAfecha]],'Fechas Mes'!G:J,4,TRUE),"")</f>
        <v/>
      </c>
      <c r="AA350" t="e" cm="1">
        <f t="array" ref="AA350">INDEX('Fechas Mes'!F:F,MATCH(Tabla_Consulta_desde_Proyectos10[[#This Row],[Semana]],'Fechas Mes'!J:J,0),)</f>
        <v>#N/A</v>
      </c>
      <c r="AB350">
        <f>YEAR(Tabla_Consulta_desde_Proyectos10[[#This Row],[PRYRAfecha]])</f>
        <v>1900</v>
      </c>
      <c r="AC350" t="e">
        <f>VLOOKUP(Tabla_Consulta_desde_Proyectos10[[#This Row],[PRYRAfecha]],'Fechas Mes'!G:J,4,TRUE)</f>
        <v>#N/A</v>
      </c>
      <c r="AD350" t="str">
        <f>IFERROR(VLOOKUP(Tabla_Consulta_desde_Proyectos10[[#This Row],[PRYcodigo]],Catálogo!A:B,2,FALSE),"Otros")</f>
        <v>Otros</v>
      </c>
      <c r="AE350" t="str">
        <f>IF(LEN(Tabla_Consulta_desde_Proyectos10[[#This Row],[Semana]])&lt;13,"CI",RIGHT(Tabla_Consulta_desde_Proyectos10[[#This Row],[Semana]],4))</f>
        <v>CI</v>
      </c>
    </row>
    <row r="351" spans="1:31" hidden="1">
      <c r="A351" t="s">
        <v>4032</v>
      </c>
      <c r="B351" t="s">
        <v>4907</v>
      </c>
      <c r="C351" t="s">
        <v>4908</v>
      </c>
      <c r="D351" t="s">
        <v>7220</v>
      </c>
      <c r="E351" t="s">
        <v>7195</v>
      </c>
      <c r="F351">
        <v>0</v>
      </c>
      <c r="G351" t="s">
        <v>7233</v>
      </c>
      <c r="L351" s="4"/>
      <c r="O351">
        <v>3000000001828908</v>
      </c>
      <c r="P351" t="s">
        <v>6786</v>
      </c>
      <c r="Q351" t="s">
        <v>7234</v>
      </c>
      <c r="W351" t="str">
        <f>Tabla_Consulta_desde_Proyectos10[[#This Row],[PRYcodigo]]&amp;Tabla_Consulta_desde_Proyectos10[[#This Row],[PRYApath]]</f>
        <v>579-203-REDIMED/0026</v>
      </c>
      <c r="X351" t="str">
        <f>Tabla_Consulta_desde_Proyectos10[[#This Row],[PRYAcodigo]]&amp;" - "&amp;Tabla_Consulta_desde_Proyectos10[[#This Row],[PRYAdescripcion]]</f>
        <v>500.1_RM - ACTIVIDADES DEL EQUIPO DE RELEASE MANAGMENT</v>
      </c>
      <c r="Y351" t="str">
        <f>SUBSTITUTE(IFERROR(VLOOKUP(LEFT(Tabla_Consulta_desde_Proyectos10[[#This Row],[Nivel1]],LEN(Tabla_Consulta_desde_Proyectos10[[#This Row],[Nivel1]])-5),Tabla_Consulta_desde_Proyectos10[[#All],[Nivel1]:[Actividad]],2,FALSE),""),"_","-")</f>
        <v/>
      </c>
      <c r="Z351" t="str">
        <f>IFERROR(VLOOKUP(Tabla_Consulta_desde_Proyectos10[[#This Row],[PRYRAfecha]],'Fechas Mes'!G:J,4,TRUE),"")</f>
        <v/>
      </c>
      <c r="AA351" t="e" cm="1">
        <f t="array" ref="AA351">INDEX('Fechas Mes'!F:F,MATCH(Tabla_Consulta_desde_Proyectos10[[#This Row],[Semana]],'Fechas Mes'!J:J,0),)</f>
        <v>#N/A</v>
      </c>
      <c r="AB351">
        <f>YEAR(Tabla_Consulta_desde_Proyectos10[[#This Row],[PRYRAfecha]])</f>
        <v>1900</v>
      </c>
      <c r="AC351" t="e">
        <f>VLOOKUP(Tabla_Consulta_desde_Proyectos10[[#This Row],[PRYRAfecha]],'Fechas Mes'!G:J,4,TRUE)</f>
        <v>#N/A</v>
      </c>
      <c r="AD351" t="str">
        <f>IFERROR(VLOOKUP(Tabla_Consulta_desde_Proyectos10[[#This Row],[PRYcodigo]],Catálogo!A:B,2,FALSE),"Otros")</f>
        <v>Otros</v>
      </c>
      <c r="AE351" t="str">
        <f>IF(LEN(Tabla_Consulta_desde_Proyectos10[[#This Row],[Semana]])&lt;13,"CI",RIGHT(Tabla_Consulta_desde_Proyectos10[[#This Row],[Semana]],4))</f>
        <v>CI</v>
      </c>
    </row>
    <row r="352" spans="1:31" hidden="1">
      <c r="A352" t="s">
        <v>4032</v>
      </c>
      <c r="B352" t="s">
        <v>4907</v>
      </c>
      <c r="C352" t="s">
        <v>4908</v>
      </c>
      <c r="D352" t="s">
        <v>7220</v>
      </c>
      <c r="E352" t="s">
        <v>7195</v>
      </c>
      <c r="F352">
        <v>0</v>
      </c>
      <c r="G352" t="s">
        <v>7233</v>
      </c>
      <c r="L352" s="4"/>
      <c r="O352">
        <v>3000000001828927</v>
      </c>
      <c r="P352" t="s">
        <v>6784</v>
      </c>
      <c r="Q352" t="s">
        <v>7214</v>
      </c>
      <c r="W352" t="str">
        <f>Tabla_Consulta_desde_Proyectos10[[#This Row],[PRYcodigo]]&amp;Tabla_Consulta_desde_Proyectos10[[#This Row],[PRYApath]]</f>
        <v>579-203-REDIMED/0026</v>
      </c>
      <c r="X352" t="str">
        <f>Tabla_Consulta_desde_Proyectos10[[#This Row],[PRYAcodigo]]&amp;" - "&amp;Tabla_Consulta_desde_Proyectos10[[#This Row],[PRYAdescripcion]]</f>
        <v>500.1_RM - ACTIVIDADES DEL EQUIPO DE RELEASE MANAGMENT</v>
      </c>
      <c r="Y352" t="str">
        <f>SUBSTITUTE(IFERROR(VLOOKUP(LEFT(Tabla_Consulta_desde_Proyectos10[[#This Row],[Nivel1]],LEN(Tabla_Consulta_desde_Proyectos10[[#This Row],[Nivel1]])-5),Tabla_Consulta_desde_Proyectos10[[#All],[Nivel1]:[Actividad]],2,FALSE),""),"_","-")</f>
        <v/>
      </c>
      <c r="Z352" t="str">
        <f>IFERROR(VLOOKUP(Tabla_Consulta_desde_Proyectos10[[#This Row],[PRYRAfecha]],'Fechas Mes'!G:J,4,TRUE),"")</f>
        <v/>
      </c>
      <c r="AA352" t="e" cm="1">
        <f t="array" ref="AA352">INDEX('Fechas Mes'!F:F,MATCH(Tabla_Consulta_desde_Proyectos10[[#This Row],[Semana]],'Fechas Mes'!J:J,0),)</f>
        <v>#N/A</v>
      </c>
      <c r="AB352">
        <f>YEAR(Tabla_Consulta_desde_Proyectos10[[#This Row],[PRYRAfecha]])</f>
        <v>1900</v>
      </c>
      <c r="AC352" t="e">
        <f>VLOOKUP(Tabla_Consulta_desde_Proyectos10[[#This Row],[PRYRAfecha]],'Fechas Mes'!G:J,4,TRUE)</f>
        <v>#N/A</v>
      </c>
      <c r="AD352" t="str">
        <f>IFERROR(VLOOKUP(Tabla_Consulta_desde_Proyectos10[[#This Row],[PRYcodigo]],Catálogo!A:B,2,FALSE),"Otros")</f>
        <v>Otros</v>
      </c>
      <c r="AE352" t="str">
        <f>IF(LEN(Tabla_Consulta_desde_Proyectos10[[#This Row],[Semana]])&lt;13,"CI",RIGHT(Tabla_Consulta_desde_Proyectos10[[#This Row],[Semana]],4))</f>
        <v>CI</v>
      </c>
    </row>
    <row r="353" spans="1:31" hidden="1">
      <c r="A353" t="s">
        <v>4032</v>
      </c>
      <c r="B353" t="s">
        <v>4907</v>
      </c>
      <c r="C353" t="s">
        <v>4908</v>
      </c>
      <c r="D353" t="s">
        <v>7220</v>
      </c>
      <c r="E353" t="s">
        <v>7195</v>
      </c>
      <c r="F353">
        <v>0</v>
      </c>
      <c r="G353" t="s">
        <v>7233</v>
      </c>
      <c r="L353" s="4"/>
      <c r="O353">
        <v>3000000001828934</v>
      </c>
      <c r="P353" t="s">
        <v>6786</v>
      </c>
      <c r="Q353" t="s">
        <v>7234</v>
      </c>
      <c r="W353" t="str">
        <f>Tabla_Consulta_desde_Proyectos10[[#This Row],[PRYcodigo]]&amp;Tabla_Consulta_desde_Proyectos10[[#This Row],[PRYApath]]</f>
        <v>579-203-REDIMED/0026</v>
      </c>
      <c r="X353" t="str">
        <f>Tabla_Consulta_desde_Proyectos10[[#This Row],[PRYAcodigo]]&amp;" - "&amp;Tabla_Consulta_desde_Proyectos10[[#This Row],[PRYAdescripcion]]</f>
        <v>500.1_RM - ACTIVIDADES DEL EQUIPO DE RELEASE MANAGMENT</v>
      </c>
      <c r="Y353" t="str">
        <f>SUBSTITUTE(IFERROR(VLOOKUP(LEFT(Tabla_Consulta_desde_Proyectos10[[#This Row],[Nivel1]],LEN(Tabla_Consulta_desde_Proyectos10[[#This Row],[Nivel1]])-5),Tabla_Consulta_desde_Proyectos10[[#All],[Nivel1]:[Actividad]],2,FALSE),""),"_","-")</f>
        <v/>
      </c>
      <c r="Z353" t="str">
        <f>IFERROR(VLOOKUP(Tabla_Consulta_desde_Proyectos10[[#This Row],[PRYRAfecha]],'Fechas Mes'!G:J,4,TRUE),"")</f>
        <v/>
      </c>
      <c r="AA353" t="e" cm="1">
        <f t="array" ref="AA353">INDEX('Fechas Mes'!F:F,MATCH(Tabla_Consulta_desde_Proyectos10[[#This Row],[Semana]],'Fechas Mes'!J:J,0),)</f>
        <v>#N/A</v>
      </c>
      <c r="AB353">
        <f>YEAR(Tabla_Consulta_desde_Proyectos10[[#This Row],[PRYRAfecha]])</f>
        <v>1900</v>
      </c>
      <c r="AC353" t="e">
        <f>VLOOKUP(Tabla_Consulta_desde_Proyectos10[[#This Row],[PRYRAfecha]],'Fechas Mes'!G:J,4,TRUE)</f>
        <v>#N/A</v>
      </c>
      <c r="AD353" t="str">
        <f>IFERROR(VLOOKUP(Tabla_Consulta_desde_Proyectos10[[#This Row],[PRYcodigo]],Catálogo!A:B,2,FALSE),"Otros")</f>
        <v>Otros</v>
      </c>
      <c r="AE353" t="str">
        <f>IF(LEN(Tabla_Consulta_desde_Proyectos10[[#This Row],[Semana]])&lt;13,"CI",RIGHT(Tabla_Consulta_desde_Proyectos10[[#This Row],[Semana]],4))</f>
        <v>CI</v>
      </c>
    </row>
    <row r="354" spans="1:31" hidden="1">
      <c r="A354" t="s">
        <v>4032</v>
      </c>
      <c r="B354" t="s">
        <v>4907</v>
      </c>
      <c r="C354" t="s">
        <v>4908</v>
      </c>
      <c r="D354" t="s">
        <v>7220</v>
      </c>
      <c r="E354" t="s">
        <v>7195</v>
      </c>
      <c r="F354">
        <v>0</v>
      </c>
      <c r="G354" t="s">
        <v>7233</v>
      </c>
      <c r="L354" s="4"/>
      <c r="O354">
        <v>3000000001828963</v>
      </c>
      <c r="P354" t="s">
        <v>6784</v>
      </c>
      <c r="Q354" t="s">
        <v>7214</v>
      </c>
      <c r="W354" t="str">
        <f>Tabla_Consulta_desde_Proyectos10[[#This Row],[PRYcodigo]]&amp;Tabla_Consulta_desde_Proyectos10[[#This Row],[PRYApath]]</f>
        <v>579-203-REDIMED/0026</v>
      </c>
      <c r="X354" t="str">
        <f>Tabla_Consulta_desde_Proyectos10[[#This Row],[PRYAcodigo]]&amp;" - "&amp;Tabla_Consulta_desde_Proyectos10[[#This Row],[PRYAdescripcion]]</f>
        <v>500.1_RM - ACTIVIDADES DEL EQUIPO DE RELEASE MANAGMENT</v>
      </c>
      <c r="Y354" t="str">
        <f>SUBSTITUTE(IFERROR(VLOOKUP(LEFT(Tabla_Consulta_desde_Proyectos10[[#This Row],[Nivel1]],LEN(Tabla_Consulta_desde_Proyectos10[[#This Row],[Nivel1]])-5),Tabla_Consulta_desde_Proyectos10[[#All],[Nivel1]:[Actividad]],2,FALSE),""),"_","-")</f>
        <v/>
      </c>
      <c r="Z354" t="str">
        <f>IFERROR(VLOOKUP(Tabla_Consulta_desde_Proyectos10[[#This Row],[PRYRAfecha]],'Fechas Mes'!G:J,4,TRUE),"")</f>
        <v/>
      </c>
      <c r="AA354" t="e" cm="1">
        <f t="array" ref="AA354">INDEX('Fechas Mes'!F:F,MATCH(Tabla_Consulta_desde_Proyectos10[[#This Row],[Semana]],'Fechas Mes'!J:J,0),)</f>
        <v>#N/A</v>
      </c>
      <c r="AB354">
        <f>YEAR(Tabla_Consulta_desde_Proyectos10[[#This Row],[PRYRAfecha]])</f>
        <v>1900</v>
      </c>
      <c r="AC354" t="e">
        <f>VLOOKUP(Tabla_Consulta_desde_Proyectos10[[#This Row],[PRYRAfecha]],'Fechas Mes'!G:J,4,TRUE)</f>
        <v>#N/A</v>
      </c>
      <c r="AD354" t="str">
        <f>IFERROR(VLOOKUP(Tabla_Consulta_desde_Proyectos10[[#This Row],[PRYcodigo]],Catálogo!A:B,2,FALSE),"Otros")</f>
        <v>Otros</v>
      </c>
      <c r="AE354" t="str">
        <f>IF(LEN(Tabla_Consulta_desde_Proyectos10[[#This Row],[Semana]])&lt;13,"CI",RIGHT(Tabla_Consulta_desde_Proyectos10[[#This Row],[Semana]],4))</f>
        <v>CI</v>
      </c>
    </row>
    <row r="355" spans="1:31" hidden="1">
      <c r="A355" t="s">
        <v>4032</v>
      </c>
      <c r="B355" t="s">
        <v>4907</v>
      </c>
      <c r="C355" t="s">
        <v>4908</v>
      </c>
      <c r="D355" t="s">
        <v>7220</v>
      </c>
      <c r="E355" t="s">
        <v>7195</v>
      </c>
      <c r="F355">
        <v>0</v>
      </c>
      <c r="G355" t="s">
        <v>7233</v>
      </c>
      <c r="L355" s="4"/>
      <c r="O355">
        <v>3000000001828968</v>
      </c>
      <c r="P355" t="s">
        <v>6786</v>
      </c>
      <c r="Q355" t="s">
        <v>7234</v>
      </c>
      <c r="W355" t="str">
        <f>Tabla_Consulta_desde_Proyectos10[[#This Row],[PRYcodigo]]&amp;Tabla_Consulta_desde_Proyectos10[[#This Row],[PRYApath]]</f>
        <v>579-203-REDIMED/0026</v>
      </c>
      <c r="X355" t="str">
        <f>Tabla_Consulta_desde_Proyectos10[[#This Row],[PRYAcodigo]]&amp;" - "&amp;Tabla_Consulta_desde_Proyectos10[[#This Row],[PRYAdescripcion]]</f>
        <v>500.1_RM - ACTIVIDADES DEL EQUIPO DE RELEASE MANAGMENT</v>
      </c>
      <c r="Y355" t="str">
        <f>SUBSTITUTE(IFERROR(VLOOKUP(LEFT(Tabla_Consulta_desde_Proyectos10[[#This Row],[Nivel1]],LEN(Tabla_Consulta_desde_Proyectos10[[#This Row],[Nivel1]])-5),Tabla_Consulta_desde_Proyectos10[[#All],[Nivel1]:[Actividad]],2,FALSE),""),"_","-")</f>
        <v/>
      </c>
      <c r="Z355" t="str">
        <f>IFERROR(VLOOKUP(Tabla_Consulta_desde_Proyectos10[[#This Row],[PRYRAfecha]],'Fechas Mes'!G:J,4,TRUE),"")</f>
        <v/>
      </c>
      <c r="AA355" t="e" cm="1">
        <f t="array" ref="AA355">INDEX('Fechas Mes'!F:F,MATCH(Tabla_Consulta_desde_Proyectos10[[#This Row],[Semana]],'Fechas Mes'!J:J,0),)</f>
        <v>#N/A</v>
      </c>
      <c r="AB355">
        <f>YEAR(Tabla_Consulta_desde_Proyectos10[[#This Row],[PRYRAfecha]])</f>
        <v>1900</v>
      </c>
      <c r="AC355" t="e">
        <f>VLOOKUP(Tabla_Consulta_desde_Proyectos10[[#This Row],[PRYRAfecha]],'Fechas Mes'!G:J,4,TRUE)</f>
        <v>#N/A</v>
      </c>
      <c r="AD355" t="str">
        <f>IFERROR(VLOOKUP(Tabla_Consulta_desde_Proyectos10[[#This Row],[PRYcodigo]],Catálogo!A:B,2,FALSE),"Otros")</f>
        <v>Otros</v>
      </c>
      <c r="AE355" t="str">
        <f>IF(LEN(Tabla_Consulta_desde_Proyectos10[[#This Row],[Semana]])&lt;13,"CI",RIGHT(Tabla_Consulta_desde_Proyectos10[[#This Row],[Semana]],4))</f>
        <v>CI</v>
      </c>
    </row>
    <row r="356" spans="1:31" hidden="1">
      <c r="A356" t="s">
        <v>4032</v>
      </c>
      <c r="B356" t="s">
        <v>4907</v>
      </c>
      <c r="C356" t="s">
        <v>4908</v>
      </c>
      <c r="D356" t="s">
        <v>7220</v>
      </c>
      <c r="E356" t="s">
        <v>7195</v>
      </c>
      <c r="F356">
        <v>0</v>
      </c>
      <c r="G356" t="s">
        <v>7233</v>
      </c>
      <c r="L356" s="4"/>
      <c r="O356">
        <v>3000000001829022</v>
      </c>
      <c r="P356" t="s">
        <v>6784</v>
      </c>
      <c r="Q356" t="s">
        <v>7214</v>
      </c>
      <c r="W356" t="str">
        <f>Tabla_Consulta_desde_Proyectos10[[#This Row],[PRYcodigo]]&amp;Tabla_Consulta_desde_Proyectos10[[#This Row],[PRYApath]]</f>
        <v>579-203-REDIMED/0026</v>
      </c>
      <c r="X356" t="str">
        <f>Tabla_Consulta_desde_Proyectos10[[#This Row],[PRYAcodigo]]&amp;" - "&amp;Tabla_Consulta_desde_Proyectos10[[#This Row],[PRYAdescripcion]]</f>
        <v>500.1_RM - ACTIVIDADES DEL EQUIPO DE RELEASE MANAGMENT</v>
      </c>
      <c r="Y356" t="str">
        <f>SUBSTITUTE(IFERROR(VLOOKUP(LEFT(Tabla_Consulta_desde_Proyectos10[[#This Row],[Nivel1]],LEN(Tabla_Consulta_desde_Proyectos10[[#This Row],[Nivel1]])-5),Tabla_Consulta_desde_Proyectos10[[#All],[Nivel1]:[Actividad]],2,FALSE),""),"_","-")</f>
        <v/>
      </c>
      <c r="Z356" t="str">
        <f>IFERROR(VLOOKUP(Tabla_Consulta_desde_Proyectos10[[#This Row],[PRYRAfecha]],'Fechas Mes'!G:J,4,TRUE),"")</f>
        <v/>
      </c>
      <c r="AA356" t="e" cm="1">
        <f t="array" ref="AA356">INDEX('Fechas Mes'!F:F,MATCH(Tabla_Consulta_desde_Proyectos10[[#This Row],[Semana]],'Fechas Mes'!J:J,0),)</f>
        <v>#N/A</v>
      </c>
      <c r="AB356">
        <f>YEAR(Tabla_Consulta_desde_Proyectos10[[#This Row],[PRYRAfecha]])</f>
        <v>1900</v>
      </c>
      <c r="AC356" t="e">
        <f>VLOOKUP(Tabla_Consulta_desde_Proyectos10[[#This Row],[PRYRAfecha]],'Fechas Mes'!G:J,4,TRUE)</f>
        <v>#N/A</v>
      </c>
      <c r="AD356" t="str">
        <f>IFERROR(VLOOKUP(Tabla_Consulta_desde_Proyectos10[[#This Row],[PRYcodigo]],Catálogo!A:B,2,FALSE),"Otros")</f>
        <v>Otros</v>
      </c>
      <c r="AE356" t="str">
        <f>IF(LEN(Tabla_Consulta_desde_Proyectos10[[#This Row],[Semana]])&lt;13,"CI",RIGHT(Tabla_Consulta_desde_Proyectos10[[#This Row],[Semana]],4))</f>
        <v>CI</v>
      </c>
    </row>
    <row r="357" spans="1:31" hidden="1">
      <c r="A357" t="s">
        <v>4032</v>
      </c>
      <c r="B357" t="s">
        <v>4907</v>
      </c>
      <c r="C357" t="s">
        <v>4908</v>
      </c>
      <c r="D357" t="s">
        <v>7220</v>
      </c>
      <c r="E357" t="s">
        <v>7195</v>
      </c>
      <c r="F357">
        <v>0</v>
      </c>
      <c r="G357" t="s">
        <v>7233</v>
      </c>
      <c r="L357" s="4"/>
      <c r="O357">
        <v>3000000001829023</v>
      </c>
      <c r="P357" t="s">
        <v>6786</v>
      </c>
      <c r="Q357" t="s">
        <v>7234</v>
      </c>
      <c r="W357" t="str">
        <f>Tabla_Consulta_desde_Proyectos10[[#This Row],[PRYcodigo]]&amp;Tabla_Consulta_desde_Proyectos10[[#This Row],[PRYApath]]</f>
        <v>579-203-REDIMED/0026</v>
      </c>
      <c r="X357" t="str">
        <f>Tabla_Consulta_desde_Proyectos10[[#This Row],[PRYAcodigo]]&amp;" - "&amp;Tabla_Consulta_desde_Proyectos10[[#This Row],[PRYAdescripcion]]</f>
        <v>500.1_RM - ACTIVIDADES DEL EQUIPO DE RELEASE MANAGMENT</v>
      </c>
      <c r="Y357" t="str">
        <f>SUBSTITUTE(IFERROR(VLOOKUP(LEFT(Tabla_Consulta_desde_Proyectos10[[#This Row],[Nivel1]],LEN(Tabla_Consulta_desde_Proyectos10[[#This Row],[Nivel1]])-5),Tabla_Consulta_desde_Proyectos10[[#All],[Nivel1]:[Actividad]],2,FALSE),""),"_","-")</f>
        <v/>
      </c>
      <c r="Z357" t="str">
        <f>IFERROR(VLOOKUP(Tabla_Consulta_desde_Proyectos10[[#This Row],[PRYRAfecha]],'Fechas Mes'!G:J,4,TRUE),"")</f>
        <v/>
      </c>
      <c r="AA357" t="e" cm="1">
        <f t="array" ref="AA357">INDEX('Fechas Mes'!F:F,MATCH(Tabla_Consulta_desde_Proyectos10[[#This Row],[Semana]],'Fechas Mes'!J:J,0),)</f>
        <v>#N/A</v>
      </c>
      <c r="AB357">
        <f>YEAR(Tabla_Consulta_desde_Proyectos10[[#This Row],[PRYRAfecha]])</f>
        <v>1900</v>
      </c>
      <c r="AC357" t="e">
        <f>VLOOKUP(Tabla_Consulta_desde_Proyectos10[[#This Row],[PRYRAfecha]],'Fechas Mes'!G:J,4,TRUE)</f>
        <v>#N/A</v>
      </c>
      <c r="AD357" t="str">
        <f>IFERROR(VLOOKUP(Tabla_Consulta_desde_Proyectos10[[#This Row],[PRYcodigo]],Catálogo!A:B,2,FALSE),"Otros")</f>
        <v>Otros</v>
      </c>
      <c r="AE357" t="str">
        <f>IF(LEN(Tabla_Consulta_desde_Proyectos10[[#This Row],[Semana]])&lt;13,"CI",RIGHT(Tabla_Consulta_desde_Proyectos10[[#This Row],[Semana]],4))</f>
        <v>CI</v>
      </c>
    </row>
    <row r="358" spans="1:31" hidden="1">
      <c r="A358" t="s">
        <v>4032</v>
      </c>
      <c r="B358" t="s">
        <v>4907</v>
      </c>
      <c r="C358" t="s">
        <v>4908</v>
      </c>
      <c r="D358" t="s">
        <v>7220</v>
      </c>
      <c r="E358" t="s">
        <v>7195</v>
      </c>
      <c r="F358">
        <v>0</v>
      </c>
      <c r="G358" t="s">
        <v>7233</v>
      </c>
      <c r="L358" s="4"/>
      <c r="O358">
        <v>3000000001829112</v>
      </c>
      <c r="P358" t="s">
        <v>6784</v>
      </c>
      <c r="Q358" t="s">
        <v>7214</v>
      </c>
      <c r="W358" t="str">
        <f>Tabla_Consulta_desde_Proyectos10[[#This Row],[PRYcodigo]]&amp;Tabla_Consulta_desde_Proyectos10[[#This Row],[PRYApath]]</f>
        <v>579-203-REDIMED/0026</v>
      </c>
      <c r="X358" t="str">
        <f>Tabla_Consulta_desde_Proyectos10[[#This Row],[PRYAcodigo]]&amp;" - "&amp;Tabla_Consulta_desde_Proyectos10[[#This Row],[PRYAdescripcion]]</f>
        <v>500.1_RM - ACTIVIDADES DEL EQUIPO DE RELEASE MANAGMENT</v>
      </c>
      <c r="Y358" t="str">
        <f>SUBSTITUTE(IFERROR(VLOOKUP(LEFT(Tabla_Consulta_desde_Proyectos10[[#This Row],[Nivel1]],LEN(Tabla_Consulta_desde_Proyectos10[[#This Row],[Nivel1]])-5),Tabla_Consulta_desde_Proyectos10[[#All],[Nivel1]:[Actividad]],2,FALSE),""),"_","-")</f>
        <v/>
      </c>
      <c r="Z358" t="str">
        <f>IFERROR(VLOOKUP(Tabla_Consulta_desde_Proyectos10[[#This Row],[PRYRAfecha]],'Fechas Mes'!G:J,4,TRUE),"")</f>
        <v/>
      </c>
      <c r="AA358" t="e" cm="1">
        <f t="array" ref="AA358">INDEX('Fechas Mes'!F:F,MATCH(Tabla_Consulta_desde_Proyectos10[[#This Row],[Semana]],'Fechas Mes'!J:J,0),)</f>
        <v>#N/A</v>
      </c>
      <c r="AB358">
        <f>YEAR(Tabla_Consulta_desde_Proyectos10[[#This Row],[PRYRAfecha]])</f>
        <v>1900</v>
      </c>
      <c r="AC358" t="e">
        <f>VLOOKUP(Tabla_Consulta_desde_Proyectos10[[#This Row],[PRYRAfecha]],'Fechas Mes'!G:J,4,TRUE)</f>
        <v>#N/A</v>
      </c>
      <c r="AD358" t="str">
        <f>IFERROR(VLOOKUP(Tabla_Consulta_desde_Proyectos10[[#This Row],[PRYcodigo]],Catálogo!A:B,2,FALSE),"Otros")</f>
        <v>Otros</v>
      </c>
      <c r="AE358" t="str">
        <f>IF(LEN(Tabla_Consulta_desde_Proyectos10[[#This Row],[Semana]])&lt;13,"CI",RIGHT(Tabla_Consulta_desde_Proyectos10[[#This Row],[Semana]],4))</f>
        <v>CI</v>
      </c>
    </row>
    <row r="359" spans="1:31" hidden="1">
      <c r="A359" t="s">
        <v>4032</v>
      </c>
      <c r="B359" t="s">
        <v>4907</v>
      </c>
      <c r="C359" t="s">
        <v>4908</v>
      </c>
      <c r="D359" t="s">
        <v>7220</v>
      </c>
      <c r="E359" t="s">
        <v>7195</v>
      </c>
      <c r="F359">
        <v>0</v>
      </c>
      <c r="G359" t="s">
        <v>7233</v>
      </c>
      <c r="L359" s="4"/>
      <c r="O359">
        <v>3000000001829113</v>
      </c>
      <c r="P359" t="s">
        <v>6786</v>
      </c>
      <c r="Q359" t="s">
        <v>7234</v>
      </c>
      <c r="W359" t="str">
        <f>Tabla_Consulta_desde_Proyectos10[[#This Row],[PRYcodigo]]&amp;Tabla_Consulta_desde_Proyectos10[[#This Row],[PRYApath]]</f>
        <v>579-203-REDIMED/0026</v>
      </c>
      <c r="X359" t="str">
        <f>Tabla_Consulta_desde_Proyectos10[[#This Row],[PRYAcodigo]]&amp;" - "&amp;Tabla_Consulta_desde_Proyectos10[[#This Row],[PRYAdescripcion]]</f>
        <v>500.1_RM - ACTIVIDADES DEL EQUIPO DE RELEASE MANAGMENT</v>
      </c>
      <c r="Y359" t="str">
        <f>SUBSTITUTE(IFERROR(VLOOKUP(LEFT(Tabla_Consulta_desde_Proyectos10[[#This Row],[Nivel1]],LEN(Tabla_Consulta_desde_Proyectos10[[#This Row],[Nivel1]])-5),Tabla_Consulta_desde_Proyectos10[[#All],[Nivel1]:[Actividad]],2,FALSE),""),"_","-")</f>
        <v/>
      </c>
      <c r="Z359" t="str">
        <f>IFERROR(VLOOKUP(Tabla_Consulta_desde_Proyectos10[[#This Row],[PRYRAfecha]],'Fechas Mes'!G:J,4,TRUE),"")</f>
        <v/>
      </c>
      <c r="AA359" t="e" cm="1">
        <f t="array" ref="AA359">INDEX('Fechas Mes'!F:F,MATCH(Tabla_Consulta_desde_Proyectos10[[#This Row],[Semana]],'Fechas Mes'!J:J,0),)</f>
        <v>#N/A</v>
      </c>
      <c r="AB359">
        <f>YEAR(Tabla_Consulta_desde_Proyectos10[[#This Row],[PRYRAfecha]])</f>
        <v>1900</v>
      </c>
      <c r="AC359" t="e">
        <f>VLOOKUP(Tabla_Consulta_desde_Proyectos10[[#This Row],[PRYRAfecha]],'Fechas Mes'!G:J,4,TRUE)</f>
        <v>#N/A</v>
      </c>
      <c r="AD359" t="str">
        <f>IFERROR(VLOOKUP(Tabla_Consulta_desde_Proyectos10[[#This Row],[PRYcodigo]],Catálogo!A:B,2,FALSE),"Otros")</f>
        <v>Otros</v>
      </c>
      <c r="AE359" t="str">
        <f>IF(LEN(Tabla_Consulta_desde_Proyectos10[[#This Row],[Semana]])&lt;13,"CI",RIGHT(Tabla_Consulta_desde_Proyectos10[[#This Row],[Semana]],4))</f>
        <v>CI</v>
      </c>
    </row>
    <row r="360" spans="1:31" hidden="1">
      <c r="A360" t="s">
        <v>4032</v>
      </c>
      <c r="B360" t="s">
        <v>4907</v>
      </c>
      <c r="C360" t="s">
        <v>4908</v>
      </c>
      <c r="D360" t="s">
        <v>7220</v>
      </c>
      <c r="E360" t="s">
        <v>7195</v>
      </c>
      <c r="F360">
        <v>0</v>
      </c>
      <c r="G360" t="s">
        <v>7233</v>
      </c>
      <c r="L360" s="4"/>
      <c r="O360">
        <v>3000000001829455</v>
      </c>
      <c r="P360" t="s">
        <v>6790</v>
      </c>
      <c r="Q360" t="s">
        <v>7240</v>
      </c>
      <c r="W360" t="str">
        <f>Tabla_Consulta_desde_Proyectos10[[#This Row],[PRYcodigo]]&amp;Tabla_Consulta_desde_Proyectos10[[#This Row],[PRYApath]]</f>
        <v>579-203-REDIMED/0026</v>
      </c>
      <c r="X360" t="str">
        <f>Tabla_Consulta_desde_Proyectos10[[#This Row],[PRYAcodigo]]&amp;" - "&amp;Tabla_Consulta_desde_Proyectos10[[#This Row],[PRYAdescripcion]]</f>
        <v>500.1_RM - ACTIVIDADES DEL EQUIPO DE RELEASE MANAGMENT</v>
      </c>
      <c r="Y360" t="str">
        <f>SUBSTITUTE(IFERROR(VLOOKUP(LEFT(Tabla_Consulta_desde_Proyectos10[[#This Row],[Nivel1]],LEN(Tabla_Consulta_desde_Proyectos10[[#This Row],[Nivel1]])-5),Tabla_Consulta_desde_Proyectos10[[#All],[Nivel1]:[Actividad]],2,FALSE),""),"_","-")</f>
        <v/>
      </c>
      <c r="Z360" t="str">
        <f>IFERROR(VLOOKUP(Tabla_Consulta_desde_Proyectos10[[#This Row],[PRYRAfecha]],'Fechas Mes'!G:J,4,TRUE),"")</f>
        <v/>
      </c>
      <c r="AA360" t="e" cm="1">
        <f t="array" ref="AA360">INDEX('Fechas Mes'!F:F,MATCH(Tabla_Consulta_desde_Proyectos10[[#This Row],[Semana]],'Fechas Mes'!J:J,0),)</f>
        <v>#N/A</v>
      </c>
      <c r="AB360">
        <f>YEAR(Tabla_Consulta_desde_Proyectos10[[#This Row],[PRYRAfecha]])</f>
        <v>1900</v>
      </c>
      <c r="AC360" t="e">
        <f>VLOOKUP(Tabla_Consulta_desde_Proyectos10[[#This Row],[PRYRAfecha]],'Fechas Mes'!G:J,4,TRUE)</f>
        <v>#N/A</v>
      </c>
      <c r="AD360" t="str">
        <f>IFERROR(VLOOKUP(Tabla_Consulta_desde_Proyectos10[[#This Row],[PRYcodigo]],Catálogo!A:B,2,FALSE),"Otros")</f>
        <v>Otros</v>
      </c>
      <c r="AE360" t="str">
        <f>IF(LEN(Tabla_Consulta_desde_Proyectos10[[#This Row],[Semana]])&lt;13,"CI",RIGHT(Tabla_Consulta_desde_Proyectos10[[#This Row],[Semana]],4))</f>
        <v>CI</v>
      </c>
    </row>
    <row r="361" spans="1:31" hidden="1">
      <c r="A361" t="s">
        <v>4032</v>
      </c>
      <c r="B361" t="s">
        <v>4907</v>
      </c>
      <c r="C361" t="s">
        <v>4908</v>
      </c>
      <c r="D361" t="s">
        <v>7220</v>
      </c>
      <c r="E361" t="s">
        <v>7195</v>
      </c>
      <c r="F361">
        <v>0</v>
      </c>
      <c r="G361" t="s">
        <v>7233</v>
      </c>
      <c r="L361" s="4"/>
      <c r="O361">
        <v>3000000001831844</v>
      </c>
      <c r="P361" t="s">
        <v>6784</v>
      </c>
      <c r="Q361" t="s">
        <v>7214</v>
      </c>
      <c r="W361" t="str">
        <f>Tabla_Consulta_desde_Proyectos10[[#This Row],[PRYcodigo]]&amp;Tabla_Consulta_desde_Proyectos10[[#This Row],[PRYApath]]</f>
        <v>579-203-REDIMED/0026</v>
      </c>
      <c r="X361" t="str">
        <f>Tabla_Consulta_desde_Proyectos10[[#This Row],[PRYAcodigo]]&amp;" - "&amp;Tabla_Consulta_desde_Proyectos10[[#This Row],[PRYAdescripcion]]</f>
        <v>500.1_RM - ACTIVIDADES DEL EQUIPO DE RELEASE MANAGMENT</v>
      </c>
      <c r="Y361" t="str">
        <f>SUBSTITUTE(IFERROR(VLOOKUP(LEFT(Tabla_Consulta_desde_Proyectos10[[#This Row],[Nivel1]],LEN(Tabla_Consulta_desde_Proyectos10[[#This Row],[Nivel1]])-5),Tabla_Consulta_desde_Proyectos10[[#All],[Nivel1]:[Actividad]],2,FALSE),""),"_","-")</f>
        <v/>
      </c>
      <c r="Z361" t="str">
        <f>IFERROR(VLOOKUP(Tabla_Consulta_desde_Proyectos10[[#This Row],[PRYRAfecha]],'Fechas Mes'!G:J,4,TRUE),"")</f>
        <v/>
      </c>
      <c r="AA361" t="e" cm="1">
        <f t="array" ref="AA361">INDEX('Fechas Mes'!F:F,MATCH(Tabla_Consulta_desde_Proyectos10[[#This Row],[Semana]],'Fechas Mes'!J:J,0),)</f>
        <v>#N/A</v>
      </c>
      <c r="AB361">
        <f>YEAR(Tabla_Consulta_desde_Proyectos10[[#This Row],[PRYRAfecha]])</f>
        <v>1900</v>
      </c>
      <c r="AC361" t="e">
        <f>VLOOKUP(Tabla_Consulta_desde_Proyectos10[[#This Row],[PRYRAfecha]],'Fechas Mes'!G:J,4,TRUE)</f>
        <v>#N/A</v>
      </c>
      <c r="AD361" t="str">
        <f>IFERROR(VLOOKUP(Tabla_Consulta_desde_Proyectos10[[#This Row],[PRYcodigo]],Catálogo!A:B,2,FALSE),"Otros")</f>
        <v>Otros</v>
      </c>
      <c r="AE361" t="str">
        <f>IF(LEN(Tabla_Consulta_desde_Proyectos10[[#This Row],[Semana]])&lt;13,"CI",RIGHT(Tabla_Consulta_desde_Proyectos10[[#This Row],[Semana]],4))</f>
        <v>CI</v>
      </c>
    </row>
    <row r="362" spans="1:31" hidden="1">
      <c r="A362" t="s">
        <v>4032</v>
      </c>
      <c r="B362" t="s">
        <v>4907</v>
      </c>
      <c r="C362" t="s">
        <v>4908</v>
      </c>
      <c r="D362" t="s">
        <v>7220</v>
      </c>
      <c r="E362" t="s">
        <v>7195</v>
      </c>
      <c r="F362">
        <v>0</v>
      </c>
      <c r="G362" t="s">
        <v>7233</v>
      </c>
      <c r="L362" s="4"/>
      <c r="O362">
        <v>3000000001831852</v>
      </c>
      <c r="P362" t="s">
        <v>6786</v>
      </c>
      <c r="Q362" t="s">
        <v>7234</v>
      </c>
      <c r="W362" t="str">
        <f>Tabla_Consulta_desde_Proyectos10[[#This Row],[PRYcodigo]]&amp;Tabla_Consulta_desde_Proyectos10[[#This Row],[PRYApath]]</f>
        <v>579-203-REDIMED/0026</v>
      </c>
      <c r="X362" t="str">
        <f>Tabla_Consulta_desde_Proyectos10[[#This Row],[PRYAcodigo]]&amp;" - "&amp;Tabla_Consulta_desde_Proyectos10[[#This Row],[PRYAdescripcion]]</f>
        <v>500.1_RM - ACTIVIDADES DEL EQUIPO DE RELEASE MANAGMENT</v>
      </c>
      <c r="Y362" t="str">
        <f>SUBSTITUTE(IFERROR(VLOOKUP(LEFT(Tabla_Consulta_desde_Proyectos10[[#This Row],[Nivel1]],LEN(Tabla_Consulta_desde_Proyectos10[[#This Row],[Nivel1]])-5),Tabla_Consulta_desde_Proyectos10[[#All],[Nivel1]:[Actividad]],2,FALSE),""),"_","-")</f>
        <v/>
      </c>
      <c r="Z362" t="str">
        <f>IFERROR(VLOOKUP(Tabla_Consulta_desde_Proyectos10[[#This Row],[PRYRAfecha]],'Fechas Mes'!G:J,4,TRUE),"")</f>
        <v/>
      </c>
      <c r="AA362" t="e" cm="1">
        <f t="array" ref="AA362">INDEX('Fechas Mes'!F:F,MATCH(Tabla_Consulta_desde_Proyectos10[[#This Row],[Semana]],'Fechas Mes'!J:J,0),)</f>
        <v>#N/A</v>
      </c>
      <c r="AB362">
        <f>YEAR(Tabla_Consulta_desde_Proyectos10[[#This Row],[PRYRAfecha]])</f>
        <v>1900</v>
      </c>
      <c r="AC362" t="e">
        <f>VLOOKUP(Tabla_Consulta_desde_Proyectos10[[#This Row],[PRYRAfecha]],'Fechas Mes'!G:J,4,TRUE)</f>
        <v>#N/A</v>
      </c>
      <c r="AD362" t="str">
        <f>IFERROR(VLOOKUP(Tabla_Consulta_desde_Proyectos10[[#This Row],[PRYcodigo]],Catálogo!A:B,2,FALSE),"Otros")</f>
        <v>Otros</v>
      </c>
      <c r="AE362" t="str">
        <f>IF(LEN(Tabla_Consulta_desde_Proyectos10[[#This Row],[Semana]])&lt;13,"CI",RIGHT(Tabla_Consulta_desde_Proyectos10[[#This Row],[Semana]],4))</f>
        <v>CI</v>
      </c>
    </row>
    <row r="363" spans="1:31" hidden="1">
      <c r="A363" t="s">
        <v>4032</v>
      </c>
      <c r="B363" t="s">
        <v>4907</v>
      </c>
      <c r="C363" t="s">
        <v>4908</v>
      </c>
      <c r="D363" t="s">
        <v>7220</v>
      </c>
      <c r="E363" t="s">
        <v>7195</v>
      </c>
      <c r="F363">
        <v>0</v>
      </c>
      <c r="G363" t="s">
        <v>7233</v>
      </c>
      <c r="L363" s="4"/>
      <c r="O363">
        <v>3000000001831856</v>
      </c>
      <c r="P363" t="s">
        <v>6784</v>
      </c>
      <c r="Q363" t="s">
        <v>7214</v>
      </c>
      <c r="W363" t="str">
        <f>Tabla_Consulta_desde_Proyectos10[[#This Row],[PRYcodigo]]&amp;Tabla_Consulta_desde_Proyectos10[[#This Row],[PRYApath]]</f>
        <v>579-203-REDIMED/0026</v>
      </c>
      <c r="X363" t="str">
        <f>Tabla_Consulta_desde_Proyectos10[[#This Row],[PRYAcodigo]]&amp;" - "&amp;Tabla_Consulta_desde_Proyectos10[[#This Row],[PRYAdescripcion]]</f>
        <v>500.1_RM - ACTIVIDADES DEL EQUIPO DE RELEASE MANAGMENT</v>
      </c>
      <c r="Y363" t="str">
        <f>SUBSTITUTE(IFERROR(VLOOKUP(LEFT(Tabla_Consulta_desde_Proyectos10[[#This Row],[Nivel1]],LEN(Tabla_Consulta_desde_Proyectos10[[#This Row],[Nivel1]])-5),Tabla_Consulta_desde_Proyectos10[[#All],[Nivel1]:[Actividad]],2,FALSE),""),"_","-")</f>
        <v/>
      </c>
      <c r="Z363" t="str">
        <f>IFERROR(VLOOKUP(Tabla_Consulta_desde_Proyectos10[[#This Row],[PRYRAfecha]],'Fechas Mes'!G:J,4,TRUE),"")</f>
        <v/>
      </c>
      <c r="AA363" t="e" cm="1">
        <f t="array" ref="AA363">INDEX('Fechas Mes'!F:F,MATCH(Tabla_Consulta_desde_Proyectos10[[#This Row],[Semana]],'Fechas Mes'!J:J,0),)</f>
        <v>#N/A</v>
      </c>
      <c r="AB363">
        <f>YEAR(Tabla_Consulta_desde_Proyectos10[[#This Row],[PRYRAfecha]])</f>
        <v>1900</v>
      </c>
      <c r="AC363" t="e">
        <f>VLOOKUP(Tabla_Consulta_desde_Proyectos10[[#This Row],[PRYRAfecha]],'Fechas Mes'!G:J,4,TRUE)</f>
        <v>#N/A</v>
      </c>
      <c r="AD363" t="str">
        <f>IFERROR(VLOOKUP(Tabla_Consulta_desde_Proyectos10[[#This Row],[PRYcodigo]],Catálogo!A:B,2,FALSE),"Otros")</f>
        <v>Otros</v>
      </c>
      <c r="AE363" t="str">
        <f>IF(LEN(Tabla_Consulta_desde_Proyectos10[[#This Row],[Semana]])&lt;13,"CI",RIGHT(Tabla_Consulta_desde_Proyectos10[[#This Row],[Semana]],4))</f>
        <v>CI</v>
      </c>
    </row>
    <row r="364" spans="1:31" hidden="1">
      <c r="A364" t="s">
        <v>4032</v>
      </c>
      <c r="B364" t="s">
        <v>4907</v>
      </c>
      <c r="C364" t="s">
        <v>4908</v>
      </c>
      <c r="D364" t="s">
        <v>7220</v>
      </c>
      <c r="E364" t="s">
        <v>7195</v>
      </c>
      <c r="F364">
        <v>0</v>
      </c>
      <c r="G364" t="s">
        <v>7233</v>
      </c>
      <c r="L364" s="4"/>
      <c r="O364">
        <v>3000000001831869</v>
      </c>
      <c r="P364" t="s">
        <v>6784</v>
      </c>
      <c r="Q364" t="s">
        <v>7214</v>
      </c>
      <c r="W364" t="str">
        <f>Tabla_Consulta_desde_Proyectos10[[#This Row],[PRYcodigo]]&amp;Tabla_Consulta_desde_Proyectos10[[#This Row],[PRYApath]]</f>
        <v>579-203-REDIMED/0026</v>
      </c>
      <c r="X364" t="str">
        <f>Tabla_Consulta_desde_Proyectos10[[#This Row],[PRYAcodigo]]&amp;" - "&amp;Tabla_Consulta_desde_Proyectos10[[#This Row],[PRYAdescripcion]]</f>
        <v>500.1_RM - ACTIVIDADES DEL EQUIPO DE RELEASE MANAGMENT</v>
      </c>
      <c r="Y364" t="str">
        <f>SUBSTITUTE(IFERROR(VLOOKUP(LEFT(Tabla_Consulta_desde_Proyectos10[[#This Row],[Nivel1]],LEN(Tabla_Consulta_desde_Proyectos10[[#This Row],[Nivel1]])-5),Tabla_Consulta_desde_Proyectos10[[#All],[Nivel1]:[Actividad]],2,FALSE),""),"_","-")</f>
        <v/>
      </c>
      <c r="Z364" t="str">
        <f>IFERROR(VLOOKUP(Tabla_Consulta_desde_Proyectos10[[#This Row],[PRYRAfecha]],'Fechas Mes'!G:J,4,TRUE),"")</f>
        <v/>
      </c>
      <c r="AA364" t="e" cm="1">
        <f t="array" ref="AA364">INDEX('Fechas Mes'!F:F,MATCH(Tabla_Consulta_desde_Proyectos10[[#This Row],[Semana]],'Fechas Mes'!J:J,0),)</f>
        <v>#N/A</v>
      </c>
      <c r="AB364">
        <f>YEAR(Tabla_Consulta_desde_Proyectos10[[#This Row],[PRYRAfecha]])</f>
        <v>1900</v>
      </c>
      <c r="AC364" t="e">
        <f>VLOOKUP(Tabla_Consulta_desde_Proyectos10[[#This Row],[PRYRAfecha]],'Fechas Mes'!G:J,4,TRUE)</f>
        <v>#N/A</v>
      </c>
      <c r="AD364" t="str">
        <f>IFERROR(VLOOKUP(Tabla_Consulta_desde_Proyectos10[[#This Row],[PRYcodigo]],Catálogo!A:B,2,FALSE),"Otros")</f>
        <v>Otros</v>
      </c>
      <c r="AE364" t="str">
        <f>IF(LEN(Tabla_Consulta_desde_Proyectos10[[#This Row],[Semana]])&lt;13,"CI",RIGHT(Tabla_Consulta_desde_Proyectos10[[#This Row],[Semana]],4))</f>
        <v>CI</v>
      </c>
    </row>
    <row r="365" spans="1:31" hidden="1">
      <c r="A365" t="s">
        <v>4032</v>
      </c>
      <c r="B365" t="s">
        <v>4907</v>
      </c>
      <c r="C365" t="s">
        <v>4908</v>
      </c>
      <c r="D365" t="s">
        <v>7220</v>
      </c>
      <c r="E365" t="s">
        <v>7195</v>
      </c>
      <c r="F365">
        <v>0</v>
      </c>
      <c r="G365" t="s">
        <v>7233</v>
      </c>
      <c r="L365" s="4"/>
      <c r="O365">
        <v>3000000001831885</v>
      </c>
      <c r="P365" t="s">
        <v>6786</v>
      </c>
      <c r="Q365" t="s">
        <v>7234</v>
      </c>
      <c r="W365" t="str">
        <f>Tabla_Consulta_desde_Proyectos10[[#This Row],[PRYcodigo]]&amp;Tabla_Consulta_desde_Proyectos10[[#This Row],[PRYApath]]</f>
        <v>579-203-REDIMED/0026</v>
      </c>
      <c r="X365" t="str">
        <f>Tabla_Consulta_desde_Proyectos10[[#This Row],[PRYAcodigo]]&amp;" - "&amp;Tabla_Consulta_desde_Proyectos10[[#This Row],[PRYAdescripcion]]</f>
        <v>500.1_RM - ACTIVIDADES DEL EQUIPO DE RELEASE MANAGMENT</v>
      </c>
      <c r="Y365" t="str">
        <f>SUBSTITUTE(IFERROR(VLOOKUP(LEFT(Tabla_Consulta_desde_Proyectos10[[#This Row],[Nivel1]],LEN(Tabla_Consulta_desde_Proyectos10[[#This Row],[Nivel1]])-5),Tabla_Consulta_desde_Proyectos10[[#All],[Nivel1]:[Actividad]],2,FALSE),""),"_","-")</f>
        <v/>
      </c>
      <c r="Z365" t="str">
        <f>IFERROR(VLOOKUP(Tabla_Consulta_desde_Proyectos10[[#This Row],[PRYRAfecha]],'Fechas Mes'!G:J,4,TRUE),"")</f>
        <v/>
      </c>
      <c r="AA365" t="e" cm="1">
        <f t="array" ref="AA365">INDEX('Fechas Mes'!F:F,MATCH(Tabla_Consulta_desde_Proyectos10[[#This Row],[Semana]],'Fechas Mes'!J:J,0),)</f>
        <v>#N/A</v>
      </c>
      <c r="AB365">
        <f>YEAR(Tabla_Consulta_desde_Proyectos10[[#This Row],[PRYRAfecha]])</f>
        <v>1900</v>
      </c>
      <c r="AC365" t="e">
        <f>VLOOKUP(Tabla_Consulta_desde_Proyectos10[[#This Row],[PRYRAfecha]],'Fechas Mes'!G:J,4,TRUE)</f>
        <v>#N/A</v>
      </c>
      <c r="AD365" t="str">
        <f>IFERROR(VLOOKUP(Tabla_Consulta_desde_Proyectos10[[#This Row],[PRYcodigo]],Catálogo!A:B,2,FALSE),"Otros")</f>
        <v>Otros</v>
      </c>
      <c r="AE365" t="str">
        <f>IF(LEN(Tabla_Consulta_desde_Proyectos10[[#This Row],[Semana]])&lt;13,"CI",RIGHT(Tabla_Consulta_desde_Proyectos10[[#This Row],[Semana]],4))</f>
        <v>CI</v>
      </c>
    </row>
    <row r="366" spans="1:31" hidden="1">
      <c r="A366" t="s">
        <v>4032</v>
      </c>
      <c r="B366" t="s">
        <v>4907</v>
      </c>
      <c r="C366" t="s">
        <v>4908</v>
      </c>
      <c r="D366" t="s">
        <v>7220</v>
      </c>
      <c r="E366" t="s">
        <v>7195</v>
      </c>
      <c r="F366">
        <v>0</v>
      </c>
      <c r="G366" t="s">
        <v>7233</v>
      </c>
      <c r="L366" s="4"/>
      <c r="O366">
        <v>3000000001832895</v>
      </c>
      <c r="P366" t="s">
        <v>6784</v>
      </c>
      <c r="Q366" t="s">
        <v>7214</v>
      </c>
      <c r="W366" t="str">
        <f>Tabla_Consulta_desde_Proyectos10[[#This Row],[PRYcodigo]]&amp;Tabla_Consulta_desde_Proyectos10[[#This Row],[PRYApath]]</f>
        <v>579-203-REDIMED/0026</v>
      </c>
      <c r="X366" t="str">
        <f>Tabla_Consulta_desde_Proyectos10[[#This Row],[PRYAcodigo]]&amp;" - "&amp;Tabla_Consulta_desde_Proyectos10[[#This Row],[PRYAdescripcion]]</f>
        <v>500.1_RM - ACTIVIDADES DEL EQUIPO DE RELEASE MANAGMENT</v>
      </c>
      <c r="Y366" t="str">
        <f>SUBSTITUTE(IFERROR(VLOOKUP(LEFT(Tabla_Consulta_desde_Proyectos10[[#This Row],[Nivel1]],LEN(Tabla_Consulta_desde_Proyectos10[[#This Row],[Nivel1]])-5),Tabla_Consulta_desde_Proyectos10[[#All],[Nivel1]:[Actividad]],2,FALSE),""),"_","-")</f>
        <v/>
      </c>
      <c r="Z366" t="str">
        <f>IFERROR(VLOOKUP(Tabla_Consulta_desde_Proyectos10[[#This Row],[PRYRAfecha]],'Fechas Mes'!G:J,4,TRUE),"")</f>
        <v/>
      </c>
      <c r="AA366" t="e" cm="1">
        <f t="array" ref="AA366">INDEX('Fechas Mes'!F:F,MATCH(Tabla_Consulta_desde_Proyectos10[[#This Row],[Semana]],'Fechas Mes'!J:J,0),)</f>
        <v>#N/A</v>
      </c>
      <c r="AB366">
        <f>YEAR(Tabla_Consulta_desde_Proyectos10[[#This Row],[PRYRAfecha]])</f>
        <v>1900</v>
      </c>
      <c r="AC366" t="e">
        <f>VLOOKUP(Tabla_Consulta_desde_Proyectos10[[#This Row],[PRYRAfecha]],'Fechas Mes'!G:J,4,TRUE)</f>
        <v>#N/A</v>
      </c>
      <c r="AD366" t="str">
        <f>IFERROR(VLOOKUP(Tabla_Consulta_desde_Proyectos10[[#This Row],[PRYcodigo]],Catálogo!A:B,2,FALSE),"Otros")</f>
        <v>Otros</v>
      </c>
      <c r="AE366" t="str">
        <f>IF(LEN(Tabla_Consulta_desde_Proyectos10[[#This Row],[Semana]])&lt;13,"CI",RIGHT(Tabla_Consulta_desde_Proyectos10[[#This Row],[Semana]],4))</f>
        <v>CI</v>
      </c>
    </row>
    <row r="367" spans="1:31" hidden="1">
      <c r="A367" t="s">
        <v>4032</v>
      </c>
      <c r="B367" t="s">
        <v>4907</v>
      </c>
      <c r="C367" t="s">
        <v>4908</v>
      </c>
      <c r="D367" t="s">
        <v>7220</v>
      </c>
      <c r="E367" t="s">
        <v>7195</v>
      </c>
      <c r="F367">
        <v>0</v>
      </c>
      <c r="G367" t="s">
        <v>7233</v>
      </c>
      <c r="L367" s="4"/>
      <c r="O367">
        <v>3000000001832899</v>
      </c>
      <c r="P367" t="s">
        <v>6786</v>
      </c>
      <c r="Q367" t="s">
        <v>7234</v>
      </c>
      <c r="W367" t="str">
        <f>Tabla_Consulta_desde_Proyectos10[[#This Row],[PRYcodigo]]&amp;Tabla_Consulta_desde_Proyectos10[[#This Row],[PRYApath]]</f>
        <v>579-203-REDIMED/0026</v>
      </c>
      <c r="X367" t="str">
        <f>Tabla_Consulta_desde_Proyectos10[[#This Row],[PRYAcodigo]]&amp;" - "&amp;Tabla_Consulta_desde_Proyectos10[[#This Row],[PRYAdescripcion]]</f>
        <v>500.1_RM - ACTIVIDADES DEL EQUIPO DE RELEASE MANAGMENT</v>
      </c>
      <c r="Y367" t="str">
        <f>SUBSTITUTE(IFERROR(VLOOKUP(LEFT(Tabla_Consulta_desde_Proyectos10[[#This Row],[Nivel1]],LEN(Tabla_Consulta_desde_Proyectos10[[#This Row],[Nivel1]])-5),Tabla_Consulta_desde_Proyectos10[[#All],[Nivel1]:[Actividad]],2,FALSE),""),"_","-")</f>
        <v/>
      </c>
      <c r="Z367" t="str">
        <f>IFERROR(VLOOKUP(Tabla_Consulta_desde_Proyectos10[[#This Row],[PRYRAfecha]],'Fechas Mes'!G:J,4,TRUE),"")</f>
        <v/>
      </c>
      <c r="AA367" t="e" cm="1">
        <f t="array" ref="AA367">INDEX('Fechas Mes'!F:F,MATCH(Tabla_Consulta_desde_Proyectos10[[#This Row],[Semana]],'Fechas Mes'!J:J,0),)</f>
        <v>#N/A</v>
      </c>
      <c r="AB367">
        <f>YEAR(Tabla_Consulta_desde_Proyectos10[[#This Row],[PRYRAfecha]])</f>
        <v>1900</v>
      </c>
      <c r="AC367" t="e">
        <f>VLOOKUP(Tabla_Consulta_desde_Proyectos10[[#This Row],[PRYRAfecha]],'Fechas Mes'!G:J,4,TRUE)</f>
        <v>#N/A</v>
      </c>
      <c r="AD367" t="str">
        <f>IFERROR(VLOOKUP(Tabla_Consulta_desde_Proyectos10[[#This Row],[PRYcodigo]],Catálogo!A:B,2,FALSE),"Otros")</f>
        <v>Otros</v>
      </c>
      <c r="AE367" t="str">
        <f>IF(LEN(Tabla_Consulta_desde_Proyectos10[[#This Row],[Semana]])&lt;13,"CI",RIGHT(Tabla_Consulta_desde_Proyectos10[[#This Row],[Semana]],4))</f>
        <v>CI</v>
      </c>
    </row>
    <row r="368" spans="1:31" hidden="1">
      <c r="A368" t="s">
        <v>4032</v>
      </c>
      <c r="B368" t="s">
        <v>4907</v>
      </c>
      <c r="C368" t="s">
        <v>4908</v>
      </c>
      <c r="D368" t="s">
        <v>7220</v>
      </c>
      <c r="E368" t="s">
        <v>7195</v>
      </c>
      <c r="F368">
        <v>0</v>
      </c>
      <c r="G368" t="s">
        <v>7233</v>
      </c>
      <c r="L368" s="4"/>
      <c r="O368">
        <v>3000000001832913</v>
      </c>
      <c r="P368" t="s">
        <v>6784</v>
      </c>
      <c r="Q368" t="s">
        <v>7214</v>
      </c>
      <c r="W368" t="str">
        <f>Tabla_Consulta_desde_Proyectos10[[#This Row],[PRYcodigo]]&amp;Tabla_Consulta_desde_Proyectos10[[#This Row],[PRYApath]]</f>
        <v>579-203-REDIMED/0026</v>
      </c>
      <c r="X368" t="str">
        <f>Tabla_Consulta_desde_Proyectos10[[#This Row],[PRYAcodigo]]&amp;" - "&amp;Tabla_Consulta_desde_Proyectos10[[#This Row],[PRYAdescripcion]]</f>
        <v>500.1_RM - ACTIVIDADES DEL EQUIPO DE RELEASE MANAGMENT</v>
      </c>
      <c r="Y368" t="str">
        <f>SUBSTITUTE(IFERROR(VLOOKUP(LEFT(Tabla_Consulta_desde_Proyectos10[[#This Row],[Nivel1]],LEN(Tabla_Consulta_desde_Proyectos10[[#This Row],[Nivel1]])-5),Tabla_Consulta_desde_Proyectos10[[#All],[Nivel1]:[Actividad]],2,FALSE),""),"_","-")</f>
        <v/>
      </c>
      <c r="Z368" t="str">
        <f>IFERROR(VLOOKUP(Tabla_Consulta_desde_Proyectos10[[#This Row],[PRYRAfecha]],'Fechas Mes'!G:J,4,TRUE),"")</f>
        <v/>
      </c>
      <c r="AA368" t="e" cm="1">
        <f t="array" ref="AA368">INDEX('Fechas Mes'!F:F,MATCH(Tabla_Consulta_desde_Proyectos10[[#This Row],[Semana]],'Fechas Mes'!J:J,0),)</f>
        <v>#N/A</v>
      </c>
      <c r="AB368">
        <f>YEAR(Tabla_Consulta_desde_Proyectos10[[#This Row],[PRYRAfecha]])</f>
        <v>1900</v>
      </c>
      <c r="AC368" t="e">
        <f>VLOOKUP(Tabla_Consulta_desde_Proyectos10[[#This Row],[PRYRAfecha]],'Fechas Mes'!G:J,4,TRUE)</f>
        <v>#N/A</v>
      </c>
      <c r="AD368" t="str">
        <f>IFERROR(VLOOKUP(Tabla_Consulta_desde_Proyectos10[[#This Row],[PRYcodigo]],Catálogo!A:B,2,FALSE),"Otros")</f>
        <v>Otros</v>
      </c>
      <c r="AE368" t="str">
        <f>IF(LEN(Tabla_Consulta_desde_Proyectos10[[#This Row],[Semana]])&lt;13,"CI",RIGHT(Tabla_Consulta_desde_Proyectos10[[#This Row],[Semana]],4))</f>
        <v>CI</v>
      </c>
    </row>
    <row r="369" spans="1:31" hidden="1">
      <c r="A369" t="s">
        <v>4032</v>
      </c>
      <c r="B369" t="s">
        <v>4907</v>
      </c>
      <c r="C369" t="s">
        <v>4908</v>
      </c>
      <c r="D369" t="s">
        <v>7220</v>
      </c>
      <c r="E369" t="s">
        <v>7195</v>
      </c>
      <c r="F369">
        <v>0</v>
      </c>
      <c r="G369" t="s">
        <v>7233</v>
      </c>
      <c r="L369" s="4"/>
      <c r="O369">
        <v>3000000001832915</v>
      </c>
      <c r="P369" t="s">
        <v>6786</v>
      </c>
      <c r="Q369" t="s">
        <v>7234</v>
      </c>
      <c r="W369" t="str">
        <f>Tabla_Consulta_desde_Proyectos10[[#This Row],[PRYcodigo]]&amp;Tabla_Consulta_desde_Proyectos10[[#This Row],[PRYApath]]</f>
        <v>579-203-REDIMED/0026</v>
      </c>
      <c r="X369" t="str">
        <f>Tabla_Consulta_desde_Proyectos10[[#This Row],[PRYAcodigo]]&amp;" - "&amp;Tabla_Consulta_desde_Proyectos10[[#This Row],[PRYAdescripcion]]</f>
        <v>500.1_RM - ACTIVIDADES DEL EQUIPO DE RELEASE MANAGMENT</v>
      </c>
      <c r="Y369" t="str">
        <f>SUBSTITUTE(IFERROR(VLOOKUP(LEFT(Tabla_Consulta_desde_Proyectos10[[#This Row],[Nivel1]],LEN(Tabla_Consulta_desde_Proyectos10[[#This Row],[Nivel1]])-5),Tabla_Consulta_desde_Proyectos10[[#All],[Nivel1]:[Actividad]],2,FALSE),""),"_","-")</f>
        <v/>
      </c>
      <c r="Z369" t="str">
        <f>IFERROR(VLOOKUP(Tabla_Consulta_desde_Proyectos10[[#This Row],[PRYRAfecha]],'Fechas Mes'!G:J,4,TRUE),"")</f>
        <v/>
      </c>
      <c r="AA369" t="e" cm="1">
        <f t="array" ref="AA369">INDEX('Fechas Mes'!F:F,MATCH(Tabla_Consulta_desde_Proyectos10[[#This Row],[Semana]],'Fechas Mes'!J:J,0),)</f>
        <v>#N/A</v>
      </c>
      <c r="AB369">
        <f>YEAR(Tabla_Consulta_desde_Proyectos10[[#This Row],[PRYRAfecha]])</f>
        <v>1900</v>
      </c>
      <c r="AC369" t="e">
        <f>VLOOKUP(Tabla_Consulta_desde_Proyectos10[[#This Row],[PRYRAfecha]],'Fechas Mes'!G:J,4,TRUE)</f>
        <v>#N/A</v>
      </c>
      <c r="AD369" t="str">
        <f>IFERROR(VLOOKUP(Tabla_Consulta_desde_Proyectos10[[#This Row],[PRYcodigo]],Catálogo!A:B,2,FALSE),"Otros")</f>
        <v>Otros</v>
      </c>
      <c r="AE369" t="str">
        <f>IF(LEN(Tabla_Consulta_desde_Proyectos10[[#This Row],[Semana]])&lt;13,"CI",RIGHT(Tabla_Consulta_desde_Proyectos10[[#This Row],[Semana]],4))</f>
        <v>CI</v>
      </c>
    </row>
    <row r="370" spans="1:31" hidden="1">
      <c r="A370" t="s">
        <v>4032</v>
      </c>
      <c r="B370" t="s">
        <v>4907</v>
      </c>
      <c r="C370" t="s">
        <v>4908</v>
      </c>
      <c r="D370" t="s">
        <v>7220</v>
      </c>
      <c r="E370" t="s">
        <v>7195</v>
      </c>
      <c r="F370">
        <v>0</v>
      </c>
      <c r="G370" t="s">
        <v>7233</v>
      </c>
      <c r="L370" s="4"/>
      <c r="O370">
        <v>3000000001835737</v>
      </c>
      <c r="P370" t="s">
        <v>6784</v>
      </c>
      <c r="Q370" t="s">
        <v>7214</v>
      </c>
      <c r="W370" t="str">
        <f>Tabla_Consulta_desde_Proyectos10[[#This Row],[PRYcodigo]]&amp;Tabla_Consulta_desde_Proyectos10[[#This Row],[PRYApath]]</f>
        <v>579-203-REDIMED/0026</v>
      </c>
      <c r="X370" t="str">
        <f>Tabla_Consulta_desde_Proyectos10[[#This Row],[PRYAcodigo]]&amp;" - "&amp;Tabla_Consulta_desde_Proyectos10[[#This Row],[PRYAdescripcion]]</f>
        <v>500.1_RM - ACTIVIDADES DEL EQUIPO DE RELEASE MANAGMENT</v>
      </c>
      <c r="Y370" t="str">
        <f>SUBSTITUTE(IFERROR(VLOOKUP(LEFT(Tabla_Consulta_desde_Proyectos10[[#This Row],[Nivel1]],LEN(Tabla_Consulta_desde_Proyectos10[[#This Row],[Nivel1]])-5),Tabla_Consulta_desde_Proyectos10[[#All],[Nivel1]:[Actividad]],2,FALSE),""),"_","-")</f>
        <v/>
      </c>
      <c r="Z370" t="str">
        <f>IFERROR(VLOOKUP(Tabla_Consulta_desde_Proyectos10[[#This Row],[PRYRAfecha]],'Fechas Mes'!G:J,4,TRUE),"")</f>
        <v/>
      </c>
      <c r="AA370" t="e" cm="1">
        <f t="array" ref="AA370">INDEX('Fechas Mes'!F:F,MATCH(Tabla_Consulta_desde_Proyectos10[[#This Row],[Semana]],'Fechas Mes'!J:J,0),)</f>
        <v>#N/A</v>
      </c>
      <c r="AB370">
        <f>YEAR(Tabla_Consulta_desde_Proyectos10[[#This Row],[PRYRAfecha]])</f>
        <v>1900</v>
      </c>
      <c r="AC370" t="e">
        <f>VLOOKUP(Tabla_Consulta_desde_Proyectos10[[#This Row],[PRYRAfecha]],'Fechas Mes'!G:J,4,TRUE)</f>
        <v>#N/A</v>
      </c>
      <c r="AD370" t="str">
        <f>IFERROR(VLOOKUP(Tabla_Consulta_desde_Proyectos10[[#This Row],[PRYcodigo]],Catálogo!A:B,2,FALSE),"Otros")</f>
        <v>Otros</v>
      </c>
      <c r="AE370" t="str">
        <f>IF(LEN(Tabla_Consulta_desde_Proyectos10[[#This Row],[Semana]])&lt;13,"CI",RIGHT(Tabla_Consulta_desde_Proyectos10[[#This Row],[Semana]],4))</f>
        <v>CI</v>
      </c>
    </row>
    <row r="371" spans="1:31" hidden="1">
      <c r="A371" t="s">
        <v>4032</v>
      </c>
      <c r="B371" t="s">
        <v>4907</v>
      </c>
      <c r="C371" t="s">
        <v>4908</v>
      </c>
      <c r="D371" t="s">
        <v>7220</v>
      </c>
      <c r="E371" t="s">
        <v>7195</v>
      </c>
      <c r="F371">
        <v>0</v>
      </c>
      <c r="G371" t="s">
        <v>7233</v>
      </c>
      <c r="L371" s="4"/>
      <c r="O371">
        <v>3000000001835743</v>
      </c>
      <c r="P371" t="s">
        <v>6786</v>
      </c>
      <c r="Q371" t="s">
        <v>7234</v>
      </c>
      <c r="W371" t="str">
        <f>Tabla_Consulta_desde_Proyectos10[[#This Row],[PRYcodigo]]&amp;Tabla_Consulta_desde_Proyectos10[[#This Row],[PRYApath]]</f>
        <v>579-203-REDIMED/0026</v>
      </c>
      <c r="X371" t="str">
        <f>Tabla_Consulta_desde_Proyectos10[[#This Row],[PRYAcodigo]]&amp;" - "&amp;Tabla_Consulta_desde_Proyectos10[[#This Row],[PRYAdescripcion]]</f>
        <v>500.1_RM - ACTIVIDADES DEL EQUIPO DE RELEASE MANAGMENT</v>
      </c>
      <c r="Y371" t="str">
        <f>SUBSTITUTE(IFERROR(VLOOKUP(LEFT(Tabla_Consulta_desde_Proyectos10[[#This Row],[Nivel1]],LEN(Tabla_Consulta_desde_Proyectos10[[#This Row],[Nivel1]])-5),Tabla_Consulta_desde_Proyectos10[[#All],[Nivel1]:[Actividad]],2,FALSE),""),"_","-")</f>
        <v/>
      </c>
      <c r="Z371" t="str">
        <f>IFERROR(VLOOKUP(Tabla_Consulta_desde_Proyectos10[[#This Row],[PRYRAfecha]],'Fechas Mes'!G:J,4,TRUE),"")</f>
        <v/>
      </c>
      <c r="AA371" t="e" cm="1">
        <f t="array" ref="AA371">INDEX('Fechas Mes'!F:F,MATCH(Tabla_Consulta_desde_Proyectos10[[#This Row],[Semana]],'Fechas Mes'!J:J,0),)</f>
        <v>#N/A</v>
      </c>
      <c r="AB371">
        <f>YEAR(Tabla_Consulta_desde_Proyectos10[[#This Row],[PRYRAfecha]])</f>
        <v>1900</v>
      </c>
      <c r="AC371" t="e">
        <f>VLOOKUP(Tabla_Consulta_desde_Proyectos10[[#This Row],[PRYRAfecha]],'Fechas Mes'!G:J,4,TRUE)</f>
        <v>#N/A</v>
      </c>
      <c r="AD371" t="str">
        <f>IFERROR(VLOOKUP(Tabla_Consulta_desde_Proyectos10[[#This Row],[PRYcodigo]],Catálogo!A:B,2,FALSE),"Otros")</f>
        <v>Otros</v>
      </c>
      <c r="AE371" t="str">
        <f>IF(LEN(Tabla_Consulta_desde_Proyectos10[[#This Row],[Semana]])&lt;13,"CI",RIGHT(Tabla_Consulta_desde_Proyectos10[[#This Row],[Semana]],4))</f>
        <v>CI</v>
      </c>
    </row>
    <row r="372" spans="1:31" hidden="1">
      <c r="A372" t="s">
        <v>4032</v>
      </c>
      <c r="B372" t="s">
        <v>4907</v>
      </c>
      <c r="C372" t="s">
        <v>4908</v>
      </c>
      <c r="D372" t="s">
        <v>7220</v>
      </c>
      <c r="E372" t="s">
        <v>7195</v>
      </c>
      <c r="F372">
        <v>0</v>
      </c>
      <c r="G372" t="s">
        <v>7233</v>
      </c>
      <c r="L372" s="4"/>
      <c r="O372">
        <v>3000000001835756</v>
      </c>
      <c r="P372" t="s">
        <v>6784</v>
      </c>
      <c r="Q372" t="s">
        <v>7214</v>
      </c>
      <c r="W372" t="str">
        <f>Tabla_Consulta_desde_Proyectos10[[#This Row],[PRYcodigo]]&amp;Tabla_Consulta_desde_Proyectos10[[#This Row],[PRYApath]]</f>
        <v>579-203-REDIMED/0026</v>
      </c>
      <c r="X372" t="str">
        <f>Tabla_Consulta_desde_Proyectos10[[#This Row],[PRYAcodigo]]&amp;" - "&amp;Tabla_Consulta_desde_Proyectos10[[#This Row],[PRYAdescripcion]]</f>
        <v>500.1_RM - ACTIVIDADES DEL EQUIPO DE RELEASE MANAGMENT</v>
      </c>
      <c r="Y372" t="str">
        <f>SUBSTITUTE(IFERROR(VLOOKUP(LEFT(Tabla_Consulta_desde_Proyectos10[[#This Row],[Nivel1]],LEN(Tabla_Consulta_desde_Proyectos10[[#This Row],[Nivel1]])-5),Tabla_Consulta_desde_Proyectos10[[#All],[Nivel1]:[Actividad]],2,FALSE),""),"_","-")</f>
        <v/>
      </c>
      <c r="Z372" t="str">
        <f>IFERROR(VLOOKUP(Tabla_Consulta_desde_Proyectos10[[#This Row],[PRYRAfecha]],'Fechas Mes'!G:J,4,TRUE),"")</f>
        <v/>
      </c>
      <c r="AA372" t="e" cm="1">
        <f t="array" ref="AA372">INDEX('Fechas Mes'!F:F,MATCH(Tabla_Consulta_desde_Proyectos10[[#This Row],[Semana]],'Fechas Mes'!J:J,0),)</f>
        <v>#N/A</v>
      </c>
      <c r="AB372">
        <f>YEAR(Tabla_Consulta_desde_Proyectos10[[#This Row],[PRYRAfecha]])</f>
        <v>1900</v>
      </c>
      <c r="AC372" t="e">
        <f>VLOOKUP(Tabla_Consulta_desde_Proyectos10[[#This Row],[PRYRAfecha]],'Fechas Mes'!G:J,4,TRUE)</f>
        <v>#N/A</v>
      </c>
      <c r="AD372" t="str">
        <f>IFERROR(VLOOKUP(Tabla_Consulta_desde_Proyectos10[[#This Row],[PRYcodigo]],Catálogo!A:B,2,FALSE),"Otros")</f>
        <v>Otros</v>
      </c>
      <c r="AE372" t="str">
        <f>IF(LEN(Tabla_Consulta_desde_Proyectos10[[#This Row],[Semana]])&lt;13,"CI",RIGHT(Tabla_Consulta_desde_Proyectos10[[#This Row],[Semana]],4))</f>
        <v>CI</v>
      </c>
    </row>
    <row r="373" spans="1:31" hidden="1">
      <c r="A373" t="s">
        <v>4032</v>
      </c>
      <c r="B373" t="s">
        <v>4907</v>
      </c>
      <c r="C373" t="s">
        <v>4908</v>
      </c>
      <c r="D373" t="s">
        <v>7220</v>
      </c>
      <c r="E373" t="s">
        <v>7195</v>
      </c>
      <c r="F373">
        <v>0</v>
      </c>
      <c r="G373" t="s">
        <v>7233</v>
      </c>
      <c r="L373" s="4"/>
      <c r="O373">
        <v>3000000001835760</v>
      </c>
      <c r="P373" t="s">
        <v>6786</v>
      </c>
      <c r="Q373" t="s">
        <v>7234</v>
      </c>
      <c r="W373" t="str">
        <f>Tabla_Consulta_desde_Proyectos10[[#This Row],[PRYcodigo]]&amp;Tabla_Consulta_desde_Proyectos10[[#This Row],[PRYApath]]</f>
        <v>579-203-REDIMED/0026</v>
      </c>
      <c r="X373" t="str">
        <f>Tabla_Consulta_desde_Proyectos10[[#This Row],[PRYAcodigo]]&amp;" - "&amp;Tabla_Consulta_desde_Proyectos10[[#This Row],[PRYAdescripcion]]</f>
        <v>500.1_RM - ACTIVIDADES DEL EQUIPO DE RELEASE MANAGMENT</v>
      </c>
      <c r="Y373" t="str">
        <f>SUBSTITUTE(IFERROR(VLOOKUP(LEFT(Tabla_Consulta_desde_Proyectos10[[#This Row],[Nivel1]],LEN(Tabla_Consulta_desde_Proyectos10[[#This Row],[Nivel1]])-5),Tabla_Consulta_desde_Proyectos10[[#All],[Nivel1]:[Actividad]],2,FALSE),""),"_","-")</f>
        <v/>
      </c>
      <c r="Z373" t="str">
        <f>IFERROR(VLOOKUP(Tabla_Consulta_desde_Proyectos10[[#This Row],[PRYRAfecha]],'Fechas Mes'!G:J,4,TRUE),"")</f>
        <v/>
      </c>
      <c r="AA373" t="e" cm="1">
        <f t="array" ref="AA373">INDEX('Fechas Mes'!F:F,MATCH(Tabla_Consulta_desde_Proyectos10[[#This Row],[Semana]],'Fechas Mes'!J:J,0),)</f>
        <v>#N/A</v>
      </c>
      <c r="AB373">
        <f>YEAR(Tabla_Consulta_desde_Proyectos10[[#This Row],[PRYRAfecha]])</f>
        <v>1900</v>
      </c>
      <c r="AC373" t="e">
        <f>VLOOKUP(Tabla_Consulta_desde_Proyectos10[[#This Row],[PRYRAfecha]],'Fechas Mes'!G:J,4,TRUE)</f>
        <v>#N/A</v>
      </c>
      <c r="AD373" t="str">
        <f>IFERROR(VLOOKUP(Tabla_Consulta_desde_Proyectos10[[#This Row],[PRYcodigo]],Catálogo!A:B,2,FALSE),"Otros")</f>
        <v>Otros</v>
      </c>
      <c r="AE373" t="str">
        <f>IF(LEN(Tabla_Consulta_desde_Proyectos10[[#This Row],[Semana]])&lt;13,"CI",RIGHT(Tabla_Consulta_desde_Proyectos10[[#This Row],[Semana]],4))</f>
        <v>CI</v>
      </c>
    </row>
    <row r="374" spans="1:31" hidden="1">
      <c r="A374" t="s">
        <v>4032</v>
      </c>
      <c r="B374" t="s">
        <v>4907</v>
      </c>
      <c r="C374" t="s">
        <v>4908</v>
      </c>
      <c r="D374" t="s">
        <v>7220</v>
      </c>
      <c r="E374" t="s">
        <v>7195</v>
      </c>
      <c r="F374">
        <v>0</v>
      </c>
      <c r="G374" t="s">
        <v>7233</v>
      </c>
      <c r="L374" s="4"/>
      <c r="O374">
        <v>3000000001835777</v>
      </c>
      <c r="P374" t="s">
        <v>6784</v>
      </c>
      <c r="Q374" t="s">
        <v>7214</v>
      </c>
      <c r="W374" t="str">
        <f>Tabla_Consulta_desde_Proyectos10[[#This Row],[PRYcodigo]]&amp;Tabla_Consulta_desde_Proyectos10[[#This Row],[PRYApath]]</f>
        <v>579-203-REDIMED/0026</v>
      </c>
      <c r="X374" t="str">
        <f>Tabla_Consulta_desde_Proyectos10[[#This Row],[PRYAcodigo]]&amp;" - "&amp;Tabla_Consulta_desde_Proyectos10[[#This Row],[PRYAdescripcion]]</f>
        <v>500.1_RM - ACTIVIDADES DEL EQUIPO DE RELEASE MANAGMENT</v>
      </c>
      <c r="Y374" t="str">
        <f>SUBSTITUTE(IFERROR(VLOOKUP(LEFT(Tabla_Consulta_desde_Proyectos10[[#This Row],[Nivel1]],LEN(Tabla_Consulta_desde_Proyectos10[[#This Row],[Nivel1]])-5),Tabla_Consulta_desde_Proyectos10[[#All],[Nivel1]:[Actividad]],2,FALSE),""),"_","-")</f>
        <v/>
      </c>
      <c r="Z374" t="str">
        <f>IFERROR(VLOOKUP(Tabla_Consulta_desde_Proyectos10[[#This Row],[PRYRAfecha]],'Fechas Mes'!G:J,4,TRUE),"")</f>
        <v/>
      </c>
      <c r="AA374" t="e" cm="1">
        <f t="array" ref="AA374">INDEX('Fechas Mes'!F:F,MATCH(Tabla_Consulta_desde_Proyectos10[[#This Row],[Semana]],'Fechas Mes'!J:J,0),)</f>
        <v>#N/A</v>
      </c>
      <c r="AB374">
        <f>YEAR(Tabla_Consulta_desde_Proyectos10[[#This Row],[PRYRAfecha]])</f>
        <v>1900</v>
      </c>
      <c r="AC374" t="e">
        <f>VLOOKUP(Tabla_Consulta_desde_Proyectos10[[#This Row],[PRYRAfecha]],'Fechas Mes'!G:J,4,TRUE)</f>
        <v>#N/A</v>
      </c>
      <c r="AD374" t="str">
        <f>IFERROR(VLOOKUP(Tabla_Consulta_desde_Proyectos10[[#This Row],[PRYcodigo]],Catálogo!A:B,2,FALSE),"Otros")</f>
        <v>Otros</v>
      </c>
      <c r="AE374" t="str">
        <f>IF(LEN(Tabla_Consulta_desde_Proyectos10[[#This Row],[Semana]])&lt;13,"CI",RIGHT(Tabla_Consulta_desde_Proyectos10[[#This Row],[Semana]],4))</f>
        <v>CI</v>
      </c>
    </row>
    <row r="375" spans="1:31" hidden="1">
      <c r="A375" t="s">
        <v>4032</v>
      </c>
      <c r="B375" t="s">
        <v>4907</v>
      </c>
      <c r="C375" t="s">
        <v>4908</v>
      </c>
      <c r="D375" t="s">
        <v>7220</v>
      </c>
      <c r="E375" t="s">
        <v>7195</v>
      </c>
      <c r="F375">
        <v>0</v>
      </c>
      <c r="G375" t="s">
        <v>7233</v>
      </c>
      <c r="L375" s="4"/>
      <c r="O375">
        <v>3000000001835781</v>
      </c>
      <c r="P375" t="s">
        <v>6786</v>
      </c>
      <c r="Q375" t="s">
        <v>7234</v>
      </c>
      <c r="W375" t="str">
        <f>Tabla_Consulta_desde_Proyectos10[[#This Row],[PRYcodigo]]&amp;Tabla_Consulta_desde_Proyectos10[[#This Row],[PRYApath]]</f>
        <v>579-203-REDIMED/0026</v>
      </c>
      <c r="X375" t="str">
        <f>Tabla_Consulta_desde_Proyectos10[[#This Row],[PRYAcodigo]]&amp;" - "&amp;Tabla_Consulta_desde_Proyectos10[[#This Row],[PRYAdescripcion]]</f>
        <v>500.1_RM - ACTIVIDADES DEL EQUIPO DE RELEASE MANAGMENT</v>
      </c>
      <c r="Y375" t="str">
        <f>SUBSTITUTE(IFERROR(VLOOKUP(LEFT(Tabla_Consulta_desde_Proyectos10[[#This Row],[Nivel1]],LEN(Tabla_Consulta_desde_Proyectos10[[#This Row],[Nivel1]])-5),Tabla_Consulta_desde_Proyectos10[[#All],[Nivel1]:[Actividad]],2,FALSE),""),"_","-")</f>
        <v/>
      </c>
      <c r="Z375" t="str">
        <f>IFERROR(VLOOKUP(Tabla_Consulta_desde_Proyectos10[[#This Row],[PRYRAfecha]],'Fechas Mes'!G:J,4,TRUE),"")</f>
        <v/>
      </c>
      <c r="AA375" t="e" cm="1">
        <f t="array" ref="AA375">INDEX('Fechas Mes'!F:F,MATCH(Tabla_Consulta_desde_Proyectos10[[#This Row],[Semana]],'Fechas Mes'!J:J,0),)</f>
        <v>#N/A</v>
      </c>
      <c r="AB375">
        <f>YEAR(Tabla_Consulta_desde_Proyectos10[[#This Row],[PRYRAfecha]])</f>
        <v>1900</v>
      </c>
      <c r="AC375" t="e">
        <f>VLOOKUP(Tabla_Consulta_desde_Proyectos10[[#This Row],[PRYRAfecha]],'Fechas Mes'!G:J,4,TRUE)</f>
        <v>#N/A</v>
      </c>
      <c r="AD375" t="str">
        <f>IFERROR(VLOOKUP(Tabla_Consulta_desde_Proyectos10[[#This Row],[PRYcodigo]],Catálogo!A:B,2,FALSE),"Otros")</f>
        <v>Otros</v>
      </c>
      <c r="AE375" t="str">
        <f>IF(LEN(Tabla_Consulta_desde_Proyectos10[[#This Row],[Semana]])&lt;13,"CI",RIGHT(Tabla_Consulta_desde_Proyectos10[[#This Row],[Semana]],4))</f>
        <v>CI</v>
      </c>
    </row>
    <row r="376" spans="1:31" hidden="1">
      <c r="A376" t="s">
        <v>4032</v>
      </c>
      <c r="B376" t="s">
        <v>4907</v>
      </c>
      <c r="C376" t="s">
        <v>4908</v>
      </c>
      <c r="D376" t="s">
        <v>7220</v>
      </c>
      <c r="E376" t="s">
        <v>7195</v>
      </c>
      <c r="F376">
        <v>0</v>
      </c>
      <c r="G376" t="s">
        <v>7233</v>
      </c>
      <c r="L376" s="4"/>
      <c r="O376">
        <v>3000000001835798</v>
      </c>
      <c r="P376" t="s">
        <v>6784</v>
      </c>
      <c r="Q376" t="s">
        <v>7214</v>
      </c>
      <c r="W376" t="str">
        <f>Tabla_Consulta_desde_Proyectos10[[#This Row],[PRYcodigo]]&amp;Tabla_Consulta_desde_Proyectos10[[#This Row],[PRYApath]]</f>
        <v>579-203-REDIMED/0026</v>
      </c>
      <c r="X376" t="str">
        <f>Tabla_Consulta_desde_Proyectos10[[#This Row],[PRYAcodigo]]&amp;" - "&amp;Tabla_Consulta_desde_Proyectos10[[#This Row],[PRYAdescripcion]]</f>
        <v>500.1_RM - ACTIVIDADES DEL EQUIPO DE RELEASE MANAGMENT</v>
      </c>
      <c r="Y376" t="str">
        <f>SUBSTITUTE(IFERROR(VLOOKUP(LEFT(Tabla_Consulta_desde_Proyectos10[[#This Row],[Nivel1]],LEN(Tabla_Consulta_desde_Proyectos10[[#This Row],[Nivel1]])-5),Tabla_Consulta_desde_Proyectos10[[#All],[Nivel1]:[Actividad]],2,FALSE),""),"_","-")</f>
        <v/>
      </c>
      <c r="Z376" t="str">
        <f>IFERROR(VLOOKUP(Tabla_Consulta_desde_Proyectos10[[#This Row],[PRYRAfecha]],'Fechas Mes'!G:J,4,TRUE),"")</f>
        <v/>
      </c>
      <c r="AA376" t="e" cm="1">
        <f t="array" ref="AA376">INDEX('Fechas Mes'!F:F,MATCH(Tabla_Consulta_desde_Proyectos10[[#This Row],[Semana]],'Fechas Mes'!J:J,0),)</f>
        <v>#N/A</v>
      </c>
      <c r="AB376">
        <f>YEAR(Tabla_Consulta_desde_Proyectos10[[#This Row],[PRYRAfecha]])</f>
        <v>1900</v>
      </c>
      <c r="AC376" t="e">
        <f>VLOOKUP(Tabla_Consulta_desde_Proyectos10[[#This Row],[PRYRAfecha]],'Fechas Mes'!G:J,4,TRUE)</f>
        <v>#N/A</v>
      </c>
      <c r="AD376" t="str">
        <f>IFERROR(VLOOKUP(Tabla_Consulta_desde_Proyectos10[[#This Row],[PRYcodigo]],Catálogo!A:B,2,FALSE),"Otros")</f>
        <v>Otros</v>
      </c>
      <c r="AE376" t="str">
        <f>IF(LEN(Tabla_Consulta_desde_Proyectos10[[#This Row],[Semana]])&lt;13,"CI",RIGHT(Tabla_Consulta_desde_Proyectos10[[#This Row],[Semana]],4))</f>
        <v>CI</v>
      </c>
    </row>
    <row r="377" spans="1:31" hidden="1">
      <c r="A377" t="s">
        <v>4032</v>
      </c>
      <c r="B377" t="s">
        <v>4907</v>
      </c>
      <c r="C377" t="s">
        <v>4908</v>
      </c>
      <c r="D377" t="s">
        <v>7220</v>
      </c>
      <c r="E377" t="s">
        <v>7195</v>
      </c>
      <c r="F377">
        <v>0</v>
      </c>
      <c r="G377" t="s">
        <v>7233</v>
      </c>
      <c r="L377" s="4"/>
      <c r="O377">
        <v>3000000001835799</v>
      </c>
      <c r="P377" t="s">
        <v>6786</v>
      </c>
      <c r="Q377" t="s">
        <v>7234</v>
      </c>
      <c r="W377" t="str">
        <f>Tabla_Consulta_desde_Proyectos10[[#This Row],[PRYcodigo]]&amp;Tabla_Consulta_desde_Proyectos10[[#This Row],[PRYApath]]</f>
        <v>579-203-REDIMED/0026</v>
      </c>
      <c r="X377" t="str">
        <f>Tabla_Consulta_desde_Proyectos10[[#This Row],[PRYAcodigo]]&amp;" - "&amp;Tabla_Consulta_desde_Proyectos10[[#This Row],[PRYAdescripcion]]</f>
        <v>500.1_RM - ACTIVIDADES DEL EQUIPO DE RELEASE MANAGMENT</v>
      </c>
      <c r="Y377" t="str">
        <f>SUBSTITUTE(IFERROR(VLOOKUP(LEFT(Tabla_Consulta_desde_Proyectos10[[#This Row],[Nivel1]],LEN(Tabla_Consulta_desde_Proyectos10[[#This Row],[Nivel1]])-5),Tabla_Consulta_desde_Proyectos10[[#All],[Nivel1]:[Actividad]],2,FALSE),""),"_","-")</f>
        <v/>
      </c>
      <c r="Z377" t="str">
        <f>IFERROR(VLOOKUP(Tabla_Consulta_desde_Proyectos10[[#This Row],[PRYRAfecha]],'Fechas Mes'!G:J,4,TRUE),"")</f>
        <v/>
      </c>
      <c r="AA377" t="e" cm="1">
        <f t="array" ref="AA377">INDEX('Fechas Mes'!F:F,MATCH(Tabla_Consulta_desde_Proyectos10[[#This Row],[Semana]],'Fechas Mes'!J:J,0),)</f>
        <v>#N/A</v>
      </c>
      <c r="AB377">
        <f>YEAR(Tabla_Consulta_desde_Proyectos10[[#This Row],[PRYRAfecha]])</f>
        <v>1900</v>
      </c>
      <c r="AC377" t="e">
        <f>VLOOKUP(Tabla_Consulta_desde_Proyectos10[[#This Row],[PRYRAfecha]],'Fechas Mes'!G:J,4,TRUE)</f>
        <v>#N/A</v>
      </c>
      <c r="AD377" t="str">
        <f>IFERROR(VLOOKUP(Tabla_Consulta_desde_Proyectos10[[#This Row],[PRYcodigo]],Catálogo!A:B,2,FALSE),"Otros")</f>
        <v>Otros</v>
      </c>
      <c r="AE377" t="str">
        <f>IF(LEN(Tabla_Consulta_desde_Proyectos10[[#This Row],[Semana]])&lt;13,"CI",RIGHT(Tabla_Consulta_desde_Proyectos10[[#This Row],[Semana]],4))</f>
        <v>CI</v>
      </c>
    </row>
    <row r="378" spans="1:31" hidden="1">
      <c r="A378" t="s">
        <v>4032</v>
      </c>
      <c r="B378" t="s">
        <v>4907</v>
      </c>
      <c r="C378" t="s">
        <v>4908</v>
      </c>
      <c r="D378" t="s">
        <v>7220</v>
      </c>
      <c r="E378" t="s">
        <v>7195</v>
      </c>
      <c r="F378">
        <v>0</v>
      </c>
      <c r="G378" t="s">
        <v>7233</v>
      </c>
      <c r="L378" s="4"/>
      <c r="O378">
        <v>3000000001835806</v>
      </c>
      <c r="P378" t="s">
        <v>6786</v>
      </c>
      <c r="Q378" t="s">
        <v>7234</v>
      </c>
      <c r="W378" t="str">
        <f>Tabla_Consulta_desde_Proyectos10[[#This Row],[PRYcodigo]]&amp;Tabla_Consulta_desde_Proyectos10[[#This Row],[PRYApath]]</f>
        <v>579-203-REDIMED/0026</v>
      </c>
      <c r="X378" t="str">
        <f>Tabla_Consulta_desde_Proyectos10[[#This Row],[PRYAcodigo]]&amp;" - "&amp;Tabla_Consulta_desde_Proyectos10[[#This Row],[PRYAdescripcion]]</f>
        <v>500.1_RM - ACTIVIDADES DEL EQUIPO DE RELEASE MANAGMENT</v>
      </c>
      <c r="Y378" t="str">
        <f>SUBSTITUTE(IFERROR(VLOOKUP(LEFT(Tabla_Consulta_desde_Proyectos10[[#This Row],[Nivel1]],LEN(Tabla_Consulta_desde_Proyectos10[[#This Row],[Nivel1]])-5),Tabla_Consulta_desde_Proyectos10[[#All],[Nivel1]:[Actividad]],2,FALSE),""),"_","-")</f>
        <v/>
      </c>
      <c r="Z378" t="str">
        <f>IFERROR(VLOOKUP(Tabla_Consulta_desde_Proyectos10[[#This Row],[PRYRAfecha]],'Fechas Mes'!G:J,4,TRUE),"")</f>
        <v/>
      </c>
      <c r="AA378" t="e" cm="1">
        <f t="array" ref="AA378">INDEX('Fechas Mes'!F:F,MATCH(Tabla_Consulta_desde_Proyectos10[[#This Row],[Semana]],'Fechas Mes'!J:J,0),)</f>
        <v>#N/A</v>
      </c>
      <c r="AB378">
        <f>YEAR(Tabla_Consulta_desde_Proyectos10[[#This Row],[PRYRAfecha]])</f>
        <v>1900</v>
      </c>
      <c r="AC378" t="e">
        <f>VLOOKUP(Tabla_Consulta_desde_Proyectos10[[#This Row],[PRYRAfecha]],'Fechas Mes'!G:J,4,TRUE)</f>
        <v>#N/A</v>
      </c>
      <c r="AD378" t="str">
        <f>IFERROR(VLOOKUP(Tabla_Consulta_desde_Proyectos10[[#This Row],[PRYcodigo]],Catálogo!A:B,2,FALSE),"Otros")</f>
        <v>Otros</v>
      </c>
      <c r="AE378" t="str">
        <f>IF(LEN(Tabla_Consulta_desde_Proyectos10[[#This Row],[Semana]])&lt;13,"CI",RIGHT(Tabla_Consulta_desde_Proyectos10[[#This Row],[Semana]],4))</f>
        <v>CI</v>
      </c>
    </row>
    <row r="379" spans="1:31" hidden="1">
      <c r="A379" t="s">
        <v>4032</v>
      </c>
      <c r="B379" t="s">
        <v>4907</v>
      </c>
      <c r="C379" t="s">
        <v>4908</v>
      </c>
      <c r="D379" t="s">
        <v>7220</v>
      </c>
      <c r="E379" t="s">
        <v>7195</v>
      </c>
      <c r="F379">
        <v>0</v>
      </c>
      <c r="G379" t="s">
        <v>7233</v>
      </c>
      <c r="L379" s="4"/>
      <c r="O379">
        <v>3000000001842352</v>
      </c>
      <c r="P379" t="s">
        <v>6792</v>
      </c>
      <c r="Q379" t="s">
        <v>7553</v>
      </c>
      <c r="W379" t="str">
        <f>Tabla_Consulta_desde_Proyectos10[[#This Row],[PRYcodigo]]&amp;Tabla_Consulta_desde_Proyectos10[[#This Row],[PRYApath]]</f>
        <v>579-203-REDIMED/0026</v>
      </c>
      <c r="X379" t="str">
        <f>Tabla_Consulta_desde_Proyectos10[[#This Row],[PRYAcodigo]]&amp;" - "&amp;Tabla_Consulta_desde_Proyectos10[[#This Row],[PRYAdescripcion]]</f>
        <v>500.1_RM - ACTIVIDADES DEL EQUIPO DE RELEASE MANAGMENT</v>
      </c>
      <c r="Y379" t="str">
        <f>SUBSTITUTE(IFERROR(VLOOKUP(LEFT(Tabla_Consulta_desde_Proyectos10[[#This Row],[Nivel1]],LEN(Tabla_Consulta_desde_Proyectos10[[#This Row],[Nivel1]])-5),Tabla_Consulta_desde_Proyectos10[[#All],[Nivel1]:[Actividad]],2,FALSE),""),"_","-")</f>
        <v/>
      </c>
      <c r="Z379" t="str">
        <f>IFERROR(VLOOKUP(Tabla_Consulta_desde_Proyectos10[[#This Row],[PRYRAfecha]],'Fechas Mes'!G:J,4,TRUE),"")</f>
        <v/>
      </c>
      <c r="AA379" t="e" cm="1">
        <f t="array" ref="AA379">INDEX('Fechas Mes'!F:F,MATCH(Tabla_Consulta_desde_Proyectos10[[#This Row],[Semana]],'Fechas Mes'!J:J,0),)</f>
        <v>#N/A</v>
      </c>
      <c r="AB379">
        <f>YEAR(Tabla_Consulta_desde_Proyectos10[[#This Row],[PRYRAfecha]])</f>
        <v>1900</v>
      </c>
      <c r="AC379" t="e">
        <f>VLOOKUP(Tabla_Consulta_desde_Proyectos10[[#This Row],[PRYRAfecha]],'Fechas Mes'!G:J,4,TRUE)</f>
        <v>#N/A</v>
      </c>
      <c r="AD379" t="str">
        <f>IFERROR(VLOOKUP(Tabla_Consulta_desde_Proyectos10[[#This Row],[PRYcodigo]],Catálogo!A:B,2,FALSE),"Otros")</f>
        <v>Otros</v>
      </c>
      <c r="AE379" t="str">
        <f>IF(LEN(Tabla_Consulta_desde_Proyectos10[[#This Row],[Semana]])&lt;13,"CI",RIGHT(Tabla_Consulta_desde_Proyectos10[[#This Row],[Semana]],4))</f>
        <v>CI</v>
      </c>
    </row>
    <row r="380" spans="1:31">
      <c r="A380" t="s">
        <v>4032</v>
      </c>
      <c r="B380" t="s">
        <v>4907</v>
      </c>
      <c r="C380" t="s">
        <v>4908</v>
      </c>
      <c r="D380" t="s">
        <v>7201</v>
      </c>
      <c r="E380" t="s">
        <v>7202</v>
      </c>
      <c r="F380">
        <v>1</v>
      </c>
      <c r="G380" t="s">
        <v>7235</v>
      </c>
      <c r="H380" t="s">
        <v>642</v>
      </c>
      <c r="I380" t="s">
        <v>643</v>
      </c>
      <c r="J380" t="s">
        <v>917</v>
      </c>
      <c r="K380" t="s">
        <v>918</v>
      </c>
      <c r="L380" s="4">
        <v>46113</v>
      </c>
      <c r="M380" t="s">
        <v>7738</v>
      </c>
      <c r="N380">
        <v>0.75</v>
      </c>
      <c r="O380">
        <v>3000000001822494</v>
      </c>
      <c r="P380" t="s">
        <v>6784</v>
      </c>
      <c r="Q380" t="s">
        <v>7197</v>
      </c>
      <c r="W380" t="str">
        <f>Tabla_Consulta_desde_Proyectos10[[#This Row],[PRYcodigo]]&amp;Tabla_Consulta_desde_Proyectos10[[#This Row],[PRYApath]]</f>
        <v>579-203-REDIMED/0026/0004</v>
      </c>
      <c r="X380" t="str">
        <f>Tabla_Consulta_desde_Proyectos10[[#This Row],[PRYAcodigo]]&amp;" - "&amp;Tabla_Consulta_desde_Proyectos10[[#This Row],[PRYAdescripcion]]</f>
        <v>2 - ADMINISTRACIÓN Y MANTENIMIENTO DE INFRAESTRUCTURA</v>
      </c>
      <c r="Y380" t="str">
        <f>SUBSTITUTE(IFERROR(VLOOKUP(LEFT(Tabla_Consulta_desde_Proyectos10[[#This Row],[Nivel1]],LEN(Tabla_Consulta_desde_Proyectos10[[#This Row],[Nivel1]])-5),Tabla_Consulta_desde_Proyectos10[[#All],[Nivel1]:[Actividad]],2,FALSE),""),"_","-")</f>
        <v>500.1-RM - ACTIVIDADES DEL EQUIPO DE RELEASE MANAGMENT</v>
      </c>
      <c r="Z380" t="str">
        <f>IFERROR(VLOOKUP(Tabla_Consulta_desde_Proyectos10[[#This Row],[PRYRAfecha]],'Fechas Mes'!G:J,4,TRUE),"")</f>
        <v>Semana 48CIP2</v>
      </c>
      <c r="AA380" t="str" cm="1">
        <f t="array" ref="AA380">INDEX('Fechas Mes'!F:F,MATCH(Tabla_Consulta_desde_Proyectos10[[#This Row],[Semana]],'Fechas Mes'!J:J,0),)</f>
        <v>M12CIP2</v>
      </c>
      <c r="AB380">
        <f>YEAR(Tabla_Consulta_desde_Proyectos10[[#This Row],[PRYRAfecha]])</f>
        <v>2026</v>
      </c>
      <c r="AC380" t="str">
        <f>VLOOKUP(Tabla_Consulta_desde_Proyectos10[[#This Row],[PRYRAfecha]],'Fechas Mes'!G:J,4,TRUE)</f>
        <v>Semana 48CIP2</v>
      </c>
      <c r="AD380" t="str">
        <f>IFERROR(VLOOKUP(Tabla_Consulta_desde_Proyectos10[[#This Row],[PRYcodigo]],Catálogo!A:B,2,FALSE),"Otros")</f>
        <v>Otros</v>
      </c>
      <c r="AE380" t="str">
        <f>IF(LEN(Tabla_Consulta_desde_Proyectos10[[#This Row],[Semana]])&lt;13,"CI",RIGHT(Tabla_Consulta_desde_Proyectos10[[#This Row],[Semana]],4))</f>
        <v>CIP2</v>
      </c>
    </row>
    <row r="381" spans="1:31">
      <c r="A381" t="s">
        <v>4032</v>
      </c>
      <c r="B381" t="s">
        <v>4907</v>
      </c>
      <c r="C381" t="s">
        <v>4908</v>
      </c>
      <c r="D381" t="s">
        <v>7201</v>
      </c>
      <c r="E381" t="s">
        <v>7202</v>
      </c>
      <c r="F381">
        <v>1</v>
      </c>
      <c r="G381" t="s">
        <v>7235</v>
      </c>
      <c r="H381" t="s">
        <v>642</v>
      </c>
      <c r="I381" t="s">
        <v>643</v>
      </c>
      <c r="J381" t="s">
        <v>917</v>
      </c>
      <c r="K381" t="s">
        <v>918</v>
      </c>
      <c r="L381" s="4">
        <v>46113</v>
      </c>
      <c r="M381" t="s">
        <v>7739</v>
      </c>
      <c r="N381">
        <v>0.25</v>
      </c>
      <c r="O381">
        <v>3000000001822498</v>
      </c>
      <c r="P381" t="s">
        <v>6784</v>
      </c>
      <c r="Q381" t="s">
        <v>7197</v>
      </c>
      <c r="W381" t="str">
        <f>Tabla_Consulta_desde_Proyectos10[[#This Row],[PRYcodigo]]&amp;Tabla_Consulta_desde_Proyectos10[[#This Row],[PRYApath]]</f>
        <v>579-203-REDIMED/0026/0004</v>
      </c>
      <c r="X381" t="str">
        <f>Tabla_Consulta_desde_Proyectos10[[#This Row],[PRYAcodigo]]&amp;" - "&amp;Tabla_Consulta_desde_Proyectos10[[#This Row],[PRYAdescripcion]]</f>
        <v>2 - ADMINISTRACIÓN Y MANTENIMIENTO DE INFRAESTRUCTURA</v>
      </c>
      <c r="Y381" t="str">
        <f>SUBSTITUTE(IFERROR(VLOOKUP(LEFT(Tabla_Consulta_desde_Proyectos10[[#This Row],[Nivel1]],LEN(Tabla_Consulta_desde_Proyectos10[[#This Row],[Nivel1]])-5),Tabla_Consulta_desde_Proyectos10[[#All],[Nivel1]:[Actividad]],2,FALSE),""),"_","-")</f>
        <v>500.1-RM - ACTIVIDADES DEL EQUIPO DE RELEASE MANAGMENT</v>
      </c>
      <c r="Z381" t="str">
        <f>IFERROR(VLOOKUP(Tabla_Consulta_desde_Proyectos10[[#This Row],[PRYRAfecha]],'Fechas Mes'!G:J,4,TRUE),"")</f>
        <v>Semana 48CIP2</v>
      </c>
      <c r="AA381" t="str" cm="1">
        <f t="array" ref="AA381">INDEX('Fechas Mes'!F:F,MATCH(Tabla_Consulta_desde_Proyectos10[[#This Row],[Semana]],'Fechas Mes'!J:J,0),)</f>
        <v>M12CIP2</v>
      </c>
      <c r="AB381">
        <f>YEAR(Tabla_Consulta_desde_Proyectos10[[#This Row],[PRYRAfecha]])</f>
        <v>2026</v>
      </c>
      <c r="AC381" t="str">
        <f>VLOOKUP(Tabla_Consulta_desde_Proyectos10[[#This Row],[PRYRAfecha]],'Fechas Mes'!G:J,4,TRUE)</f>
        <v>Semana 48CIP2</v>
      </c>
      <c r="AD381" t="str">
        <f>IFERROR(VLOOKUP(Tabla_Consulta_desde_Proyectos10[[#This Row],[PRYcodigo]],Catálogo!A:B,2,FALSE),"Otros")</f>
        <v>Otros</v>
      </c>
      <c r="AE381" t="str">
        <f>IF(LEN(Tabla_Consulta_desde_Proyectos10[[#This Row],[Semana]])&lt;13,"CI",RIGHT(Tabla_Consulta_desde_Proyectos10[[#This Row],[Semana]],4))</f>
        <v>CIP2</v>
      </c>
    </row>
    <row r="382" spans="1:31">
      <c r="A382" t="s">
        <v>4032</v>
      </c>
      <c r="B382" t="s">
        <v>4907</v>
      </c>
      <c r="C382" t="s">
        <v>4908</v>
      </c>
      <c r="D382" t="s">
        <v>7201</v>
      </c>
      <c r="E382" t="s">
        <v>7202</v>
      </c>
      <c r="F382">
        <v>1</v>
      </c>
      <c r="G382" t="s">
        <v>7235</v>
      </c>
      <c r="H382" t="s">
        <v>642</v>
      </c>
      <c r="I382" t="s">
        <v>643</v>
      </c>
      <c r="J382" t="s">
        <v>917</v>
      </c>
      <c r="K382" t="s">
        <v>918</v>
      </c>
      <c r="L382" s="4">
        <v>46118</v>
      </c>
      <c r="M382" t="s">
        <v>7740</v>
      </c>
      <c r="N382">
        <v>1</v>
      </c>
      <c r="O382">
        <v>3000000001824805</v>
      </c>
      <c r="P382" t="s">
        <v>6784</v>
      </c>
      <c r="Q382" t="s">
        <v>7214</v>
      </c>
      <c r="W382" t="str">
        <f>Tabla_Consulta_desde_Proyectos10[[#This Row],[PRYcodigo]]&amp;Tabla_Consulta_desde_Proyectos10[[#This Row],[PRYApath]]</f>
        <v>579-203-REDIMED/0026/0004</v>
      </c>
      <c r="X382" t="str">
        <f>Tabla_Consulta_desde_Proyectos10[[#This Row],[PRYAcodigo]]&amp;" - "&amp;Tabla_Consulta_desde_Proyectos10[[#This Row],[PRYAdescripcion]]</f>
        <v>2 - ADMINISTRACIÓN Y MANTENIMIENTO DE INFRAESTRUCTURA</v>
      </c>
      <c r="Y382" t="str">
        <f>SUBSTITUTE(IFERROR(VLOOKUP(LEFT(Tabla_Consulta_desde_Proyectos10[[#This Row],[Nivel1]],LEN(Tabla_Consulta_desde_Proyectos10[[#This Row],[Nivel1]])-5),Tabla_Consulta_desde_Proyectos10[[#All],[Nivel1]:[Actividad]],2,FALSE),""),"_","-")</f>
        <v>500.1-RM - ACTIVIDADES DEL EQUIPO DE RELEASE MANAGMENT</v>
      </c>
      <c r="Z382" t="str">
        <f>IFERROR(VLOOKUP(Tabla_Consulta_desde_Proyectos10[[#This Row],[PRYRAfecha]],'Fechas Mes'!G:J,4,TRUE),"")</f>
        <v>Semana 48CIP2</v>
      </c>
      <c r="AA382" t="str" cm="1">
        <f t="array" ref="AA382">INDEX('Fechas Mes'!F:F,MATCH(Tabla_Consulta_desde_Proyectos10[[#This Row],[Semana]],'Fechas Mes'!J:J,0),)</f>
        <v>M12CIP2</v>
      </c>
      <c r="AB382">
        <f>YEAR(Tabla_Consulta_desde_Proyectos10[[#This Row],[PRYRAfecha]])</f>
        <v>2026</v>
      </c>
      <c r="AC382" t="str">
        <f>VLOOKUP(Tabla_Consulta_desde_Proyectos10[[#This Row],[PRYRAfecha]],'Fechas Mes'!G:J,4,TRUE)</f>
        <v>Semana 48CIP2</v>
      </c>
      <c r="AD382" t="str">
        <f>IFERROR(VLOOKUP(Tabla_Consulta_desde_Proyectos10[[#This Row],[PRYcodigo]],Catálogo!A:B,2,FALSE),"Otros")</f>
        <v>Otros</v>
      </c>
      <c r="AE382" t="str">
        <f>IF(LEN(Tabla_Consulta_desde_Proyectos10[[#This Row],[Semana]])&lt;13,"CI",RIGHT(Tabla_Consulta_desde_Proyectos10[[#This Row],[Semana]],4))</f>
        <v>CIP2</v>
      </c>
    </row>
    <row r="383" spans="1:31">
      <c r="A383" t="s">
        <v>4032</v>
      </c>
      <c r="B383" t="s">
        <v>4907</v>
      </c>
      <c r="C383" t="s">
        <v>4908</v>
      </c>
      <c r="D383" t="s">
        <v>7201</v>
      </c>
      <c r="E383" t="s">
        <v>7202</v>
      </c>
      <c r="F383">
        <v>1</v>
      </c>
      <c r="G383" t="s">
        <v>7235</v>
      </c>
      <c r="H383" t="s">
        <v>642</v>
      </c>
      <c r="I383" t="s">
        <v>643</v>
      </c>
      <c r="J383" t="s">
        <v>917</v>
      </c>
      <c r="K383" t="s">
        <v>918</v>
      </c>
      <c r="L383" s="4">
        <v>46119</v>
      </c>
      <c r="M383" t="s">
        <v>7236</v>
      </c>
      <c r="N383">
        <v>0.5</v>
      </c>
      <c r="O383">
        <v>3000000001824816</v>
      </c>
      <c r="P383" t="s">
        <v>6784</v>
      </c>
      <c r="Q383" t="s">
        <v>7214</v>
      </c>
      <c r="W383" t="str">
        <f>Tabla_Consulta_desde_Proyectos10[[#This Row],[PRYcodigo]]&amp;Tabla_Consulta_desde_Proyectos10[[#This Row],[PRYApath]]</f>
        <v>579-203-REDIMED/0026/0004</v>
      </c>
      <c r="X383" t="str">
        <f>Tabla_Consulta_desde_Proyectos10[[#This Row],[PRYAcodigo]]&amp;" - "&amp;Tabla_Consulta_desde_Proyectos10[[#This Row],[PRYAdescripcion]]</f>
        <v>2 - ADMINISTRACIÓN Y MANTENIMIENTO DE INFRAESTRUCTURA</v>
      </c>
      <c r="Y383" t="str">
        <f>SUBSTITUTE(IFERROR(VLOOKUP(LEFT(Tabla_Consulta_desde_Proyectos10[[#This Row],[Nivel1]],LEN(Tabla_Consulta_desde_Proyectos10[[#This Row],[Nivel1]])-5),Tabla_Consulta_desde_Proyectos10[[#All],[Nivel1]:[Actividad]],2,FALSE),""),"_","-")</f>
        <v>500.1-RM - ACTIVIDADES DEL EQUIPO DE RELEASE MANAGMENT</v>
      </c>
      <c r="Z383" t="str">
        <f>IFERROR(VLOOKUP(Tabla_Consulta_desde_Proyectos10[[#This Row],[PRYRAfecha]],'Fechas Mes'!G:J,4,TRUE),"")</f>
        <v>Semana 48CIP2</v>
      </c>
      <c r="AA383" t="str" cm="1">
        <f t="array" ref="AA383">INDEX('Fechas Mes'!F:F,MATCH(Tabla_Consulta_desde_Proyectos10[[#This Row],[Semana]],'Fechas Mes'!J:J,0),)</f>
        <v>M12CIP2</v>
      </c>
      <c r="AB383">
        <f>YEAR(Tabla_Consulta_desde_Proyectos10[[#This Row],[PRYRAfecha]])</f>
        <v>2026</v>
      </c>
      <c r="AC383" t="str">
        <f>VLOOKUP(Tabla_Consulta_desde_Proyectos10[[#This Row],[PRYRAfecha]],'Fechas Mes'!G:J,4,TRUE)</f>
        <v>Semana 48CIP2</v>
      </c>
      <c r="AD383" t="str">
        <f>IFERROR(VLOOKUP(Tabla_Consulta_desde_Proyectos10[[#This Row],[PRYcodigo]],Catálogo!A:B,2,FALSE),"Otros")</f>
        <v>Otros</v>
      </c>
      <c r="AE383" t="str">
        <f>IF(LEN(Tabla_Consulta_desde_Proyectos10[[#This Row],[Semana]])&lt;13,"CI",RIGHT(Tabla_Consulta_desde_Proyectos10[[#This Row],[Semana]],4))</f>
        <v>CIP2</v>
      </c>
    </row>
    <row r="384" spans="1:31">
      <c r="A384" t="s">
        <v>4032</v>
      </c>
      <c r="B384" t="s">
        <v>4907</v>
      </c>
      <c r="C384" t="s">
        <v>4908</v>
      </c>
      <c r="D384" t="s">
        <v>7201</v>
      </c>
      <c r="E384" t="s">
        <v>7202</v>
      </c>
      <c r="F384">
        <v>1</v>
      </c>
      <c r="G384" t="s">
        <v>7235</v>
      </c>
      <c r="H384" t="s">
        <v>642</v>
      </c>
      <c r="I384" t="s">
        <v>643</v>
      </c>
      <c r="J384" t="s">
        <v>917</v>
      </c>
      <c r="K384" t="s">
        <v>918</v>
      </c>
      <c r="L384" s="4">
        <v>46120</v>
      </c>
      <c r="M384" t="s">
        <v>7741</v>
      </c>
      <c r="N384">
        <v>0.75</v>
      </c>
      <c r="O384">
        <v>3000000001824828</v>
      </c>
      <c r="P384" t="s">
        <v>6784</v>
      </c>
      <c r="Q384" t="s">
        <v>7214</v>
      </c>
      <c r="W384" t="str">
        <f>Tabla_Consulta_desde_Proyectos10[[#This Row],[PRYcodigo]]&amp;Tabla_Consulta_desde_Proyectos10[[#This Row],[PRYApath]]</f>
        <v>579-203-REDIMED/0026/0004</v>
      </c>
      <c r="X384" t="str">
        <f>Tabla_Consulta_desde_Proyectos10[[#This Row],[PRYAcodigo]]&amp;" - "&amp;Tabla_Consulta_desde_Proyectos10[[#This Row],[PRYAdescripcion]]</f>
        <v>2 - ADMINISTRACIÓN Y MANTENIMIENTO DE INFRAESTRUCTURA</v>
      </c>
      <c r="Y384" t="str">
        <f>SUBSTITUTE(IFERROR(VLOOKUP(LEFT(Tabla_Consulta_desde_Proyectos10[[#This Row],[Nivel1]],LEN(Tabla_Consulta_desde_Proyectos10[[#This Row],[Nivel1]])-5),Tabla_Consulta_desde_Proyectos10[[#All],[Nivel1]:[Actividad]],2,FALSE),""),"_","-")</f>
        <v>500.1-RM - ACTIVIDADES DEL EQUIPO DE RELEASE MANAGMENT</v>
      </c>
      <c r="Z384" t="str">
        <f>IFERROR(VLOOKUP(Tabla_Consulta_desde_Proyectos10[[#This Row],[PRYRAfecha]],'Fechas Mes'!G:J,4,TRUE),"")</f>
        <v>Semana 48CIP2</v>
      </c>
      <c r="AA384" t="str" cm="1">
        <f t="array" ref="AA384">INDEX('Fechas Mes'!F:F,MATCH(Tabla_Consulta_desde_Proyectos10[[#This Row],[Semana]],'Fechas Mes'!J:J,0),)</f>
        <v>M12CIP2</v>
      </c>
      <c r="AB384">
        <f>YEAR(Tabla_Consulta_desde_Proyectos10[[#This Row],[PRYRAfecha]])</f>
        <v>2026</v>
      </c>
      <c r="AC384" t="str">
        <f>VLOOKUP(Tabla_Consulta_desde_Proyectos10[[#This Row],[PRYRAfecha]],'Fechas Mes'!G:J,4,TRUE)</f>
        <v>Semana 48CIP2</v>
      </c>
      <c r="AD384" t="str">
        <f>IFERROR(VLOOKUP(Tabla_Consulta_desde_Proyectos10[[#This Row],[PRYcodigo]],Catálogo!A:B,2,FALSE),"Otros")</f>
        <v>Otros</v>
      </c>
      <c r="AE384" t="str">
        <f>IF(LEN(Tabla_Consulta_desde_Proyectos10[[#This Row],[Semana]])&lt;13,"CI",RIGHT(Tabla_Consulta_desde_Proyectos10[[#This Row],[Semana]],4))</f>
        <v>CIP2</v>
      </c>
    </row>
    <row r="385" spans="1:31">
      <c r="A385" t="s">
        <v>4032</v>
      </c>
      <c r="B385" t="s">
        <v>4907</v>
      </c>
      <c r="C385" t="s">
        <v>4908</v>
      </c>
      <c r="D385" t="s">
        <v>7201</v>
      </c>
      <c r="E385" t="s">
        <v>7202</v>
      </c>
      <c r="F385">
        <v>1</v>
      </c>
      <c r="G385" t="s">
        <v>7235</v>
      </c>
      <c r="H385" t="s">
        <v>642</v>
      </c>
      <c r="I385" t="s">
        <v>643</v>
      </c>
      <c r="J385" t="s">
        <v>917</v>
      </c>
      <c r="K385" t="s">
        <v>918</v>
      </c>
      <c r="L385" s="4">
        <v>46121</v>
      </c>
      <c r="M385" t="s">
        <v>7247</v>
      </c>
      <c r="N385">
        <v>0.5</v>
      </c>
      <c r="O385">
        <v>3000000001824840</v>
      </c>
      <c r="P385" t="s">
        <v>6784</v>
      </c>
      <c r="Q385" t="s">
        <v>7214</v>
      </c>
      <c r="W385" t="str">
        <f>Tabla_Consulta_desde_Proyectos10[[#This Row],[PRYcodigo]]&amp;Tabla_Consulta_desde_Proyectos10[[#This Row],[PRYApath]]</f>
        <v>579-203-REDIMED/0026/0004</v>
      </c>
      <c r="X385" t="str">
        <f>Tabla_Consulta_desde_Proyectos10[[#This Row],[PRYAcodigo]]&amp;" - "&amp;Tabla_Consulta_desde_Proyectos10[[#This Row],[PRYAdescripcion]]</f>
        <v>2 - ADMINISTRACIÓN Y MANTENIMIENTO DE INFRAESTRUCTURA</v>
      </c>
      <c r="Y385" t="str">
        <f>SUBSTITUTE(IFERROR(VLOOKUP(LEFT(Tabla_Consulta_desde_Proyectos10[[#This Row],[Nivel1]],LEN(Tabla_Consulta_desde_Proyectos10[[#This Row],[Nivel1]])-5),Tabla_Consulta_desde_Proyectos10[[#All],[Nivel1]:[Actividad]],2,FALSE),""),"_","-")</f>
        <v>500.1-RM - ACTIVIDADES DEL EQUIPO DE RELEASE MANAGMENT</v>
      </c>
      <c r="Z385" t="str">
        <f>IFERROR(VLOOKUP(Tabla_Consulta_desde_Proyectos10[[#This Row],[PRYRAfecha]],'Fechas Mes'!G:J,4,TRUE),"")</f>
        <v>Semana 48CIP2</v>
      </c>
      <c r="AA385" t="str" cm="1">
        <f t="array" ref="AA385">INDEX('Fechas Mes'!F:F,MATCH(Tabla_Consulta_desde_Proyectos10[[#This Row],[Semana]],'Fechas Mes'!J:J,0),)</f>
        <v>M12CIP2</v>
      </c>
      <c r="AB385">
        <f>YEAR(Tabla_Consulta_desde_Proyectos10[[#This Row],[PRYRAfecha]])</f>
        <v>2026</v>
      </c>
      <c r="AC385" t="str">
        <f>VLOOKUP(Tabla_Consulta_desde_Proyectos10[[#This Row],[PRYRAfecha]],'Fechas Mes'!G:J,4,TRUE)</f>
        <v>Semana 48CIP2</v>
      </c>
      <c r="AD385" t="str">
        <f>IFERROR(VLOOKUP(Tabla_Consulta_desde_Proyectos10[[#This Row],[PRYcodigo]],Catálogo!A:B,2,FALSE),"Otros")</f>
        <v>Otros</v>
      </c>
      <c r="AE385" t="str">
        <f>IF(LEN(Tabla_Consulta_desde_Proyectos10[[#This Row],[Semana]])&lt;13,"CI",RIGHT(Tabla_Consulta_desde_Proyectos10[[#This Row],[Semana]],4))</f>
        <v>CIP2</v>
      </c>
    </row>
    <row r="386" spans="1:31">
      <c r="A386" t="s">
        <v>4032</v>
      </c>
      <c r="B386" t="s">
        <v>4907</v>
      </c>
      <c r="C386" t="s">
        <v>4908</v>
      </c>
      <c r="D386" t="s">
        <v>7201</v>
      </c>
      <c r="E386" t="s">
        <v>7202</v>
      </c>
      <c r="F386">
        <v>1</v>
      </c>
      <c r="G386" t="s">
        <v>7235</v>
      </c>
      <c r="H386" t="s">
        <v>642</v>
      </c>
      <c r="I386" t="s">
        <v>643</v>
      </c>
      <c r="J386" t="s">
        <v>917</v>
      </c>
      <c r="K386" t="s">
        <v>918</v>
      </c>
      <c r="L386" s="4">
        <v>46122</v>
      </c>
      <c r="M386" t="s">
        <v>7247</v>
      </c>
      <c r="N386">
        <v>0.5</v>
      </c>
      <c r="O386">
        <v>3000000001824850</v>
      </c>
      <c r="P386" t="s">
        <v>6784</v>
      </c>
      <c r="Q386" t="s">
        <v>7214</v>
      </c>
      <c r="W386" t="str">
        <f>Tabla_Consulta_desde_Proyectos10[[#This Row],[PRYcodigo]]&amp;Tabla_Consulta_desde_Proyectos10[[#This Row],[PRYApath]]</f>
        <v>579-203-REDIMED/0026/0004</v>
      </c>
      <c r="X386" t="str">
        <f>Tabla_Consulta_desde_Proyectos10[[#This Row],[PRYAcodigo]]&amp;" - "&amp;Tabla_Consulta_desde_Proyectos10[[#This Row],[PRYAdescripcion]]</f>
        <v>2 - ADMINISTRACIÓN Y MANTENIMIENTO DE INFRAESTRUCTURA</v>
      </c>
      <c r="Y386" t="str">
        <f>SUBSTITUTE(IFERROR(VLOOKUP(LEFT(Tabla_Consulta_desde_Proyectos10[[#This Row],[Nivel1]],LEN(Tabla_Consulta_desde_Proyectos10[[#This Row],[Nivel1]])-5),Tabla_Consulta_desde_Proyectos10[[#All],[Nivel1]:[Actividad]],2,FALSE),""),"_","-")</f>
        <v>500.1-RM - ACTIVIDADES DEL EQUIPO DE RELEASE MANAGMENT</v>
      </c>
      <c r="Z386" t="str">
        <f>IFERROR(VLOOKUP(Tabla_Consulta_desde_Proyectos10[[#This Row],[PRYRAfecha]],'Fechas Mes'!G:J,4,TRUE),"")</f>
        <v>Semana 48CIP2</v>
      </c>
      <c r="AA386" t="str" cm="1">
        <f t="array" ref="AA386">INDEX('Fechas Mes'!F:F,MATCH(Tabla_Consulta_desde_Proyectos10[[#This Row],[Semana]],'Fechas Mes'!J:J,0),)</f>
        <v>M12CIP2</v>
      </c>
      <c r="AB386">
        <f>YEAR(Tabla_Consulta_desde_Proyectos10[[#This Row],[PRYRAfecha]])</f>
        <v>2026</v>
      </c>
      <c r="AC386" t="str">
        <f>VLOOKUP(Tabla_Consulta_desde_Proyectos10[[#This Row],[PRYRAfecha]],'Fechas Mes'!G:J,4,TRUE)</f>
        <v>Semana 48CIP2</v>
      </c>
      <c r="AD386" t="str">
        <f>IFERROR(VLOOKUP(Tabla_Consulta_desde_Proyectos10[[#This Row],[PRYcodigo]],Catálogo!A:B,2,FALSE),"Otros")</f>
        <v>Otros</v>
      </c>
      <c r="AE386" t="str">
        <f>IF(LEN(Tabla_Consulta_desde_Proyectos10[[#This Row],[Semana]])&lt;13,"CI",RIGHT(Tabla_Consulta_desde_Proyectos10[[#This Row],[Semana]],4))</f>
        <v>CIP2</v>
      </c>
    </row>
    <row r="387" spans="1:31">
      <c r="A387" t="s">
        <v>4032</v>
      </c>
      <c r="B387" t="s">
        <v>4907</v>
      </c>
      <c r="C387" t="s">
        <v>4908</v>
      </c>
      <c r="D387" t="s">
        <v>7201</v>
      </c>
      <c r="E387" t="s">
        <v>7202</v>
      </c>
      <c r="F387">
        <v>1</v>
      </c>
      <c r="G387" t="s">
        <v>7235</v>
      </c>
      <c r="H387" t="s">
        <v>642</v>
      </c>
      <c r="I387" t="s">
        <v>643</v>
      </c>
      <c r="J387" t="s">
        <v>917</v>
      </c>
      <c r="K387" t="s">
        <v>918</v>
      </c>
      <c r="L387" s="4">
        <v>46125</v>
      </c>
      <c r="M387" t="s">
        <v>7740</v>
      </c>
      <c r="N387">
        <v>0.75</v>
      </c>
      <c r="O387">
        <v>3000000001828900</v>
      </c>
      <c r="P387" t="s">
        <v>6784</v>
      </c>
      <c r="Q387" t="s">
        <v>7214</v>
      </c>
      <c r="W387" t="str">
        <f>Tabla_Consulta_desde_Proyectos10[[#This Row],[PRYcodigo]]&amp;Tabla_Consulta_desde_Proyectos10[[#This Row],[PRYApath]]</f>
        <v>579-203-REDIMED/0026/0004</v>
      </c>
      <c r="X387" t="str">
        <f>Tabla_Consulta_desde_Proyectos10[[#This Row],[PRYAcodigo]]&amp;" - "&amp;Tabla_Consulta_desde_Proyectos10[[#This Row],[PRYAdescripcion]]</f>
        <v>2 - ADMINISTRACIÓN Y MANTENIMIENTO DE INFRAESTRUCTURA</v>
      </c>
      <c r="Y387" t="str">
        <f>SUBSTITUTE(IFERROR(VLOOKUP(LEFT(Tabla_Consulta_desde_Proyectos10[[#This Row],[Nivel1]],LEN(Tabla_Consulta_desde_Proyectos10[[#This Row],[Nivel1]])-5),Tabla_Consulta_desde_Proyectos10[[#All],[Nivel1]:[Actividad]],2,FALSE),""),"_","-")</f>
        <v>500.1-RM - ACTIVIDADES DEL EQUIPO DE RELEASE MANAGMENT</v>
      </c>
      <c r="Z387" t="str">
        <f>IFERROR(VLOOKUP(Tabla_Consulta_desde_Proyectos10[[#This Row],[PRYRAfecha]],'Fechas Mes'!G:J,4,TRUE),"")</f>
        <v>Semana 48CIP2</v>
      </c>
      <c r="AA387" t="str" cm="1">
        <f t="array" ref="AA387">INDEX('Fechas Mes'!F:F,MATCH(Tabla_Consulta_desde_Proyectos10[[#This Row],[Semana]],'Fechas Mes'!J:J,0),)</f>
        <v>M12CIP2</v>
      </c>
      <c r="AB387">
        <f>YEAR(Tabla_Consulta_desde_Proyectos10[[#This Row],[PRYRAfecha]])</f>
        <v>2026</v>
      </c>
      <c r="AC387" t="str">
        <f>VLOOKUP(Tabla_Consulta_desde_Proyectos10[[#This Row],[PRYRAfecha]],'Fechas Mes'!G:J,4,TRUE)</f>
        <v>Semana 48CIP2</v>
      </c>
      <c r="AD387" t="str">
        <f>IFERROR(VLOOKUP(Tabla_Consulta_desde_Proyectos10[[#This Row],[PRYcodigo]],Catálogo!A:B,2,FALSE),"Otros")</f>
        <v>Otros</v>
      </c>
      <c r="AE387" t="str">
        <f>IF(LEN(Tabla_Consulta_desde_Proyectos10[[#This Row],[Semana]])&lt;13,"CI",RIGHT(Tabla_Consulta_desde_Proyectos10[[#This Row],[Semana]],4))</f>
        <v>CIP2</v>
      </c>
    </row>
    <row r="388" spans="1:31">
      <c r="A388" t="s">
        <v>4032</v>
      </c>
      <c r="B388" t="s">
        <v>4907</v>
      </c>
      <c r="C388" t="s">
        <v>4908</v>
      </c>
      <c r="D388" t="s">
        <v>7201</v>
      </c>
      <c r="E388" t="s">
        <v>7202</v>
      </c>
      <c r="F388">
        <v>1</v>
      </c>
      <c r="G388" t="s">
        <v>7235</v>
      </c>
      <c r="H388" t="s">
        <v>642</v>
      </c>
      <c r="I388" t="s">
        <v>643</v>
      </c>
      <c r="J388" t="s">
        <v>917</v>
      </c>
      <c r="K388" t="s">
        <v>918</v>
      </c>
      <c r="L388" s="4">
        <v>46126</v>
      </c>
      <c r="M388" t="s">
        <v>7741</v>
      </c>
      <c r="N388">
        <v>0.75</v>
      </c>
      <c r="O388">
        <v>3000000001828927</v>
      </c>
      <c r="P388" t="s">
        <v>6784</v>
      </c>
      <c r="Q388" t="s">
        <v>7214</v>
      </c>
      <c r="W388" t="str">
        <f>Tabla_Consulta_desde_Proyectos10[[#This Row],[PRYcodigo]]&amp;Tabla_Consulta_desde_Proyectos10[[#This Row],[PRYApath]]</f>
        <v>579-203-REDIMED/0026/0004</v>
      </c>
      <c r="X388" t="str">
        <f>Tabla_Consulta_desde_Proyectos10[[#This Row],[PRYAcodigo]]&amp;" - "&amp;Tabla_Consulta_desde_Proyectos10[[#This Row],[PRYAdescripcion]]</f>
        <v>2 - ADMINISTRACIÓN Y MANTENIMIENTO DE INFRAESTRUCTURA</v>
      </c>
      <c r="Y388" t="str">
        <f>SUBSTITUTE(IFERROR(VLOOKUP(LEFT(Tabla_Consulta_desde_Proyectos10[[#This Row],[Nivel1]],LEN(Tabla_Consulta_desde_Proyectos10[[#This Row],[Nivel1]])-5),Tabla_Consulta_desde_Proyectos10[[#All],[Nivel1]:[Actividad]],2,FALSE),""),"_","-")</f>
        <v>500.1-RM - ACTIVIDADES DEL EQUIPO DE RELEASE MANAGMENT</v>
      </c>
      <c r="Z388" t="str">
        <f>IFERROR(VLOOKUP(Tabla_Consulta_desde_Proyectos10[[#This Row],[PRYRAfecha]],'Fechas Mes'!G:J,4,TRUE),"")</f>
        <v>Semana 48CIP2</v>
      </c>
      <c r="AA388" t="str" cm="1">
        <f t="array" ref="AA388">INDEX('Fechas Mes'!F:F,MATCH(Tabla_Consulta_desde_Proyectos10[[#This Row],[Semana]],'Fechas Mes'!J:J,0),)</f>
        <v>M12CIP2</v>
      </c>
      <c r="AB388">
        <f>YEAR(Tabla_Consulta_desde_Proyectos10[[#This Row],[PRYRAfecha]])</f>
        <v>2026</v>
      </c>
      <c r="AC388" t="str">
        <f>VLOOKUP(Tabla_Consulta_desde_Proyectos10[[#This Row],[PRYRAfecha]],'Fechas Mes'!G:J,4,TRUE)</f>
        <v>Semana 48CIP2</v>
      </c>
      <c r="AD388" t="str">
        <f>IFERROR(VLOOKUP(Tabla_Consulta_desde_Proyectos10[[#This Row],[PRYcodigo]],Catálogo!A:B,2,FALSE),"Otros")</f>
        <v>Otros</v>
      </c>
      <c r="AE388" t="str">
        <f>IF(LEN(Tabla_Consulta_desde_Proyectos10[[#This Row],[Semana]])&lt;13,"CI",RIGHT(Tabla_Consulta_desde_Proyectos10[[#This Row],[Semana]],4))</f>
        <v>CIP2</v>
      </c>
    </row>
    <row r="389" spans="1:31">
      <c r="A389" t="s">
        <v>4032</v>
      </c>
      <c r="B389" t="s">
        <v>4907</v>
      </c>
      <c r="C389" t="s">
        <v>4908</v>
      </c>
      <c r="D389" t="s">
        <v>7201</v>
      </c>
      <c r="E389" t="s">
        <v>7202</v>
      </c>
      <c r="F389">
        <v>1</v>
      </c>
      <c r="G389" t="s">
        <v>7235</v>
      </c>
      <c r="H389" t="s">
        <v>642</v>
      </c>
      <c r="I389" t="s">
        <v>643</v>
      </c>
      <c r="J389" t="s">
        <v>917</v>
      </c>
      <c r="K389" t="s">
        <v>918</v>
      </c>
      <c r="L389" s="4">
        <v>46127</v>
      </c>
      <c r="M389" t="s">
        <v>7742</v>
      </c>
      <c r="N389">
        <v>0.5</v>
      </c>
      <c r="O389">
        <v>3000000001828963</v>
      </c>
      <c r="P389" t="s">
        <v>6784</v>
      </c>
      <c r="Q389" t="s">
        <v>7214</v>
      </c>
      <c r="W389" t="str">
        <f>Tabla_Consulta_desde_Proyectos10[[#This Row],[PRYcodigo]]&amp;Tabla_Consulta_desde_Proyectos10[[#This Row],[PRYApath]]</f>
        <v>579-203-REDIMED/0026/0004</v>
      </c>
      <c r="X389" t="str">
        <f>Tabla_Consulta_desde_Proyectos10[[#This Row],[PRYAcodigo]]&amp;" - "&amp;Tabla_Consulta_desde_Proyectos10[[#This Row],[PRYAdescripcion]]</f>
        <v>2 - ADMINISTRACIÓN Y MANTENIMIENTO DE INFRAESTRUCTURA</v>
      </c>
      <c r="Y389" t="str">
        <f>SUBSTITUTE(IFERROR(VLOOKUP(LEFT(Tabla_Consulta_desde_Proyectos10[[#This Row],[Nivel1]],LEN(Tabla_Consulta_desde_Proyectos10[[#This Row],[Nivel1]])-5),Tabla_Consulta_desde_Proyectos10[[#All],[Nivel1]:[Actividad]],2,FALSE),""),"_","-")</f>
        <v>500.1-RM - ACTIVIDADES DEL EQUIPO DE RELEASE MANAGMENT</v>
      </c>
      <c r="Z389" t="str">
        <f>IFERROR(VLOOKUP(Tabla_Consulta_desde_Proyectos10[[#This Row],[PRYRAfecha]],'Fechas Mes'!G:J,4,TRUE),"")</f>
        <v>Semana 48CIP2</v>
      </c>
      <c r="AA389" t="str" cm="1">
        <f t="array" ref="AA389">INDEX('Fechas Mes'!F:F,MATCH(Tabla_Consulta_desde_Proyectos10[[#This Row],[Semana]],'Fechas Mes'!J:J,0),)</f>
        <v>M12CIP2</v>
      </c>
      <c r="AB389">
        <f>YEAR(Tabla_Consulta_desde_Proyectos10[[#This Row],[PRYRAfecha]])</f>
        <v>2026</v>
      </c>
      <c r="AC389" t="str">
        <f>VLOOKUP(Tabla_Consulta_desde_Proyectos10[[#This Row],[PRYRAfecha]],'Fechas Mes'!G:J,4,TRUE)</f>
        <v>Semana 48CIP2</v>
      </c>
      <c r="AD389" t="str">
        <f>IFERROR(VLOOKUP(Tabla_Consulta_desde_Proyectos10[[#This Row],[PRYcodigo]],Catálogo!A:B,2,FALSE),"Otros")</f>
        <v>Otros</v>
      </c>
      <c r="AE389" t="str">
        <f>IF(LEN(Tabla_Consulta_desde_Proyectos10[[#This Row],[Semana]])&lt;13,"CI",RIGHT(Tabla_Consulta_desde_Proyectos10[[#This Row],[Semana]],4))</f>
        <v>CIP2</v>
      </c>
    </row>
    <row r="390" spans="1:31">
      <c r="A390" t="s">
        <v>4032</v>
      </c>
      <c r="B390" t="s">
        <v>4907</v>
      </c>
      <c r="C390" t="s">
        <v>4908</v>
      </c>
      <c r="D390" t="s">
        <v>7201</v>
      </c>
      <c r="E390" t="s">
        <v>7202</v>
      </c>
      <c r="F390">
        <v>1</v>
      </c>
      <c r="G390" t="s">
        <v>7235</v>
      </c>
      <c r="H390" t="s">
        <v>642</v>
      </c>
      <c r="I390" t="s">
        <v>643</v>
      </c>
      <c r="J390" t="s">
        <v>917</v>
      </c>
      <c r="K390" t="s">
        <v>918</v>
      </c>
      <c r="L390" s="4">
        <v>46128</v>
      </c>
      <c r="M390" t="s">
        <v>7247</v>
      </c>
      <c r="N390">
        <v>0.5</v>
      </c>
      <c r="O390">
        <v>3000000001829022</v>
      </c>
      <c r="P390" t="s">
        <v>6784</v>
      </c>
      <c r="Q390" t="s">
        <v>7214</v>
      </c>
      <c r="W390" t="str">
        <f>Tabla_Consulta_desde_Proyectos10[[#This Row],[PRYcodigo]]&amp;Tabla_Consulta_desde_Proyectos10[[#This Row],[PRYApath]]</f>
        <v>579-203-REDIMED/0026/0004</v>
      </c>
      <c r="X390" t="str">
        <f>Tabla_Consulta_desde_Proyectos10[[#This Row],[PRYAcodigo]]&amp;" - "&amp;Tabla_Consulta_desde_Proyectos10[[#This Row],[PRYAdescripcion]]</f>
        <v>2 - ADMINISTRACIÓN Y MANTENIMIENTO DE INFRAESTRUCTURA</v>
      </c>
      <c r="Y390" t="str">
        <f>SUBSTITUTE(IFERROR(VLOOKUP(LEFT(Tabla_Consulta_desde_Proyectos10[[#This Row],[Nivel1]],LEN(Tabla_Consulta_desde_Proyectos10[[#This Row],[Nivel1]])-5),Tabla_Consulta_desde_Proyectos10[[#All],[Nivel1]:[Actividad]],2,FALSE),""),"_","-")</f>
        <v>500.1-RM - ACTIVIDADES DEL EQUIPO DE RELEASE MANAGMENT</v>
      </c>
      <c r="Z390" t="str">
        <f>IFERROR(VLOOKUP(Tabla_Consulta_desde_Proyectos10[[#This Row],[PRYRAfecha]],'Fechas Mes'!G:J,4,TRUE),"")</f>
        <v>Semana 48CIP2</v>
      </c>
      <c r="AA390" t="str" cm="1">
        <f t="array" ref="AA390">INDEX('Fechas Mes'!F:F,MATCH(Tabla_Consulta_desde_Proyectos10[[#This Row],[Semana]],'Fechas Mes'!J:J,0),)</f>
        <v>M12CIP2</v>
      </c>
      <c r="AB390">
        <f>YEAR(Tabla_Consulta_desde_Proyectos10[[#This Row],[PRYRAfecha]])</f>
        <v>2026</v>
      </c>
      <c r="AC390" t="str">
        <f>VLOOKUP(Tabla_Consulta_desde_Proyectos10[[#This Row],[PRYRAfecha]],'Fechas Mes'!G:J,4,TRUE)</f>
        <v>Semana 48CIP2</v>
      </c>
      <c r="AD390" t="str">
        <f>IFERROR(VLOOKUP(Tabla_Consulta_desde_Proyectos10[[#This Row],[PRYcodigo]],Catálogo!A:B,2,FALSE),"Otros")</f>
        <v>Otros</v>
      </c>
      <c r="AE390" t="str">
        <f>IF(LEN(Tabla_Consulta_desde_Proyectos10[[#This Row],[Semana]])&lt;13,"CI",RIGHT(Tabla_Consulta_desde_Proyectos10[[#This Row],[Semana]],4))</f>
        <v>CIP2</v>
      </c>
    </row>
    <row r="391" spans="1:31">
      <c r="A391" t="s">
        <v>4032</v>
      </c>
      <c r="B391" t="s">
        <v>4907</v>
      </c>
      <c r="C391" t="s">
        <v>4908</v>
      </c>
      <c r="D391" t="s">
        <v>7201</v>
      </c>
      <c r="E391" t="s">
        <v>7202</v>
      </c>
      <c r="F391">
        <v>1</v>
      </c>
      <c r="G391" t="s">
        <v>7235</v>
      </c>
      <c r="H391" t="s">
        <v>642</v>
      </c>
      <c r="I391" t="s">
        <v>643</v>
      </c>
      <c r="J391" t="s">
        <v>917</v>
      </c>
      <c r="K391" t="s">
        <v>918</v>
      </c>
      <c r="L391" s="4">
        <v>46129</v>
      </c>
      <c r="M391" t="s">
        <v>7247</v>
      </c>
      <c r="N391">
        <v>0.75</v>
      </c>
      <c r="O391">
        <v>3000000001829112</v>
      </c>
      <c r="P391" t="s">
        <v>6784</v>
      </c>
      <c r="Q391" t="s">
        <v>7214</v>
      </c>
      <c r="W391" t="str">
        <f>Tabla_Consulta_desde_Proyectos10[[#This Row],[PRYcodigo]]&amp;Tabla_Consulta_desde_Proyectos10[[#This Row],[PRYApath]]</f>
        <v>579-203-REDIMED/0026/0004</v>
      </c>
      <c r="X391" t="str">
        <f>Tabla_Consulta_desde_Proyectos10[[#This Row],[PRYAcodigo]]&amp;" - "&amp;Tabla_Consulta_desde_Proyectos10[[#This Row],[PRYAdescripcion]]</f>
        <v>2 - ADMINISTRACIÓN Y MANTENIMIENTO DE INFRAESTRUCTURA</v>
      </c>
      <c r="Y391" t="str">
        <f>SUBSTITUTE(IFERROR(VLOOKUP(LEFT(Tabla_Consulta_desde_Proyectos10[[#This Row],[Nivel1]],LEN(Tabla_Consulta_desde_Proyectos10[[#This Row],[Nivel1]])-5),Tabla_Consulta_desde_Proyectos10[[#All],[Nivel1]:[Actividad]],2,FALSE),""),"_","-")</f>
        <v>500.1-RM - ACTIVIDADES DEL EQUIPO DE RELEASE MANAGMENT</v>
      </c>
      <c r="Z391" t="str">
        <f>IFERROR(VLOOKUP(Tabla_Consulta_desde_Proyectos10[[#This Row],[PRYRAfecha]],'Fechas Mes'!G:J,4,TRUE),"")</f>
        <v>Semana 48CIP2</v>
      </c>
      <c r="AA391" t="str" cm="1">
        <f t="array" ref="AA391">INDEX('Fechas Mes'!F:F,MATCH(Tabla_Consulta_desde_Proyectos10[[#This Row],[Semana]],'Fechas Mes'!J:J,0),)</f>
        <v>M12CIP2</v>
      </c>
      <c r="AB391">
        <f>YEAR(Tabla_Consulta_desde_Proyectos10[[#This Row],[PRYRAfecha]])</f>
        <v>2026</v>
      </c>
      <c r="AC391" t="str">
        <f>VLOOKUP(Tabla_Consulta_desde_Proyectos10[[#This Row],[PRYRAfecha]],'Fechas Mes'!G:J,4,TRUE)</f>
        <v>Semana 48CIP2</v>
      </c>
      <c r="AD391" t="str">
        <f>IFERROR(VLOOKUP(Tabla_Consulta_desde_Proyectos10[[#This Row],[PRYcodigo]],Catálogo!A:B,2,FALSE),"Otros")</f>
        <v>Otros</v>
      </c>
      <c r="AE391" t="str">
        <f>IF(LEN(Tabla_Consulta_desde_Proyectos10[[#This Row],[Semana]])&lt;13,"CI",RIGHT(Tabla_Consulta_desde_Proyectos10[[#This Row],[Semana]],4))</f>
        <v>CIP2</v>
      </c>
    </row>
    <row r="392" spans="1:31">
      <c r="A392" t="s">
        <v>4032</v>
      </c>
      <c r="B392" t="s">
        <v>4907</v>
      </c>
      <c r="C392" t="s">
        <v>4908</v>
      </c>
      <c r="D392" t="s">
        <v>7201</v>
      </c>
      <c r="E392" t="s">
        <v>7202</v>
      </c>
      <c r="F392">
        <v>1</v>
      </c>
      <c r="G392" t="s">
        <v>7235</v>
      </c>
      <c r="H392" t="s">
        <v>642</v>
      </c>
      <c r="I392" t="s">
        <v>643</v>
      </c>
      <c r="J392" t="s">
        <v>917</v>
      </c>
      <c r="K392" t="s">
        <v>918</v>
      </c>
      <c r="L392" s="4">
        <v>46132</v>
      </c>
      <c r="M392" t="s">
        <v>7740</v>
      </c>
      <c r="N392">
        <v>0.75</v>
      </c>
      <c r="O392">
        <v>3000000001831844</v>
      </c>
      <c r="P392" t="s">
        <v>6784</v>
      </c>
      <c r="Q392" t="s">
        <v>7214</v>
      </c>
      <c r="W392" t="str">
        <f>Tabla_Consulta_desde_Proyectos10[[#This Row],[PRYcodigo]]&amp;Tabla_Consulta_desde_Proyectos10[[#This Row],[PRYApath]]</f>
        <v>579-203-REDIMED/0026/0004</v>
      </c>
      <c r="X392" t="str">
        <f>Tabla_Consulta_desde_Proyectos10[[#This Row],[PRYAcodigo]]&amp;" - "&amp;Tabla_Consulta_desde_Proyectos10[[#This Row],[PRYAdescripcion]]</f>
        <v>2 - ADMINISTRACIÓN Y MANTENIMIENTO DE INFRAESTRUCTURA</v>
      </c>
      <c r="Y392" t="str">
        <f>SUBSTITUTE(IFERROR(VLOOKUP(LEFT(Tabla_Consulta_desde_Proyectos10[[#This Row],[Nivel1]],LEN(Tabla_Consulta_desde_Proyectos10[[#This Row],[Nivel1]])-5),Tabla_Consulta_desde_Proyectos10[[#All],[Nivel1]:[Actividad]],2,FALSE),""),"_","-")</f>
        <v>500.1-RM - ACTIVIDADES DEL EQUIPO DE RELEASE MANAGMENT</v>
      </c>
      <c r="Z392" t="str">
        <f>IFERROR(VLOOKUP(Tabla_Consulta_desde_Proyectos10[[#This Row],[PRYRAfecha]],'Fechas Mes'!G:J,4,TRUE),"")</f>
        <v>Semana 48CIP2</v>
      </c>
      <c r="AA392" t="str" cm="1">
        <f t="array" ref="AA392">INDEX('Fechas Mes'!F:F,MATCH(Tabla_Consulta_desde_Proyectos10[[#This Row],[Semana]],'Fechas Mes'!J:J,0),)</f>
        <v>M12CIP2</v>
      </c>
      <c r="AB392">
        <f>YEAR(Tabla_Consulta_desde_Proyectos10[[#This Row],[PRYRAfecha]])</f>
        <v>2026</v>
      </c>
      <c r="AC392" t="str">
        <f>VLOOKUP(Tabla_Consulta_desde_Proyectos10[[#This Row],[PRYRAfecha]],'Fechas Mes'!G:J,4,TRUE)</f>
        <v>Semana 48CIP2</v>
      </c>
      <c r="AD392" t="str">
        <f>IFERROR(VLOOKUP(Tabla_Consulta_desde_Proyectos10[[#This Row],[PRYcodigo]],Catálogo!A:B,2,FALSE),"Otros")</f>
        <v>Otros</v>
      </c>
      <c r="AE392" t="str">
        <f>IF(LEN(Tabla_Consulta_desde_Proyectos10[[#This Row],[Semana]])&lt;13,"CI",RIGHT(Tabla_Consulta_desde_Proyectos10[[#This Row],[Semana]],4))</f>
        <v>CIP2</v>
      </c>
    </row>
    <row r="393" spans="1:31">
      <c r="A393" t="s">
        <v>4032</v>
      </c>
      <c r="B393" t="s">
        <v>4907</v>
      </c>
      <c r="C393" t="s">
        <v>4908</v>
      </c>
      <c r="D393" t="s">
        <v>7201</v>
      </c>
      <c r="E393" t="s">
        <v>7202</v>
      </c>
      <c r="F393">
        <v>1</v>
      </c>
      <c r="G393" t="s">
        <v>7235</v>
      </c>
      <c r="H393" t="s">
        <v>642</v>
      </c>
      <c r="I393" t="s">
        <v>643</v>
      </c>
      <c r="J393" t="s">
        <v>917</v>
      </c>
      <c r="K393" t="s">
        <v>918</v>
      </c>
      <c r="L393" s="4">
        <v>46133</v>
      </c>
      <c r="M393" t="s">
        <v>7743</v>
      </c>
      <c r="N393">
        <v>0.75</v>
      </c>
      <c r="O393">
        <v>3000000001831856</v>
      </c>
      <c r="P393" t="s">
        <v>6784</v>
      </c>
      <c r="Q393" t="s">
        <v>7214</v>
      </c>
      <c r="W393" t="str">
        <f>Tabla_Consulta_desde_Proyectos10[[#This Row],[PRYcodigo]]&amp;Tabla_Consulta_desde_Proyectos10[[#This Row],[PRYApath]]</f>
        <v>579-203-REDIMED/0026/0004</v>
      </c>
      <c r="X393" t="str">
        <f>Tabla_Consulta_desde_Proyectos10[[#This Row],[PRYAcodigo]]&amp;" - "&amp;Tabla_Consulta_desde_Proyectos10[[#This Row],[PRYAdescripcion]]</f>
        <v>2 - ADMINISTRACIÓN Y MANTENIMIENTO DE INFRAESTRUCTURA</v>
      </c>
      <c r="Y393" t="str">
        <f>SUBSTITUTE(IFERROR(VLOOKUP(LEFT(Tabla_Consulta_desde_Proyectos10[[#This Row],[Nivel1]],LEN(Tabla_Consulta_desde_Proyectos10[[#This Row],[Nivel1]])-5),Tabla_Consulta_desde_Proyectos10[[#All],[Nivel1]:[Actividad]],2,FALSE),""),"_","-")</f>
        <v>500.1-RM - ACTIVIDADES DEL EQUIPO DE RELEASE MANAGMENT</v>
      </c>
      <c r="Z393" t="str">
        <f>IFERROR(VLOOKUP(Tabla_Consulta_desde_Proyectos10[[#This Row],[PRYRAfecha]],'Fechas Mes'!G:J,4,TRUE),"")</f>
        <v>Semana 48CIP2</v>
      </c>
      <c r="AA393" t="str" cm="1">
        <f t="array" ref="AA393">INDEX('Fechas Mes'!F:F,MATCH(Tabla_Consulta_desde_Proyectos10[[#This Row],[Semana]],'Fechas Mes'!J:J,0),)</f>
        <v>M12CIP2</v>
      </c>
      <c r="AB393">
        <f>YEAR(Tabla_Consulta_desde_Proyectos10[[#This Row],[PRYRAfecha]])</f>
        <v>2026</v>
      </c>
      <c r="AC393" t="str">
        <f>VLOOKUP(Tabla_Consulta_desde_Proyectos10[[#This Row],[PRYRAfecha]],'Fechas Mes'!G:J,4,TRUE)</f>
        <v>Semana 48CIP2</v>
      </c>
      <c r="AD393" t="str">
        <f>IFERROR(VLOOKUP(Tabla_Consulta_desde_Proyectos10[[#This Row],[PRYcodigo]],Catálogo!A:B,2,FALSE),"Otros")</f>
        <v>Otros</v>
      </c>
      <c r="AE393" t="str">
        <f>IF(LEN(Tabla_Consulta_desde_Proyectos10[[#This Row],[Semana]])&lt;13,"CI",RIGHT(Tabla_Consulta_desde_Proyectos10[[#This Row],[Semana]],4))</f>
        <v>CIP2</v>
      </c>
    </row>
    <row r="394" spans="1:31">
      <c r="A394" t="s">
        <v>4032</v>
      </c>
      <c r="B394" t="s">
        <v>4907</v>
      </c>
      <c r="C394" t="s">
        <v>4908</v>
      </c>
      <c r="D394" t="s">
        <v>7201</v>
      </c>
      <c r="E394" t="s">
        <v>7202</v>
      </c>
      <c r="F394">
        <v>1</v>
      </c>
      <c r="G394" t="s">
        <v>7235</v>
      </c>
      <c r="H394" t="s">
        <v>642</v>
      </c>
      <c r="I394" t="s">
        <v>643</v>
      </c>
      <c r="J394" t="s">
        <v>917</v>
      </c>
      <c r="K394" t="s">
        <v>918</v>
      </c>
      <c r="L394" s="4">
        <v>46134</v>
      </c>
      <c r="M394" t="s">
        <v>7744</v>
      </c>
      <c r="N394">
        <v>0.5</v>
      </c>
      <c r="O394">
        <v>3000000001831869</v>
      </c>
      <c r="P394" t="s">
        <v>6784</v>
      </c>
      <c r="Q394" t="s">
        <v>7214</v>
      </c>
      <c r="W394" t="str">
        <f>Tabla_Consulta_desde_Proyectos10[[#This Row],[PRYcodigo]]&amp;Tabla_Consulta_desde_Proyectos10[[#This Row],[PRYApath]]</f>
        <v>579-203-REDIMED/0026/0004</v>
      </c>
      <c r="X394" t="str">
        <f>Tabla_Consulta_desde_Proyectos10[[#This Row],[PRYAcodigo]]&amp;" - "&amp;Tabla_Consulta_desde_Proyectos10[[#This Row],[PRYAdescripcion]]</f>
        <v>2 - ADMINISTRACIÓN Y MANTENIMIENTO DE INFRAESTRUCTURA</v>
      </c>
      <c r="Y394" t="str">
        <f>SUBSTITUTE(IFERROR(VLOOKUP(LEFT(Tabla_Consulta_desde_Proyectos10[[#This Row],[Nivel1]],LEN(Tabla_Consulta_desde_Proyectos10[[#This Row],[Nivel1]])-5),Tabla_Consulta_desde_Proyectos10[[#All],[Nivel1]:[Actividad]],2,FALSE),""),"_","-")</f>
        <v>500.1-RM - ACTIVIDADES DEL EQUIPO DE RELEASE MANAGMENT</v>
      </c>
      <c r="Z394" t="str">
        <f>IFERROR(VLOOKUP(Tabla_Consulta_desde_Proyectos10[[#This Row],[PRYRAfecha]],'Fechas Mes'!G:J,4,TRUE),"")</f>
        <v>Semana 48CIP2</v>
      </c>
      <c r="AA394" t="str" cm="1">
        <f t="array" ref="AA394">INDEX('Fechas Mes'!F:F,MATCH(Tabla_Consulta_desde_Proyectos10[[#This Row],[Semana]],'Fechas Mes'!J:J,0),)</f>
        <v>M12CIP2</v>
      </c>
      <c r="AB394">
        <f>YEAR(Tabla_Consulta_desde_Proyectos10[[#This Row],[PRYRAfecha]])</f>
        <v>2026</v>
      </c>
      <c r="AC394" t="str">
        <f>VLOOKUP(Tabla_Consulta_desde_Proyectos10[[#This Row],[PRYRAfecha]],'Fechas Mes'!G:J,4,TRUE)</f>
        <v>Semana 48CIP2</v>
      </c>
      <c r="AD394" t="str">
        <f>IFERROR(VLOOKUP(Tabla_Consulta_desde_Proyectos10[[#This Row],[PRYcodigo]],Catálogo!A:B,2,FALSE),"Otros")</f>
        <v>Otros</v>
      </c>
      <c r="AE394" t="str">
        <f>IF(LEN(Tabla_Consulta_desde_Proyectos10[[#This Row],[Semana]])&lt;13,"CI",RIGHT(Tabla_Consulta_desde_Proyectos10[[#This Row],[Semana]],4))</f>
        <v>CIP2</v>
      </c>
    </row>
    <row r="395" spans="1:31">
      <c r="A395" t="s">
        <v>4032</v>
      </c>
      <c r="B395" t="s">
        <v>4907</v>
      </c>
      <c r="C395" t="s">
        <v>4908</v>
      </c>
      <c r="D395" t="s">
        <v>7201</v>
      </c>
      <c r="E395" t="s">
        <v>7202</v>
      </c>
      <c r="F395">
        <v>1</v>
      </c>
      <c r="G395" t="s">
        <v>7235</v>
      </c>
      <c r="H395" t="s">
        <v>642</v>
      </c>
      <c r="I395" t="s">
        <v>643</v>
      </c>
      <c r="J395" t="s">
        <v>917</v>
      </c>
      <c r="K395" t="s">
        <v>918</v>
      </c>
      <c r="L395" s="4">
        <v>46135</v>
      </c>
      <c r="M395" t="s">
        <v>7247</v>
      </c>
      <c r="N395">
        <v>0.75</v>
      </c>
      <c r="O395">
        <v>3000000001832895</v>
      </c>
      <c r="P395" t="s">
        <v>6784</v>
      </c>
      <c r="Q395" t="s">
        <v>7214</v>
      </c>
      <c r="W395" t="str">
        <f>Tabla_Consulta_desde_Proyectos10[[#This Row],[PRYcodigo]]&amp;Tabla_Consulta_desde_Proyectos10[[#This Row],[PRYApath]]</f>
        <v>579-203-REDIMED/0026/0004</v>
      </c>
      <c r="X395" t="str">
        <f>Tabla_Consulta_desde_Proyectos10[[#This Row],[PRYAcodigo]]&amp;" - "&amp;Tabla_Consulta_desde_Proyectos10[[#This Row],[PRYAdescripcion]]</f>
        <v>2 - ADMINISTRACIÓN Y MANTENIMIENTO DE INFRAESTRUCTURA</v>
      </c>
      <c r="Y395" t="str">
        <f>SUBSTITUTE(IFERROR(VLOOKUP(LEFT(Tabla_Consulta_desde_Proyectos10[[#This Row],[Nivel1]],LEN(Tabla_Consulta_desde_Proyectos10[[#This Row],[Nivel1]])-5),Tabla_Consulta_desde_Proyectos10[[#All],[Nivel1]:[Actividad]],2,FALSE),""),"_","-")</f>
        <v>500.1-RM - ACTIVIDADES DEL EQUIPO DE RELEASE MANAGMENT</v>
      </c>
      <c r="Z395" t="str">
        <f>IFERROR(VLOOKUP(Tabla_Consulta_desde_Proyectos10[[#This Row],[PRYRAfecha]],'Fechas Mes'!G:J,4,TRUE),"")</f>
        <v>Semana 48CIP2</v>
      </c>
      <c r="AA395" t="str" cm="1">
        <f t="array" ref="AA395">INDEX('Fechas Mes'!F:F,MATCH(Tabla_Consulta_desde_Proyectos10[[#This Row],[Semana]],'Fechas Mes'!J:J,0),)</f>
        <v>M12CIP2</v>
      </c>
      <c r="AB395">
        <f>YEAR(Tabla_Consulta_desde_Proyectos10[[#This Row],[PRYRAfecha]])</f>
        <v>2026</v>
      </c>
      <c r="AC395" t="str">
        <f>VLOOKUP(Tabla_Consulta_desde_Proyectos10[[#This Row],[PRYRAfecha]],'Fechas Mes'!G:J,4,TRUE)</f>
        <v>Semana 48CIP2</v>
      </c>
      <c r="AD395" t="str">
        <f>IFERROR(VLOOKUP(Tabla_Consulta_desde_Proyectos10[[#This Row],[PRYcodigo]],Catálogo!A:B,2,FALSE),"Otros")</f>
        <v>Otros</v>
      </c>
      <c r="AE395" t="str">
        <f>IF(LEN(Tabla_Consulta_desde_Proyectos10[[#This Row],[Semana]])&lt;13,"CI",RIGHT(Tabla_Consulta_desde_Proyectos10[[#This Row],[Semana]],4))</f>
        <v>CIP2</v>
      </c>
    </row>
    <row r="396" spans="1:31">
      <c r="A396" t="s">
        <v>4032</v>
      </c>
      <c r="B396" t="s">
        <v>4907</v>
      </c>
      <c r="C396" t="s">
        <v>4908</v>
      </c>
      <c r="D396" t="s">
        <v>7201</v>
      </c>
      <c r="E396" t="s">
        <v>7202</v>
      </c>
      <c r="F396">
        <v>1</v>
      </c>
      <c r="G396" t="s">
        <v>7235</v>
      </c>
      <c r="H396" t="s">
        <v>642</v>
      </c>
      <c r="I396" t="s">
        <v>643</v>
      </c>
      <c r="J396" t="s">
        <v>917</v>
      </c>
      <c r="K396" t="s">
        <v>918</v>
      </c>
      <c r="L396" s="4">
        <v>46136</v>
      </c>
      <c r="M396" t="s">
        <v>7247</v>
      </c>
      <c r="N396">
        <v>0.5</v>
      </c>
      <c r="O396">
        <v>3000000001832913</v>
      </c>
      <c r="P396" t="s">
        <v>6784</v>
      </c>
      <c r="Q396" t="s">
        <v>7214</v>
      </c>
      <c r="W396" t="str">
        <f>Tabla_Consulta_desde_Proyectos10[[#This Row],[PRYcodigo]]&amp;Tabla_Consulta_desde_Proyectos10[[#This Row],[PRYApath]]</f>
        <v>579-203-REDIMED/0026/0004</v>
      </c>
      <c r="X396" t="str">
        <f>Tabla_Consulta_desde_Proyectos10[[#This Row],[PRYAcodigo]]&amp;" - "&amp;Tabla_Consulta_desde_Proyectos10[[#This Row],[PRYAdescripcion]]</f>
        <v>2 - ADMINISTRACIÓN Y MANTENIMIENTO DE INFRAESTRUCTURA</v>
      </c>
      <c r="Y396" t="str">
        <f>SUBSTITUTE(IFERROR(VLOOKUP(LEFT(Tabla_Consulta_desde_Proyectos10[[#This Row],[Nivel1]],LEN(Tabla_Consulta_desde_Proyectos10[[#This Row],[Nivel1]])-5),Tabla_Consulta_desde_Proyectos10[[#All],[Nivel1]:[Actividad]],2,FALSE),""),"_","-")</f>
        <v>500.1-RM - ACTIVIDADES DEL EQUIPO DE RELEASE MANAGMENT</v>
      </c>
      <c r="Z396" t="str">
        <f>IFERROR(VLOOKUP(Tabla_Consulta_desde_Proyectos10[[#This Row],[PRYRAfecha]],'Fechas Mes'!G:J,4,TRUE),"")</f>
        <v>Semana 48CIP2</v>
      </c>
      <c r="AA396" t="str" cm="1">
        <f t="array" ref="AA396">INDEX('Fechas Mes'!F:F,MATCH(Tabla_Consulta_desde_Proyectos10[[#This Row],[Semana]],'Fechas Mes'!J:J,0),)</f>
        <v>M12CIP2</v>
      </c>
      <c r="AB396">
        <f>YEAR(Tabla_Consulta_desde_Proyectos10[[#This Row],[PRYRAfecha]])</f>
        <v>2026</v>
      </c>
      <c r="AC396" t="str">
        <f>VLOOKUP(Tabla_Consulta_desde_Proyectos10[[#This Row],[PRYRAfecha]],'Fechas Mes'!G:J,4,TRUE)</f>
        <v>Semana 48CIP2</v>
      </c>
      <c r="AD396" t="str">
        <f>IFERROR(VLOOKUP(Tabla_Consulta_desde_Proyectos10[[#This Row],[PRYcodigo]],Catálogo!A:B,2,FALSE),"Otros")</f>
        <v>Otros</v>
      </c>
      <c r="AE396" t="str">
        <f>IF(LEN(Tabla_Consulta_desde_Proyectos10[[#This Row],[Semana]])&lt;13,"CI",RIGHT(Tabla_Consulta_desde_Proyectos10[[#This Row],[Semana]],4))</f>
        <v>CIP2</v>
      </c>
    </row>
    <row r="397" spans="1:31">
      <c r="A397" t="s">
        <v>4032</v>
      </c>
      <c r="B397" t="s">
        <v>4907</v>
      </c>
      <c r="C397" t="s">
        <v>4908</v>
      </c>
      <c r="D397" t="s">
        <v>7201</v>
      </c>
      <c r="E397" t="s">
        <v>7202</v>
      </c>
      <c r="F397">
        <v>1</v>
      </c>
      <c r="G397" t="s">
        <v>7235</v>
      </c>
      <c r="H397" t="s">
        <v>642</v>
      </c>
      <c r="I397" t="s">
        <v>643</v>
      </c>
      <c r="J397" t="s">
        <v>917</v>
      </c>
      <c r="K397" t="s">
        <v>918</v>
      </c>
      <c r="L397" s="4">
        <v>46139</v>
      </c>
      <c r="M397" t="s">
        <v>7740</v>
      </c>
      <c r="N397">
        <v>0.5</v>
      </c>
      <c r="O397">
        <v>3000000001835737</v>
      </c>
      <c r="P397" t="s">
        <v>6784</v>
      </c>
      <c r="Q397" t="s">
        <v>7214</v>
      </c>
      <c r="W397" t="str">
        <f>Tabla_Consulta_desde_Proyectos10[[#This Row],[PRYcodigo]]&amp;Tabla_Consulta_desde_Proyectos10[[#This Row],[PRYApath]]</f>
        <v>579-203-REDIMED/0026/0004</v>
      </c>
      <c r="X397" t="str">
        <f>Tabla_Consulta_desde_Proyectos10[[#This Row],[PRYAcodigo]]&amp;" - "&amp;Tabla_Consulta_desde_Proyectos10[[#This Row],[PRYAdescripcion]]</f>
        <v>2 - ADMINISTRACIÓN Y MANTENIMIENTO DE INFRAESTRUCTURA</v>
      </c>
      <c r="Y397" t="str">
        <f>SUBSTITUTE(IFERROR(VLOOKUP(LEFT(Tabla_Consulta_desde_Proyectos10[[#This Row],[Nivel1]],LEN(Tabla_Consulta_desde_Proyectos10[[#This Row],[Nivel1]])-5),Tabla_Consulta_desde_Proyectos10[[#All],[Nivel1]:[Actividad]],2,FALSE),""),"_","-")</f>
        <v>500.1-RM - ACTIVIDADES DEL EQUIPO DE RELEASE MANAGMENT</v>
      </c>
      <c r="Z397" t="str">
        <f>IFERROR(VLOOKUP(Tabla_Consulta_desde_Proyectos10[[#This Row],[PRYRAfecha]],'Fechas Mes'!G:J,4,TRUE),"")</f>
        <v>Semana 48CIP2</v>
      </c>
      <c r="AA397" t="str" cm="1">
        <f t="array" ref="AA397">INDEX('Fechas Mes'!F:F,MATCH(Tabla_Consulta_desde_Proyectos10[[#This Row],[Semana]],'Fechas Mes'!J:J,0),)</f>
        <v>M12CIP2</v>
      </c>
      <c r="AB397">
        <f>YEAR(Tabla_Consulta_desde_Proyectos10[[#This Row],[PRYRAfecha]])</f>
        <v>2026</v>
      </c>
      <c r="AC397" t="str">
        <f>VLOOKUP(Tabla_Consulta_desde_Proyectos10[[#This Row],[PRYRAfecha]],'Fechas Mes'!G:J,4,TRUE)</f>
        <v>Semana 48CIP2</v>
      </c>
      <c r="AD397" t="str">
        <f>IFERROR(VLOOKUP(Tabla_Consulta_desde_Proyectos10[[#This Row],[PRYcodigo]],Catálogo!A:B,2,FALSE),"Otros")</f>
        <v>Otros</v>
      </c>
      <c r="AE397" t="str">
        <f>IF(LEN(Tabla_Consulta_desde_Proyectos10[[#This Row],[Semana]])&lt;13,"CI",RIGHT(Tabla_Consulta_desde_Proyectos10[[#This Row],[Semana]],4))</f>
        <v>CIP2</v>
      </c>
    </row>
    <row r="398" spans="1:31">
      <c r="A398" t="s">
        <v>4032</v>
      </c>
      <c r="B398" t="s">
        <v>4907</v>
      </c>
      <c r="C398" t="s">
        <v>4908</v>
      </c>
      <c r="D398" t="s">
        <v>7201</v>
      </c>
      <c r="E398" t="s">
        <v>7202</v>
      </c>
      <c r="F398">
        <v>1</v>
      </c>
      <c r="G398" t="s">
        <v>7235</v>
      </c>
      <c r="H398" t="s">
        <v>642</v>
      </c>
      <c r="I398" t="s">
        <v>643</v>
      </c>
      <c r="J398" t="s">
        <v>917</v>
      </c>
      <c r="K398" t="s">
        <v>918</v>
      </c>
      <c r="L398" s="4">
        <v>46140</v>
      </c>
      <c r="M398" t="s">
        <v>7236</v>
      </c>
      <c r="N398">
        <v>0.5</v>
      </c>
      <c r="O398">
        <v>3000000001835756</v>
      </c>
      <c r="P398" t="s">
        <v>6784</v>
      </c>
      <c r="Q398" t="s">
        <v>7214</v>
      </c>
      <c r="W398" t="str">
        <f>Tabla_Consulta_desde_Proyectos10[[#This Row],[PRYcodigo]]&amp;Tabla_Consulta_desde_Proyectos10[[#This Row],[PRYApath]]</f>
        <v>579-203-REDIMED/0026/0004</v>
      </c>
      <c r="X398" t="str">
        <f>Tabla_Consulta_desde_Proyectos10[[#This Row],[PRYAcodigo]]&amp;" - "&amp;Tabla_Consulta_desde_Proyectos10[[#This Row],[PRYAdescripcion]]</f>
        <v>2 - ADMINISTRACIÓN Y MANTENIMIENTO DE INFRAESTRUCTURA</v>
      </c>
      <c r="Y398" t="str">
        <f>SUBSTITUTE(IFERROR(VLOOKUP(LEFT(Tabla_Consulta_desde_Proyectos10[[#This Row],[Nivel1]],LEN(Tabla_Consulta_desde_Proyectos10[[#This Row],[Nivel1]])-5),Tabla_Consulta_desde_Proyectos10[[#All],[Nivel1]:[Actividad]],2,FALSE),""),"_","-")</f>
        <v>500.1-RM - ACTIVIDADES DEL EQUIPO DE RELEASE MANAGMENT</v>
      </c>
      <c r="Z398" t="str">
        <f>IFERROR(VLOOKUP(Tabla_Consulta_desde_Proyectos10[[#This Row],[PRYRAfecha]],'Fechas Mes'!G:J,4,TRUE),"")</f>
        <v>Semana 48CIP2</v>
      </c>
      <c r="AA398" t="str" cm="1">
        <f t="array" ref="AA398">INDEX('Fechas Mes'!F:F,MATCH(Tabla_Consulta_desde_Proyectos10[[#This Row],[Semana]],'Fechas Mes'!J:J,0),)</f>
        <v>M12CIP2</v>
      </c>
      <c r="AB398">
        <f>YEAR(Tabla_Consulta_desde_Proyectos10[[#This Row],[PRYRAfecha]])</f>
        <v>2026</v>
      </c>
      <c r="AC398" t="str">
        <f>VLOOKUP(Tabla_Consulta_desde_Proyectos10[[#This Row],[PRYRAfecha]],'Fechas Mes'!G:J,4,TRUE)</f>
        <v>Semana 48CIP2</v>
      </c>
      <c r="AD398" t="str">
        <f>IFERROR(VLOOKUP(Tabla_Consulta_desde_Proyectos10[[#This Row],[PRYcodigo]],Catálogo!A:B,2,FALSE),"Otros")</f>
        <v>Otros</v>
      </c>
      <c r="AE398" t="str">
        <f>IF(LEN(Tabla_Consulta_desde_Proyectos10[[#This Row],[Semana]])&lt;13,"CI",RIGHT(Tabla_Consulta_desde_Proyectos10[[#This Row],[Semana]],4))</f>
        <v>CIP2</v>
      </c>
    </row>
    <row r="399" spans="1:31">
      <c r="A399" t="s">
        <v>4032</v>
      </c>
      <c r="B399" t="s">
        <v>4907</v>
      </c>
      <c r="C399" t="s">
        <v>4908</v>
      </c>
      <c r="D399" t="s">
        <v>7201</v>
      </c>
      <c r="E399" t="s">
        <v>7202</v>
      </c>
      <c r="F399">
        <v>1</v>
      </c>
      <c r="G399" t="s">
        <v>7235</v>
      </c>
      <c r="H399" t="s">
        <v>642</v>
      </c>
      <c r="I399" t="s">
        <v>643</v>
      </c>
      <c r="J399" t="s">
        <v>917</v>
      </c>
      <c r="K399" t="s">
        <v>918</v>
      </c>
      <c r="L399" s="4">
        <v>46141</v>
      </c>
      <c r="M399" t="s">
        <v>7744</v>
      </c>
      <c r="N399">
        <v>0.5</v>
      </c>
      <c r="O399">
        <v>3000000001835777</v>
      </c>
      <c r="P399" t="s">
        <v>6784</v>
      </c>
      <c r="Q399" t="s">
        <v>7214</v>
      </c>
      <c r="W399" t="str">
        <f>Tabla_Consulta_desde_Proyectos10[[#This Row],[PRYcodigo]]&amp;Tabla_Consulta_desde_Proyectos10[[#This Row],[PRYApath]]</f>
        <v>579-203-REDIMED/0026/0004</v>
      </c>
      <c r="X399" t="str">
        <f>Tabla_Consulta_desde_Proyectos10[[#This Row],[PRYAcodigo]]&amp;" - "&amp;Tabla_Consulta_desde_Proyectos10[[#This Row],[PRYAdescripcion]]</f>
        <v>2 - ADMINISTRACIÓN Y MANTENIMIENTO DE INFRAESTRUCTURA</v>
      </c>
      <c r="Y399" t="str">
        <f>SUBSTITUTE(IFERROR(VLOOKUP(LEFT(Tabla_Consulta_desde_Proyectos10[[#This Row],[Nivel1]],LEN(Tabla_Consulta_desde_Proyectos10[[#This Row],[Nivel1]])-5),Tabla_Consulta_desde_Proyectos10[[#All],[Nivel1]:[Actividad]],2,FALSE),""),"_","-")</f>
        <v>500.1-RM - ACTIVIDADES DEL EQUIPO DE RELEASE MANAGMENT</v>
      </c>
      <c r="Z399" t="str">
        <f>IFERROR(VLOOKUP(Tabla_Consulta_desde_Proyectos10[[#This Row],[PRYRAfecha]],'Fechas Mes'!G:J,4,TRUE),"")</f>
        <v>Semana 48CIP2</v>
      </c>
      <c r="AA399" t="str" cm="1">
        <f t="array" ref="AA399">INDEX('Fechas Mes'!F:F,MATCH(Tabla_Consulta_desde_Proyectos10[[#This Row],[Semana]],'Fechas Mes'!J:J,0),)</f>
        <v>M12CIP2</v>
      </c>
      <c r="AB399">
        <f>YEAR(Tabla_Consulta_desde_Proyectos10[[#This Row],[PRYRAfecha]])</f>
        <v>2026</v>
      </c>
      <c r="AC399" t="str">
        <f>VLOOKUP(Tabla_Consulta_desde_Proyectos10[[#This Row],[PRYRAfecha]],'Fechas Mes'!G:J,4,TRUE)</f>
        <v>Semana 48CIP2</v>
      </c>
      <c r="AD399" t="str">
        <f>IFERROR(VLOOKUP(Tabla_Consulta_desde_Proyectos10[[#This Row],[PRYcodigo]],Catálogo!A:B,2,FALSE),"Otros")</f>
        <v>Otros</v>
      </c>
      <c r="AE399" t="str">
        <f>IF(LEN(Tabla_Consulta_desde_Proyectos10[[#This Row],[Semana]])&lt;13,"CI",RIGHT(Tabla_Consulta_desde_Proyectos10[[#This Row],[Semana]],4))</f>
        <v>CIP2</v>
      </c>
    </row>
    <row r="400" spans="1:31">
      <c r="A400" t="s">
        <v>4032</v>
      </c>
      <c r="B400" t="s">
        <v>4907</v>
      </c>
      <c r="C400" t="s">
        <v>4908</v>
      </c>
      <c r="D400" t="s">
        <v>7201</v>
      </c>
      <c r="E400" t="s">
        <v>7202</v>
      </c>
      <c r="F400">
        <v>1</v>
      </c>
      <c r="G400" t="s">
        <v>7235</v>
      </c>
      <c r="H400" t="s">
        <v>642</v>
      </c>
      <c r="I400" t="s">
        <v>643</v>
      </c>
      <c r="J400" t="s">
        <v>917</v>
      </c>
      <c r="K400" t="s">
        <v>918</v>
      </c>
      <c r="L400" s="4">
        <v>46142</v>
      </c>
      <c r="M400" t="s">
        <v>7247</v>
      </c>
      <c r="N400">
        <v>0.5</v>
      </c>
      <c r="O400">
        <v>3000000001835798</v>
      </c>
      <c r="P400" t="s">
        <v>6784</v>
      </c>
      <c r="Q400" t="s">
        <v>7214</v>
      </c>
      <c r="W400" t="str">
        <f>Tabla_Consulta_desde_Proyectos10[[#This Row],[PRYcodigo]]&amp;Tabla_Consulta_desde_Proyectos10[[#This Row],[PRYApath]]</f>
        <v>579-203-REDIMED/0026/0004</v>
      </c>
      <c r="X400" t="str">
        <f>Tabla_Consulta_desde_Proyectos10[[#This Row],[PRYAcodigo]]&amp;" - "&amp;Tabla_Consulta_desde_Proyectos10[[#This Row],[PRYAdescripcion]]</f>
        <v>2 - ADMINISTRACIÓN Y MANTENIMIENTO DE INFRAESTRUCTURA</v>
      </c>
      <c r="Y400" t="str">
        <f>SUBSTITUTE(IFERROR(VLOOKUP(LEFT(Tabla_Consulta_desde_Proyectos10[[#This Row],[Nivel1]],LEN(Tabla_Consulta_desde_Proyectos10[[#This Row],[Nivel1]])-5),Tabla_Consulta_desde_Proyectos10[[#All],[Nivel1]:[Actividad]],2,FALSE),""),"_","-")</f>
        <v>500.1-RM - ACTIVIDADES DEL EQUIPO DE RELEASE MANAGMENT</v>
      </c>
      <c r="Z400" t="str">
        <f>IFERROR(VLOOKUP(Tabla_Consulta_desde_Proyectos10[[#This Row],[PRYRAfecha]],'Fechas Mes'!G:J,4,TRUE),"")</f>
        <v>Semana 48CIP2</v>
      </c>
      <c r="AA400" t="str" cm="1">
        <f t="array" ref="AA400">INDEX('Fechas Mes'!F:F,MATCH(Tabla_Consulta_desde_Proyectos10[[#This Row],[Semana]],'Fechas Mes'!J:J,0),)</f>
        <v>M12CIP2</v>
      </c>
      <c r="AB400">
        <f>YEAR(Tabla_Consulta_desde_Proyectos10[[#This Row],[PRYRAfecha]])</f>
        <v>2026</v>
      </c>
      <c r="AC400" t="str">
        <f>VLOOKUP(Tabla_Consulta_desde_Proyectos10[[#This Row],[PRYRAfecha]],'Fechas Mes'!G:J,4,TRUE)</f>
        <v>Semana 48CIP2</v>
      </c>
      <c r="AD400" t="str">
        <f>IFERROR(VLOOKUP(Tabla_Consulta_desde_Proyectos10[[#This Row],[PRYcodigo]],Catálogo!A:B,2,FALSE),"Otros")</f>
        <v>Otros</v>
      </c>
      <c r="AE400" t="str">
        <f>IF(LEN(Tabla_Consulta_desde_Proyectos10[[#This Row],[Semana]])&lt;13,"CI",RIGHT(Tabla_Consulta_desde_Proyectos10[[#This Row],[Semana]],4))</f>
        <v>CIP2</v>
      </c>
    </row>
    <row r="401" spans="1:31">
      <c r="A401" t="s">
        <v>4032</v>
      </c>
      <c r="B401" t="s">
        <v>4907</v>
      </c>
      <c r="C401" t="s">
        <v>4908</v>
      </c>
      <c r="D401" t="s">
        <v>7207</v>
      </c>
      <c r="E401" t="s">
        <v>7237</v>
      </c>
      <c r="F401">
        <v>1</v>
      </c>
      <c r="G401" t="s">
        <v>7238</v>
      </c>
      <c r="H401" t="s">
        <v>642</v>
      </c>
      <c r="I401" t="s">
        <v>643</v>
      </c>
      <c r="J401" t="s">
        <v>917</v>
      </c>
      <c r="K401" t="s">
        <v>918</v>
      </c>
      <c r="L401" s="4">
        <v>46113</v>
      </c>
      <c r="M401" t="s">
        <v>7561</v>
      </c>
      <c r="N401">
        <v>0.5</v>
      </c>
      <c r="O401">
        <v>3000000001822495</v>
      </c>
      <c r="P401" t="s">
        <v>6786</v>
      </c>
      <c r="Q401" t="s">
        <v>7234</v>
      </c>
      <c r="W401" t="str">
        <f>Tabla_Consulta_desde_Proyectos10[[#This Row],[PRYcodigo]]&amp;Tabla_Consulta_desde_Proyectos10[[#This Row],[PRYApath]]</f>
        <v>579-203-REDIMED/0026/0006</v>
      </c>
      <c r="X401" t="str">
        <f>Tabla_Consulta_desde_Proyectos10[[#This Row],[PRYAcodigo]]&amp;" - "&amp;Tabla_Consulta_desde_Proyectos10[[#This Row],[PRYAdescripcion]]</f>
        <v>3 - GESTIÓN DE BASES DE DATOS</v>
      </c>
      <c r="Y401" t="str">
        <f>SUBSTITUTE(IFERROR(VLOOKUP(LEFT(Tabla_Consulta_desde_Proyectos10[[#This Row],[Nivel1]],LEN(Tabla_Consulta_desde_Proyectos10[[#This Row],[Nivel1]])-5),Tabla_Consulta_desde_Proyectos10[[#All],[Nivel1]:[Actividad]],2,FALSE),""),"_","-")</f>
        <v>500.1-RM - ACTIVIDADES DEL EQUIPO DE RELEASE MANAGMENT</v>
      </c>
      <c r="Z401" t="str">
        <f>IFERROR(VLOOKUP(Tabla_Consulta_desde_Proyectos10[[#This Row],[PRYRAfecha]],'Fechas Mes'!G:J,4,TRUE),"")</f>
        <v>Semana 48CIP2</v>
      </c>
      <c r="AA401" t="str" cm="1">
        <f t="array" ref="AA401">INDEX('Fechas Mes'!F:F,MATCH(Tabla_Consulta_desde_Proyectos10[[#This Row],[Semana]],'Fechas Mes'!J:J,0),)</f>
        <v>M12CIP2</v>
      </c>
      <c r="AB401">
        <f>YEAR(Tabla_Consulta_desde_Proyectos10[[#This Row],[PRYRAfecha]])</f>
        <v>2026</v>
      </c>
      <c r="AC401" t="str">
        <f>VLOOKUP(Tabla_Consulta_desde_Proyectos10[[#This Row],[PRYRAfecha]],'Fechas Mes'!G:J,4,TRUE)</f>
        <v>Semana 48CIP2</v>
      </c>
      <c r="AD401" t="str">
        <f>IFERROR(VLOOKUP(Tabla_Consulta_desde_Proyectos10[[#This Row],[PRYcodigo]],Catálogo!A:B,2,FALSE),"Otros")</f>
        <v>Otros</v>
      </c>
      <c r="AE401" t="str">
        <f>IF(LEN(Tabla_Consulta_desde_Proyectos10[[#This Row],[Semana]])&lt;13,"CI",RIGHT(Tabla_Consulta_desde_Proyectos10[[#This Row],[Semana]],4))</f>
        <v>CIP2</v>
      </c>
    </row>
    <row r="402" spans="1:31">
      <c r="A402" t="s">
        <v>4032</v>
      </c>
      <c r="B402" t="s">
        <v>4907</v>
      </c>
      <c r="C402" t="s">
        <v>4908</v>
      </c>
      <c r="D402" t="s">
        <v>7207</v>
      </c>
      <c r="E402" t="s">
        <v>7237</v>
      </c>
      <c r="F402">
        <v>1</v>
      </c>
      <c r="G402" t="s">
        <v>7238</v>
      </c>
      <c r="H402" t="s">
        <v>642</v>
      </c>
      <c r="I402" t="s">
        <v>643</v>
      </c>
      <c r="J402" t="s">
        <v>917</v>
      </c>
      <c r="K402" t="s">
        <v>918</v>
      </c>
      <c r="L402" s="4">
        <v>46119</v>
      </c>
      <c r="M402" t="s">
        <v>7745</v>
      </c>
      <c r="N402">
        <v>0.75</v>
      </c>
      <c r="O402">
        <v>3000000001824818</v>
      </c>
      <c r="P402" t="s">
        <v>6786</v>
      </c>
      <c r="Q402" t="s">
        <v>7234</v>
      </c>
      <c r="W402" t="str">
        <f>Tabla_Consulta_desde_Proyectos10[[#This Row],[PRYcodigo]]&amp;Tabla_Consulta_desde_Proyectos10[[#This Row],[PRYApath]]</f>
        <v>579-203-REDIMED/0026/0006</v>
      </c>
      <c r="X402" t="str">
        <f>Tabla_Consulta_desde_Proyectos10[[#This Row],[PRYAcodigo]]&amp;" - "&amp;Tabla_Consulta_desde_Proyectos10[[#This Row],[PRYAdescripcion]]</f>
        <v>3 - GESTIÓN DE BASES DE DATOS</v>
      </c>
      <c r="Y402" t="str">
        <f>SUBSTITUTE(IFERROR(VLOOKUP(LEFT(Tabla_Consulta_desde_Proyectos10[[#This Row],[Nivel1]],LEN(Tabla_Consulta_desde_Proyectos10[[#This Row],[Nivel1]])-5),Tabla_Consulta_desde_Proyectos10[[#All],[Nivel1]:[Actividad]],2,FALSE),""),"_","-")</f>
        <v>500.1-RM - ACTIVIDADES DEL EQUIPO DE RELEASE MANAGMENT</v>
      </c>
      <c r="Z402" t="str">
        <f>IFERROR(VLOOKUP(Tabla_Consulta_desde_Proyectos10[[#This Row],[PRYRAfecha]],'Fechas Mes'!G:J,4,TRUE),"")</f>
        <v>Semana 48CIP2</v>
      </c>
      <c r="AA402" t="str" cm="1">
        <f t="array" ref="AA402">INDEX('Fechas Mes'!F:F,MATCH(Tabla_Consulta_desde_Proyectos10[[#This Row],[Semana]],'Fechas Mes'!J:J,0),)</f>
        <v>M12CIP2</v>
      </c>
      <c r="AB402">
        <f>YEAR(Tabla_Consulta_desde_Proyectos10[[#This Row],[PRYRAfecha]])</f>
        <v>2026</v>
      </c>
      <c r="AC402" t="str">
        <f>VLOOKUP(Tabla_Consulta_desde_Proyectos10[[#This Row],[PRYRAfecha]],'Fechas Mes'!G:J,4,TRUE)</f>
        <v>Semana 48CIP2</v>
      </c>
      <c r="AD402" t="str">
        <f>IFERROR(VLOOKUP(Tabla_Consulta_desde_Proyectos10[[#This Row],[PRYcodigo]],Catálogo!A:B,2,FALSE),"Otros")</f>
        <v>Otros</v>
      </c>
      <c r="AE402" t="str">
        <f>IF(LEN(Tabla_Consulta_desde_Proyectos10[[#This Row],[Semana]])&lt;13,"CI",RIGHT(Tabla_Consulta_desde_Proyectos10[[#This Row],[Semana]],4))</f>
        <v>CIP2</v>
      </c>
    </row>
    <row r="403" spans="1:31">
      <c r="A403" t="s">
        <v>4032</v>
      </c>
      <c r="B403" t="s">
        <v>4907</v>
      </c>
      <c r="C403" t="s">
        <v>4908</v>
      </c>
      <c r="D403" t="s">
        <v>7207</v>
      </c>
      <c r="E403" t="s">
        <v>7237</v>
      </c>
      <c r="F403">
        <v>1</v>
      </c>
      <c r="G403" t="s">
        <v>7238</v>
      </c>
      <c r="H403" t="s">
        <v>642</v>
      </c>
      <c r="I403" t="s">
        <v>643</v>
      </c>
      <c r="J403" t="s">
        <v>917</v>
      </c>
      <c r="K403" t="s">
        <v>918</v>
      </c>
      <c r="L403" s="4">
        <v>46120</v>
      </c>
      <c r="M403" t="s">
        <v>7561</v>
      </c>
      <c r="N403">
        <v>0.5</v>
      </c>
      <c r="O403">
        <v>3000000001824831</v>
      </c>
      <c r="P403" t="s">
        <v>6786</v>
      </c>
      <c r="Q403" t="s">
        <v>7234</v>
      </c>
      <c r="W403" t="str">
        <f>Tabla_Consulta_desde_Proyectos10[[#This Row],[PRYcodigo]]&amp;Tabla_Consulta_desde_Proyectos10[[#This Row],[PRYApath]]</f>
        <v>579-203-REDIMED/0026/0006</v>
      </c>
      <c r="X403" t="str">
        <f>Tabla_Consulta_desde_Proyectos10[[#This Row],[PRYAcodigo]]&amp;" - "&amp;Tabla_Consulta_desde_Proyectos10[[#This Row],[PRYAdescripcion]]</f>
        <v>3 - GESTIÓN DE BASES DE DATOS</v>
      </c>
      <c r="Y403" t="str">
        <f>SUBSTITUTE(IFERROR(VLOOKUP(LEFT(Tabla_Consulta_desde_Proyectos10[[#This Row],[Nivel1]],LEN(Tabla_Consulta_desde_Proyectos10[[#This Row],[Nivel1]])-5),Tabla_Consulta_desde_Proyectos10[[#All],[Nivel1]:[Actividad]],2,FALSE),""),"_","-")</f>
        <v>500.1-RM - ACTIVIDADES DEL EQUIPO DE RELEASE MANAGMENT</v>
      </c>
      <c r="Z403" t="str">
        <f>IFERROR(VLOOKUP(Tabla_Consulta_desde_Proyectos10[[#This Row],[PRYRAfecha]],'Fechas Mes'!G:J,4,TRUE),"")</f>
        <v>Semana 48CIP2</v>
      </c>
      <c r="AA403" t="str" cm="1">
        <f t="array" ref="AA403">INDEX('Fechas Mes'!F:F,MATCH(Tabla_Consulta_desde_Proyectos10[[#This Row],[Semana]],'Fechas Mes'!J:J,0),)</f>
        <v>M12CIP2</v>
      </c>
      <c r="AB403">
        <f>YEAR(Tabla_Consulta_desde_Proyectos10[[#This Row],[PRYRAfecha]])</f>
        <v>2026</v>
      </c>
      <c r="AC403" t="str">
        <f>VLOOKUP(Tabla_Consulta_desde_Proyectos10[[#This Row],[PRYRAfecha]],'Fechas Mes'!G:J,4,TRUE)</f>
        <v>Semana 48CIP2</v>
      </c>
      <c r="AD403" t="str">
        <f>IFERROR(VLOOKUP(Tabla_Consulta_desde_Proyectos10[[#This Row],[PRYcodigo]],Catálogo!A:B,2,FALSE),"Otros")</f>
        <v>Otros</v>
      </c>
      <c r="AE403" t="str">
        <f>IF(LEN(Tabla_Consulta_desde_Proyectos10[[#This Row],[Semana]])&lt;13,"CI",RIGHT(Tabla_Consulta_desde_Proyectos10[[#This Row],[Semana]],4))</f>
        <v>CIP2</v>
      </c>
    </row>
    <row r="404" spans="1:31">
      <c r="A404" t="s">
        <v>4032</v>
      </c>
      <c r="B404" t="s">
        <v>4907</v>
      </c>
      <c r="C404" t="s">
        <v>4908</v>
      </c>
      <c r="D404" t="s">
        <v>7207</v>
      </c>
      <c r="E404" t="s">
        <v>7237</v>
      </c>
      <c r="F404">
        <v>1</v>
      </c>
      <c r="G404" t="s">
        <v>7238</v>
      </c>
      <c r="H404" t="s">
        <v>642</v>
      </c>
      <c r="I404" t="s">
        <v>643</v>
      </c>
      <c r="J404" t="s">
        <v>917</v>
      </c>
      <c r="K404" t="s">
        <v>918</v>
      </c>
      <c r="L404" s="4">
        <v>46121</v>
      </c>
      <c r="M404" t="s">
        <v>7561</v>
      </c>
      <c r="N404">
        <v>0.5</v>
      </c>
      <c r="O404">
        <v>3000000001824842</v>
      </c>
      <c r="P404" t="s">
        <v>6786</v>
      </c>
      <c r="Q404" t="s">
        <v>7234</v>
      </c>
      <c r="W404" t="str">
        <f>Tabla_Consulta_desde_Proyectos10[[#This Row],[PRYcodigo]]&amp;Tabla_Consulta_desde_Proyectos10[[#This Row],[PRYApath]]</f>
        <v>579-203-REDIMED/0026/0006</v>
      </c>
      <c r="X404" t="str">
        <f>Tabla_Consulta_desde_Proyectos10[[#This Row],[PRYAcodigo]]&amp;" - "&amp;Tabla_Consulta_desde_Proyectos10[[#This Row],[PRYAdescripcion]]</f>
        <v>3 - GESTIÓN DE BASES DE DATOS</v>
      </c>
      <c r="Y404" t="str">
        <f>SUBSTITUTE(IFERROR(VLOOKUP(LEFT(Tabla_Consulta_desde_Proyectos10[[#This Row],[Nivel1]],LEN(Tabla_Consulta_desde_Proyectos10[[#This Row],[Nivel1]])-5),Tabla_Consulta_desde_Proyectos10[[#All],[Nivel1]:[Actividad]],2,FALSE),""),"_","-")</f>
        <v>500.1-RM - ACTIVIDADES DEL EQUIPO DE RELEASE MANAGMENT</v>
      </c>
      <c r="Z404" t="str">
        <f>IFERROR(VLOOKUP(Tabla_Consulta_desde_Proyectos10[[#This Row],[PRYRAfecha]],'Fechas Mes'!G:J,4,TRUE),"")</f>
        <v>Semana 48CIP2</v>
      </c>
      <c r="AA404" t="str" cm="1">
        <f t="array" ref="AA404">INDEX('Fechas Mes'!F:F,MATCH(Tabla_Consulta_desde_Proyectos10[[#This Row],[Semana]],'Fechas Mes'!J:J,0),)</f>
        <v>M12CIP2</v>
      </c>
      <c r="AB404">
        <f>YEAR(Tabla_Consulta_desde_Proyectos10[[#This Row],[PRYRAfecha]])</f>
        <v>2026</v>
      </c>
      <c r="AC404" t="str">
        <f>VLOOKUP(Tabla_Consulta_desde_Proyectos10[[#This Row],[PRYRAfecha]],'Fechas Mes'!G:J,4,TRUE)</f>
        <v>Semana 48CIP2</v>
      </c>
      <c r="AD404" t="str">
        <f>IFERROR(VLOOKUP(Tabla_Consulta_desde_Proyectos10[[#This Row],[PRYcodigo]],Catálogo!A:B,2,FALSE),"Otros")</f>
        <v>Otros</v>
      </c>
      <c r="AE404" t="str">
        <f>IF(LEN(Tabla_Consulta_desde_Proyectos10[[#This Row],[Semana]])&lt;13,"CI",RIGHT(Tabla_Consulta_desde_Proyectos10[[#This Row],[Semana]],4))</f>
        <v>CIP2</v>
      </c>
    </row>
    <row r="405" spans="1:31">
      <c r="A405" t="s">
        <v>4032</v>
      </c>
      <c r="B405" t="s">
        <v>4907</v>
      </c>
      <c r="C405" t="s">
        <v>4908</v>
      </c>
      <c r="D405" t="s">
        <v>7207</v>
      </c>
      <c r="E405" t="s">
        <v>7237</v>
      </c>
      <c r="F405">
        <v>1</v>
      </c>
      <c r="G405" t="s">
        <v>7238</v>
      </c>
      <c r="H405" t="s">
        <v>642</v>
      </c>
      <c r="I405" t="s">
        <v>643</v>
      </c>
      <c r="J405" t="s">
        <v>917</v>
      </c>
      <c r="K405" t="s">
        <v>918</v>
      </c>
      <c r="L405" s="4">
        <v>46122</v>
      </c>
      <c r="M405" t="s">
        <v>7561</v>
      </c>
      <c r="N405">
        <v>0.75</v>
      </c>
      <c r="O405">
        <v>3000000001824854</v>
      </c>
      <c r="P405" t="s">
        <v>6786</v>
      </c>
      <c r="Q405" t="s">
        <v>7234</v>
      </c>
      <c r="W405" t="str">
        <f>Tabla_Consulta_desde_Proyectos10[[#This Row],[PRYcodigo]]&amp;Tabla_Consulta_desde_Proyectos10[[#This Row],[PRYApath]]</f>
        <v>579-203-REDIMED/0026/0006</v>
      </c>
      <c r="X405" t="str">
        <f>Tabla_Consulta_desde_Proyectos10[[#This Row],[PRYAcodigo]]&amp;" - "&amp;Tabla_Consulta_desde_Proyectos10[[#This Row],[PRYAdescripcion]]</f>
        <v>3 - GESTIÓN DE BASES DE DATOS</v>
      </c>
      <c r="Y405" t="str">
        <f>SUBSTITUTE(IFERROR(VLOOKUP(LEFT(Tabla_Consulta_desde_Proyectos10[[#This Row],[Nivel1]],LEN(Tabla_Consulta_desde_Proyectos10[[#This Row],[Nivel1]])-5),Tabla_Consulta_desde_Proyectos10[[#All],[Nivel1]:[Actividad]],2,FALSE),""),"_","-")</f>
        <v>500.1-RM - ACTIVIDADES DEL EQUIPO DE RELEASE MANAGMENT</v>
      </c>
      <c r="Z405" t="str">
        <f>IFERROR(VLOOKUP(Tabla_Consulta_desde_Proyectos10[[#This Row],[PRYRAfecha]],'Fechas Mes'!G:J,4,TRUE),"")</f>
        <v>Semana 48CIP2</v>
      </c>
      <c r="AA405" t="str" cm="1">
        <f t="array" ref="AA405">INDEX('Fechas Mes'!F:F,MATCH(Tabla_Consulta_desde_Proyectos10[[#This Row],[Semana]],'Fechas Mes'!J:J,0),)</f>
        <v>M12CIP2</v>
      </c>
      <c r="AB405">
        <f>YEAR(Tabla_Consulta_desde_Proyectos10[[#This Row],[PRYRAfecha]])</f>
        <v>2026</v>
      </c>
      <c r="AC405" t="str">
        <f>VLOOKUP(Tabla_Consulta_desde_Proyectos10[[#This Row],[PRYRAfecha]],'Fechas Mes'!G:J,4,TRUE)</f>
        <v>Semana 48CIP2</v>
      </c>
      <c r="AD405" t="str">
        <f>IFERROR(VLOOKUP(Tabla_Consulta_desde_Proyectos10[[#This Row],[PRYcodigo]],Catálogo!A:B,2,FALSE),"Otros")</f>
        <v>Otros</v>
      </c>
      <c r="AE405" t="str">
        <f>IF(LEN(Tabla_Consulta_desde_Proyectos10[[#This Row],[Semana]])&lt;13,"CI",RIGHT(Tabla_Consulta_desde_Proyectos10[[#This Row],[Semana]],4))</f>
        <v>CIP2</v>
      </c>
    </row>
    <row r="406" spans="1:31">
      <c r="A406" t="s">
        <v>4032</v>
      </c>
      <c r="B406" t="s">
        <v>4907</v>
      </c>
      <c r="C406" t="s">
        <v>4908</v>
      </c>
      <c r="D406" t="s">
        <v>7207</v>
      </c>
      <c r="E406" t="s">
        <v>7237</v>
      </c>
      <c r="F406">
        <v>1</v>
      </c>
      <c r="G406" t="s">
        <v>7238</v>
      </c>
      <c r="H406" t="s">
        <v>642</v>
      </c>
      <c r="I406" t="s">
        <v>643</v>
      </c>
      <c r="J406" t="s">
        <v>917</v>
      </c>
      <c r="K406" t="s">
        <v>918</v>
      </c>
      <c r="L406" s="4">
        <v>46125</v>
      </c>
      <c r="M406" t="s">
        <v>7560</v>
      </c>
      <c r="N406">
        <v>0.75</v>
      </c>
      <c r="O406">
        <v>3000000001828908</v>
      </c>
      <c r="P406" t="s">
        <v>6786</v>
      </c>
      <c r="Q406" t="s">
        <v>7234</v>
      </c>
      <c r="W406" t="str">
        <f>Tabla_Consulta_desde_Proyectos10[[#This Row],[PRYcodigo]]&amp;Tabla_Consulta_desde_Proyectos10[[#This Row],[PRYApath]]</f>
        <v>579-203-REDIMED/0026/0006</v>
      </c>
      <c r="X406" t="str">
        <f>Tabla_Consulta_desde_Proyectos10[[#This Row],[PRYAcodigo]]&amp;" - "&amp;Tabla_Consulta_desde_Proyectos10[[#This Row],[PRYAdescripcion]]</f>
        <v>3 - GESTIÓN DE BASES DE DATOS</v>
      </c>
      <c r="Y406" t="str">
        <f>SUBSTITUTE(IFERROR(VLOOKUP(LEFT(Tabla_Consulta_desde_Proyectos10[[#This Row],[Nivel1]],LEN(Tabla_Consulta_desde_Proyectos10[[#This Row],[Nivel1]])-5),Tabla_Consulta_desde_Proyectos10[[#All],[Nivel1]:[Actividad]],2,FALSE),""),"_","-")</f>
        <v>500.1-RM - ACTIVIDADES DEL EQUIPO DE RELEASE MANAGMENT</v>
      </c>
      <c r="Z406" t="str">
        <f>IFERROR(VLOOKUP(Tabla_Consulta_desde_Proyectos10[[#This Row],[PRYRAfecha]],'Fechas Mes'!G:J,4,TRUE),"")</f>
        <v>Semana 48CIP2</v>
      </c>
      <c r="AA406" t="str" cm="1">
        <f t="array" ref="AA406">INDEX('Fechas Mes'!F:F,MATCH(Tabla_Consulta_desde_Proyectos10[[#This Row],[Semana]],'Fechas Mes'!J:J,0),)</f>
        <v>M12CIP2</v>
      </c>
      <c r="AB406">
        <f>YEAR(Tabla_Consulta_desde_Proyectos10[[#This Row],[PRYRAfecha]])</f>
        <v>2026</v>
      </c>
      <c r="AC406" t="str">
        <f>VLOOKUP(Tabla_Consulta_desde_Proyectos10[[#This Row],[PRYRAfecha]],'Fechas Mes'!G:J,4,TRUE)</f>
        <v>Semana 48CIP2</v>
      </c>
      <c r="AD406" t="str">
        <f>IFERROR(VLOOKUP(Tabla_Consulta_desde_Proyectos10[[#This Row],[PRYcodigo]],Catálogo!A:B,2,FALSE),"Otros")</f>
        <v>Otros</v>
      </c>
      <c r="AE406" t="str">
        <f>IF(LEN(Tabla_Consulta_desde_Proyectos10[[#This Row],[Semana]])&lt;13,"CI",RIGHT(Tabla_Consulta_desde_Proyectos10[[#This Row],[Semana]],4))</f>
        <v>CIP2</v>
      </c>
    </row>
    <row r="407" spans="1:31">
      <c r="A407" t="s">
        <v>4032</v>
      </c>
      <c r="B407" t="s">
        <v>4907</v>
      </c>
      <c r="C407" t="s">
        <v>4908</v>
      </c>
      <c r="D407" t="s">
        <v>7207</v>
      </c>
      <c r="E407" t="s">
        <v>7237</v>
      </c>
      <c r="F407">
        <v>1</v>
      </c>
      <c r="G407" t="s">
        <v>7238</v>
      </c>
      <c r="H407" t="s">
        <v>642</v>
      </c>
      <c r="I407" t="s">
        <v>643</v>
      </c>
      <c r="J407" t="s">
        <v>917</v>
      </c>
      <c r="K407" t="s">
        <v>918</v>
      </c>
      <c r="L407" s="4">
        <v>46126</v>
      </c>
      <c r="M407" t="s">
        <v>7561</v>
      </c>
      <c r="N407">
        <v>0.5</v>
      </c>
      <c r="O407">
        <v>3000000001828934</v>
      </c>
      <c r="P407" t="s">
        <v>6786</v>
      </c>
      <c r="Q407" t="s">
        <v>7234</v>
      </c>
      <c r="W407" t="str">
        <f>Tabla_Consulta_desde_Proyectos10[[#This Row],[PRYcodigo]]&amp;Tabla_Consulta_desde_Proyectos10[[#This Row],[PRYApath]]</f>
        <v>579-203-REDIMED/0026/0006</v>
      </c>
      <c r="X407" t="str">
        <f>Tabla_Consulta_desde_Proyectos10[[#This Row],[PRYAcodigo]]&amp;" - "&amp;Tabla_Consulta_desde_Proyectos10[[#This Row],[PRYAdescripcion]]</f>
        <v>3 - GESTIÓN DE BASES DE DATOS</v>
      </c>
      <c r="Y407" t="str">
        <f>SUBSTITUTE(IFERROR(VLOOKUP(LEFT(Tabla_Consulta_desde_Proyectos10[[#This Row],[Nivel1]],LEN(Tabla_Consulta_desde_Proyectos10[[#This Row],[Nivel1]])-5),Tabla_Consulta_desde_Proyectos10[[#All],[Nivel1]:[Actividad]],2,FALSE),""),"_","-")</f>
        <v>500.1-RM - ACTIVIDADES DEL EQUIPO DE RELEASE MANAGMENT</v>
      </c>
      <c r="Z407" t="str">
        <f>IFERROR(VLOOKUP(Tabla_Consulta_desde_Proyectos10[[#This Row],[PRYRAfecha]],'Fechas Mes'!G:J,4,TRUE),"")</f>
        <v>Semana 48CIP2</v>
      </c>
      <c r="AA407" t="str" cm="1">
        <f t="array" ref="AA407">INDEX('Fechas Mes'!F:F,MATCH(Tabla_Consulta_desde_Proyectos10[[#This Row],[Semana]],'Fechas Mes'!J:J,0),)</f>
        <v>M12CIP2</v>
      </c>
      <c r="AB407">
        <f>YEAR(Tabla_Consulta_desde_Proyectos10[[#This Row],[PRYRAfecha]])</f>
        <v>2026</v>
      </c>
      <c r="AC407" t="str">
        <f>VLOOKUP(Tabla_Consulta_desde_Proyectos10[[#This Row],[PRYRAfecha]],'Fechas Mes'!G:J,4,TRUE)</f>
        <v>Semana 48CIP2</v>
      </c>
      <c r="AD407" t="str">
        <f>IFERROR(VLOOKUP(Tabla_Consulta_desde_Proyectos10[[#This Row],[PRYcodigo]],Catálogo!A:B,2,FALSE),"Otros")</f>
        <v>Otros</v>
      </c>
      <c r="AE407" t="str">
        <f>IF(LEN(Tabla_Consulta_desde_Proyectos10[[#This Row],[Semana]])&lt;13,"CI",RIGHT(Tabla_Consulta_desde_Proyectos10[[#This Row],[Semana]],4))</f>
        <v>CIP2</v>
      </c>
    </row>
    <row r="408" spans="1:31">
      <c r="A408" t="s">
        <v>4032</v>
      </c>
      <c r="B408" t="s">
        <v>4907</v>
      </c>
      <c r="C408" t="s">
        <v>4908</v>
      </c>
      <c r="D408" t="s">
        <v>7207</v>
      </c>
      <c r="E408" t="s">
        <v>7237</v>
      </c>
      <c r="F408">
        <v>1</v>
      </c>
      <c r="G408" t="s">
        <v>7238</v>
      </c>
      <c r="H408" t="s">
        <v>642</v>
      </c>
      <c r="I408" t="s">
        <v>643</v>
      </c>
      <c r="J408" t="s">
        <v>917</v>
      </c>
      <c r="K408" t="s">
        <v>918</v>
      </c>
      <c r="L408" s="4">
        <v>46127</v>
      </c>
      <c r="M408" t="s">
        <v>7561</v>
      </c>
      <c r="N408">
        <v>0.5</v>
      </c>
      <c r="O408">
        <v>3000000001828968</v>
      </c>
      <c r="P408" t="s">
        <v>6786</v>
      </c>
      <c r="Q408" t="s">
        <v>7234</v>
      </c>
      <c r="W408" t="str">
        <f>Tabla_Consulta_desde_Proyectos10[[#This Row],[PRYcodigo]]&amp;Tabla_Consulta_desde_Proyectos10[[#This Row],[PRYApath]]</f>
        <v>579-203-REDIMED/0026/0006</v>
      </c>
      <c r="X408" t="str">
        <f>Tabla_Consulta_desde_Proyectos10[[#This Row],[PRYAcodigo]]&amp;" - "&amp;Tabla_Consulta_desde_Proyectos10[[#This Row],[PRYAdescripcion]]</f>
        <v>3 - GESTIÓN DE BASES DE DATOS</v>
      </c>
      <c r="Y408" t="str">
        <f>SUBSTITUTE(IFERROR(VLOOKUP(LEFT(Tabla_Consulta_desde_Proyectos10[[#This Row],[Nivel1]],LEN(Tabla_Consulta_desde_Proyectos10[[#This Row],[Nivel1]])-5),Tabla_Consulta_desde_Proyectos10[[#All],[Nivel1]:[Actividad]],2,FALSE),""),"_","-")</f>
        <v>500.1-RM - ACTIVIDADES DEL EQUIPO DE RELEASE MANAGMENT</v>
      </c>
      <c r="Z408" t="str">
        <f>IFERROR(VLOOKUP(Tabla_Consulta_desde_Proyectos10[[#This Row],[PRYRAfecha]],'Fechas Mes'!G:J,4,TRUE),"")</f>
        <v>Semana 48CIP2</v>
      </c>
      <c r="AA408" t="str" cm="1">
        <f t="array" ref="AA408">INDEX('Fechas Mes'!F:F,MATCH(Tabla_Consulta_desde_Proyectos10[[#This Row],[Semana]],'Fechas Mes'!J:J,0),)</f>
        <v>M12CIP2</v>
      </c>
      <c r="AB408">
        <f>YEAR(Tabla_Consulta_desde_Proyectos10[[#This Row],[PRYRAfecha]])</f>
        <v>2026</v>
      </c>
      <c r="AC408" t="str">
        <f>VLOOKUP(Tabla_Consulta_desde_Proyectos10[[#This Row],[PRYRAfecha]],'Fechas Mes'!G:J,4,TRUE)</f>
        <v>Semana 48CIP2</v>
      </c>
      <c r="AD408" t="str">
        <f>IFERROR(VLOOKUP(Tabla_Consulta_desde_Proyectos10[[#This Row],[PRYcodigo]],Catálogo!A:B,2,FALSE),"Otros")</f>
        <v>Otros</v>
      </c>
      <c r="AE408" t="str">
        <f>IF(LEN(Tabla_Consulta_desde_Proyectos10[[#This Row],[Semana]])&lt;13,"CI",RIGHT(Tabla_Consulta_desde_Proyectos10[[#This Row],[Semana]],4))</f>
        <v>CIP2</v>
      </c>
    </row>
    <row r="409" spans="1:31">
      <c r="A409" t="s">
        <v>4032</v>
      </c>
      <c r="B409" t="s">
        <v>4907</v>
      </c>
      <c r="C409" t="s">
        <v>4908</v>
      </c>
      <c r="D409" t="s">
        <v>7207</v>
      </c>
      <c r="E409" t="s">
        <v>7237</v>
      </c>
      <c r="F409">
        <v>1</v>
      </c>
      <c r="G409" t="s">
        <v>7238</v>
      </c>
      <c r="H409" t="s">
        <v>642</v>
      </c>
      <c r="I409" t="s">
        <v>643</v>
      </c>
      <c r="J409" t="s">
        <v>917</v>
      </c>
      <c r="K409" t="s">
        <v>918</v>
      </c>
      <c r="L409" s="4">
        <v>46128</v>
      </c>
      <c r="M409" t="s">
        <v>7579</v>
      </c>
      <c r="N409">
        <v>0.5</v>
      </c>
      <c r="O409">
        <v>3000000001829023</v>
      </c>
      <c r="P409" t="s">
        <v>6786</v>
      </c>
      <c r="Q409" t="s">
        <v>7234</v>
      </c>
      <c r="W409" t="str">
        <f>Tabla_Consulta_desde_Proyectos10[[#This Row],[PRYcodigo]]&amp;Tabla_Consulta_desde_Proyectos10[[#This Row],[PRYApath]]</f>
        <v>579-203-REDIMED/0026/0006</v>
      </c>
      <c r="X409" t="str">
        <f>Tabla_Consulta_desde_Proyectos10[[#This Row],[PRYAcodigo]]&amp;" - "&amp;Tabla_Consulta_desde_Proyectos10[[#This Row],[PRYAdescripcion]]</f>
        <v>3 - GESTIÓN DE BASES DE DATOS</v>
      </c>
      <c r="Y409" t="str">
        <f>SUBSTITUTE(IFERROR(VLOOKUP(LEFT(Tabla_Consulta_desde_Proyectos10[[#This Row],[Nivel1]],LEN(Tabla_Consulta_desde_Proyectos10[[#This Row],[Nivel1]])-5),Tabla_Consulta_desde_Proyectos10[[#All],[Nivel1]:[Actividad]],2,FALSE),""),"_","-")</f>
        <v>500.1-RM - ACTIVIDADES DEL EQUIPO DE RELEASE MANAGMENT</v>
      </c>
      <c r="Z409" t="str">
        <f>IFERROR(VLOOKUP(Tabla_Consulta_desde_Proyectos10[[#This Row],[PRYRAfecha]],'Fechas Mes'!G:J,4,TRUE),"")</f>
        <v>Semana 48CIP2</v>
      </c>
      <c r="AA409" t="str" cm="1">
        <f t="array" ref="AA409">INDEX('Fechas Mes'!F:F,MATCH(Tabla_Consulta_desde_Proyectos10[[#This Row],[Semana]],'Fechas Mes'!J:J,0),)</f>
        <v>M12CIP2</v>
      </c>
      <c r="AB409">
        <f>YEAR(Tabla_Consulta_desde_Proyectos10[[#This Row],[PRYRAfecha]])</f>
        <v>2026</v>
      </c>
      <c r="AC409" t="str">
        <f>VLOOKUP(Tabla_Consulta_desde_Proyectos10[[#This Row],[PRYRAfecha]],'Fechas Mes'!G:J,4,TRUE)</f>
        <v>Semana 48CIP2</v>
      </c>
      <c r="AD409" t="str">
        <f>IFERROR(VLOOKUP(Tabla_Consulta_desde_Proyectos10[[#This Row],[PRYcodigo]],Catálogo!A:B,2,FALSE),"Otros")</f>
        <v>Otros</v>
      </c>
      <c r="AE409" t="str">
        <f>IF(LEN(Tabla_Consulta_desde_Proyectos10[[#This Row],[Semana]])&lt;13,"CI",RIGHT(Tabla_Consulta_desde_Proyectos10[[#This Row],[Semana]],4))</f>
        <v>CIP2</v>
      </c>
    </row>
    <row r="410" spans="1:31">
      <c r="A410" t="s">
        <v>4032</v>
      </c>
      <c r="B410" t="s">
        <v>4907</v>
      </c>
      <c r="C410" t="s">
        <v>4908</v>
      </c>
      <c r="D410" t="s">
        <v>7207</v>
      </c>
      <c r="E410" t="s">
        <v>7237</v>
      </c>
      <c r="F410">
        <v>1</v>
      </c>
      <c r="G410" t="s">
        <v>7238</v>
      </c>
      <c r="H410" t="s">
        <v>642</v>
      </c>
      <c r="I410" t="s">
        <v>643</v>
      </c>
      <c r="J410" t="s">
        <v>917</v>
      </c>
      <c r="K410" t="s">
        <v>918</v>
      </c>
      <c r="L410" s="4">
        <v>46129</v>
      </c>
      <c r="M410" t="s">
        <v>7579</v>
      </c>
      <c r="N410">
        <v>0.5</v>
      </c>
      <c r="O410">
        <v>3000000001829113</v>
      </c>
      <c r="P410" t="s">
        <v>6786</v>
      </c>
      <c r="Q410" t="s">
        <v>7234</v>
      </c>
      <c r="W410" t="str">
        <f>Tabla_Consulta_desde_Proyectos10[[#This Row],[PRYcodigo]]&amp;Tabla_Consulta_desde_Proyectos10[[#This Row],[PRYApath]]</f>
        <v>579-203-REDIMED/0026/0006</v>
      </c>
      <c r="X410" t="str">
        <f>Tabla_Consulta_desde_Proyectos10[[#This Row],[PRYAcodigo]]&amp;" - "&amp;Tabla_Consulta_desde_Proyectos10[[#This Row],[PRYAdescripcion]]</f>
        <v>3 - GESTIÓN DE BASES DE DATOS</v>
      </c>
      <c r="Y410" t="str">
        <f>SUBSTITUTE(IFERROR(VLOOKUP(LEFT(Tabla_Consulta_desde_Proyectos10[[#This Row],[Nivel1]],LEN(Tabla_Consulta_desde_Proyectos10[[#This Row],[Nivel1]])-5),Tabla_Consulta_desde_Proyectos10[[#All],[Nivel1]:[Actividad]],2,FALSE),""),"_","-")</f>
        <v>500.1-RM - ACTIVIDADES DEL EQUIPO DE RELEASE MANAGMENT</v>
      </c>
      <c r="Z410" t="str">
        <f>IFERROR(VLOOKUP(Tabla_Consulta_desde_Proyectos10[[#This Row],[PRYRAfecha]],'Fechas Mes'!G:J,4,TRUE),"")</f>
        <v>Semana 48CIP2</v>
      </c>
      <c r="AA410" t="str" cm="1">
        <f t="array" ref="AA410">INDEX('Fechas Mes'!F:F,MATCH(Tabla_Consulta_desde_Proyectos10[[#This Row],[Semana]],'Fechas Mes'!J:J,0),)</f>
        <v>M12CIP2</v>
      </c>
      <c r="AB410">
        <f>YEAR(Tabla_Consulta_desde_Proyectos10[[#This Row],[PRYRAfecha]])</f>
        <v>2026</v>
      </c>
      <c r="AC410" t="str">
        <f>VLOOKUP(Tabla_Consulta_desde_Proyectos10[[#This Row],[PRYRAfecha]],'Fechas Mes'!G:J,4,TRUE)</f>
        <v>Semana 48CIP2</v>
      </c>
      <c r="AD410" t="str">
        <f>IFERROR(VLOOKUP(Tabla_Consulta_desde_Proyectos10[[#This Row],[PRYcodigo]],Catálogo!A:B,2,FALSE),"Otros")</f>
        <v>Otros</v>
      </c>
      <c r="AE410" t="str">
        <f>IF(LEN(Tabla_Consulta_desde_Proyectos10[[#This Row],[Semana]])&lt;13,"CI",RIGHT(Tabla_Consulta_desde_Proyectos10[[#This Row],[Semana]],4))</f>
        <v>CIP2</v>
      </c>
    </row>
    <row r="411" spans="1:31">
      <c r="A411" t="s">
        <v>4032</v>
      </c>
      <c r="B411" t="s">
        <v>4907</v>
      </c>
      <c r="C411" t="s">
        <v>4908</v>
      </c>
      <c r="D411" t="s">
        <v>7207</v>
      </c>
      <c r="E411" t="s">
        <v>7237</v>
      </c>
      <c r="F411">
        <v>1</v>
      </c>
      <c r="G411" t="s">
        <v>7238</v>
      </c>
      <c r="H411" t="s">
        <v>642</v>
      </c>
      <c r="I411" t="s">
        <v>643</v>
      </c>
      <c r="J411" t="s">
        <v>917</v>
      </c>
      <c r="K411" t="s">
        <v>918</v>
      </c>
      <c r="L411" s="4">
        <v>46132</v>
      </c>
      <c r="M411" t="s">
        <v>7560</v>
      </c>
      <c r="N411">
        <v>0.75</v>
      </c>
      <c r="O411">
        <v>3000000001831852</v>
      </c>
      <c r="P411" t="s">
        <v>6786</v>
      </c>
      <c r="Q411" t="s">
        <v>7234</v>
      </c>
      <c r="W411" t="str">
        <f>Tabla_Consulta_desde_Proyectos10[[#This Row],[PRYcodigo]]&amp;Tabla_Consulta_desde_Proyectos10[[#This Row],[PRYApath]]</f>
        <v>579-203-REDIMED/0026/0006</v>
      </c>
      <c r="X411" t="str">
        <f>Tabla_Consulta_desde_Proyectos10[[#This Row],[PRYAcodigo]]&amp;" - "&amp;Tabla_Consulta_desde_Proyectos10[[#This Row],[PRYAdescripcion]]</f>
        <v>3 - GESTIÓN DE BASES DE DATOS</v>
      </c>
      <c r="Y411" t="str">
        <f>SUBSTITUTE(IFERROR(VLOOKUP(LEFT(Tabla_Consulta_desde_Proyectos10[[#This Row],[Nivel1]],LEN(Tabla_Consulta_desde_Proyectos10[[#This Row],[Nivel1]])-5),Tabla_Consulta_desde_Proyectos10[[#All],[Nivel1]:[Actividad]],2,FALSE),""),"_","-")</f>
        <v>500.1-RM - ACTIVIDADES DEL EQUIPO DE RELEASE MANAGMENT</v>
      </c>
      <c r="Z411" t="str">
        <f>IFERROR(VLOOKUP(Tabla_Consulta_desde_Proyectos10[[#This Row],[PRYRAfecha]],'Fechas Mes'!G:J,4,TRUE),"")</f>
        <v>Semana 48CIP2</v>
      </c>
      <c r="AA411" t="str" cm="1">
        <f t="array" ref="AA411">INDEX('Fechas Mes'!F:F,MATCH(Tabla_Consulta_desde_Proyectos10[[#This Row],[Semana]],'Fechas Mes'!J:J,0),)</f>
        <v>M12CIP2</v>
      </c>
      <c r="AB411">
        <f>YEAR(Tabla_Consulta_desde_Proyectos10[[#This Row],[PRYRAfecha]])</f>
        <v>2026</v>
      </c>
      <c r="AC411" t="str">
        <f>VLOOKUP(Tabla_Consulta_desde_Proyectos10[[#This Row],[PRYRAfecha]],'Fechas Mes'!G:J,4,TRUE)</f>
        <v>Semana 48CIP2</v>
      </c>
      <c r="AD411" t="str">
        <f>IFERROR(VLOOKUP(Tabla_Consulta_desde_Proyectos10[[#This Row],[PRYcodigo]],Catálogo!A:B,2,FALSE),"Otros")</f>
        <v>Otros</v>
      </c>
      <c r="AE411" t="str">
        <f>IF(LEN(Tabla_Consulta_desde_Proyectos10[[#This Row],[Semana]])&lt;13,"CI",RIGHT(Tabla_Consulta_desde_Proyectos10[[#This Row],[Semana]],4))</f>
        <v>CIP2</v>
      </c>
    </row>
    <row r="412" spans="1:31">
      <c r="A412" t="s">
        <v>4032</v>
      </c>
      <c r="B412" t="s">
        <v>4907</v>
      </c>
      <c r="C412" t="s">
        <v>4908</v>
      </c>
      <c r="D412" t="s">
        <v>7207</v>
      </c>
      <c r="E412" t="s">
        <v>7237</v>
      </c>
      <c r="F412">
        <v>1</v>
      </c>
      <c r="G412" t="s">
        <v>7238</v>
      </c>
      <c r="H412" t="s">
        <v>642</v>
      </c>
      <c r="I412" t="s">
        <v>643</v>
      </c>
      <c r="J412" t="s">
        <v>917</v>
      </c>
      <c r="K412" t="s">
        <v>918</v>
      </c>
      <c r="L412" s="4">
        <v>46134</v>
      </c>
      <c r="M412" t="s">
        <v>7746</v>
      </c>
      <c r="N412">
        <v>0.75</v>
      </c>
      <c r="O412">
        <v>3000000001831885</v>
      </c>
      <c r="P412" t="s">
        <v>6786</v>
      </c>
      <c r="Q412" t="s">
        <v>7234</v>
      </c>
      <c r="W412" t="str">
        <f>Tabla_Consulta_desde_Proyectos10[[#This Row],[PRYcodigo]]&amp;Tabla_Consulta_desde_Proyectos10[[#This Row],[PRYApath]]</f>
        <v>579-203-REDIMED/0026/0006</v>
      </c>
      <c r="X412" t="str">
        <f>Tabla_Consulta_desde_Proyectos10[[#This Row],[PRYAcodigo]]&amp;" - "&amp;Tabla_Consulta_desde_Proyectos10[[#This Row],[PRYAdescripcion]]</f>
        <v>3 - GESTIÓN DE BASES DE DATOS</v>
      </c>
      <c r="Y412" t="str">
        <f>SUBSTITUTE(IFERROR(VLOOKUP(LEFT(Tabla_Consulta_desde_Proyectos10[[#This Row],[Nivel1]],LEN(Tabla_Consulta_desde_Proyectos10[[#This Row],[Nivel1]])-5),Tabla_Consulta_desde_Proyectos10[[#All],[Nivel1]:[Actividad]],2,FALSE),""),"_","-")</f>
        <v>500.1-RM - ACTIVIDADES DEL EQUIPO DE RELEASE MANAGMENT</v>
      </c>
      <c r="Z412" t="str">
        <f>IFERROR(VLOOKUP(Tabla_Consulta_desde_Proyectos10[[#This Row],[PRYRAfecha]],'Fechas Mes'!G:J,4,TRUE),"")</f>
        <v>Semana 48CIP2</v>
      </c>
      <c r="AA412" t="str" cm="1">
        <f t="array" ref="AA412">INDEX('Fechas Mes'!F:F,MATCH(Tabla_Consulta_desde_Proyectos10[[#This Row],[Semana]],'Fechas Mes'!J:J,0),)</f>
        <v>M12CIP2</v>
      </c>
      <c r="AB412">
        <f>YEAR(Tabla_Consulta_desde_Proyectos10[[#This Row],[PRYRAfecha]])</f>
        <v>2026</v>
      </c>
      <c r="AC412" t="str">
        <f>VLOOKUP(Tabla_Consulta_desde_Proyectos10[[#This Row],[PRYRAfecha]],'Fechas Mes'!G:J,4,TRUE)</f>
        <v>Semana 48CIP2</v>
      </c>
      <c r="AD412" t="str">
        <f>IFERROR(VLOOKUP(Tabla_Consulta_desde_Proyectos10[[#This Row],[PRYcodigo]],Catálogo!A:B,2,FALSE),"Otros")</f>
        <v>Otros</v>
      </c>
      <c r="AE412" t="str">
        <f>IF(LEN(Tabla_Consulta_desde_Proyectos10[[#This Row],[Semana]])&lt;13,"CI",RIGHT(Tabla_Consulta_desde_Proyectos10[[#This Row],[Semana]],4))</f>
        <v>CIP2</v>
      </c>
    </row>
    <row r="413" spans="1:31">
      <c r="A413" t="s">
        <v>4032</v>
      </c>
      <c r="B413" t="s">
        <v>4907</v>
      </c>
      <c r="C413" t="s">
        <v>4908</v>
      </c>
      <c r="D413" t="s">
        <v>7207</v>
      </c>
      <c r="E413" t="s">
        <v>7237</v>
      </c>
      <c r="F413">
        <v>1</v>
      </c>
      <c r="G413" t="s">
        <v>7238</v>
      </c>
      <c r="H413" t="s">
        <v>642</v>
      </c>
      <c r="I413" t="s">
        <v>643</v>
      </c>
      <c r="J413" t="s">
        <v>917</v>
      </c>
      <c r="K413" t="s">
        <v>918</v>
      </c>
      <c r="L413" s="4">
        <v>46135</v>
      </c>
      <c r="M413" t="s">
        <v>7561</v>
      </c>
      <c r="N413">
        <v>0.5</v>
      </c>
      <c r="O413">
        <v>3000000001832899</v>
      </c>
      <c r="P413" t="s">
        <v>6786</v>
      </c>
      <c r="Q413" t="s">
        <v>7234</v>
      </c>
      <c r="W413" t="str">
        <f>Tabla_Consulta_desde_Proyectos10[[#This Row],[PRYcodigo]]&amp;Tabla_Consulta_desde_Proyectos10[[#This Row],[PRYApath]]</f>
        <v>579-203-REDIMED/0026/0006</v>
      </c>
      <c r="X413" t="str">
        <f>Tabla_Consulta_desde_Proyectos10[[#This Row],[PRYAcodigo]]&amp;" - "&amp;Tabla_Consulta_desde_Proyectos10[[#This Row],[PRYAdescripcion]]</f>
        <v>3 - GESTIÓN DE BASES DE DATOS</v>
      </c>
      <c r="Y413" t="str">
        <f>SUBSTITUTE(IFERROR(VLOOKUP(LEFT(Tabla_Consulta_desde_Proyectos10[[#This Row],[Nivel1]],LEN(Tabla_Consulta_desde_Proyectos10[[#This Row],[Nivel1]])-5),Tabla_Consulta_desde_Proyectos10[[#All],[Nivel1]:[Actividad]],2,FALSE),""),"_","-")</f>
        <v>500.1-RM - ACTIVIDADES DEL EQUIPO DE RELEASE MANAGMENT</v>
      </c>
      <c r="Z413" t="str">
        <f>IFERROR(VLOOKUP(Tabla_Consulta_desde_Proyectos10[[#This Row],[PRYRAfecha]],'Fechas Mes'!G:J,4,TRUE),"")</f>
        <v>Semana 48CIP2</v>
      </c>
      <c r="AA413" t="str" cm="1">
        <f t="array" ref="AA413">INDEX('Fechas Mes'!F:F,MATCH(Tabla_Consulta_desde_Proyectos10[[#This Row],[Semana]],'Fechas Mes'!J:J,0),)</f>
        <v>M12CIP2</v>
      </c>
      <c r="AB413">
        <f>YEAR(Tabla_Consulta_desde_Proyectos10[[#This Row],[PRYRAfecha]])</f>
        <v>2026</v>
      </c>
      <c r="AC413" t="str">
        <f>VLOOKUP(Tabla_Consulta_desde_Proyectos10[[#This Row],[PRYRAfecha]],'Fechas Mes'!G:J,4,TRUE)</f>
        <v>Semana 48CIP2</v>
      </c>
      <c r="AD413" t="str">
        <f>IFERROR(VLOOKUP(Tabla_Consulta_desde_Proyectos10[[#This Row],[PRYcodigo]],Catálogo!A:B,2,FALSE),"Otros")</f>
        <v>Otros</v>
      </c>
      <c r="AE413" t="str">
        <f>IF(LEN(Tabla_Consulta_desde_Proyectos10[[#This Row],[Semana]])&lt;13,"CI",RIGHT(Tabla_Consulta_desde_Proyectos10[[#This Row],[Semana]],4))</f>
        <v>CIP2</v>
      </c>
    </row>
    <row r="414" spans="1:31">
      <c r="A414" t="s">
        <v>4032</v>
      </c>
      <c r="B414" t="s">
        <v>4907</v>
      </c>
      <c r="C414" t="s">
        <v>4908</v>
      </c>
      <c r="D414" t="s">
        <v>7207</v>
      </c>
      <c r="E414" t="s">
        <v>7237</v>
      </c>
      <c r="F414">
        <v>1</v>
      </c>
      <c r="G414" t="s">
        <v>7238</v>
      </c>
      <c r="H414" t="s">
        <v>642</v>
      </c>
      <c r="I414" t="s">
        <v>643</v>
      </c>
      <c r="J414" t="s">
        <v>917</v>
      </c>
      <c r="K414" t="s">
        <v>918</v>
      </c>
      <c r="L414" s="4">
        <v>46136</v>
      </c>
      <c r="M414" t="s">
        <v>7579</v>
      </c>
      <c r="N414">
        <v>0.5</v>
      </c>
      <c r="O414">
        <v>3000000001832915</v>
      </c>
      <c r="P414" t="s">
        <v>6786</v>
      </c>
      <c r="Q414" t="s">
        <v>7234</v>
      </c>
      <c r="W414" t="str">
        <f>Tabla_Consulta_desde_Proyectos10[[#This Row],[PRYcodigo]]&amp;Tabla_Consulta_desde_Proyectos10[[#This Row],[PRYApath]]</f>
        <v>579-203-REDIMED/0026/0006</v>
      </c>
      <c r="X414" t="str">
        <f>Tabla_Consulta_desde_Proyectos10[[#This Row],[PRYAcodigo]]&amp;" - "&amp;Tabla_Consulta_desde_Proyectos10[[#This Row],[PRYAdescripcion]]</f>
        <v>3 - GESTIÓN DE BASES DE DATOS</v>
      </c>
      <c r="Y414" t="str">
        <f>SUBSTITUTE(IFERROR(VLOOKUP(LEFT(Tabla_Consulta_desde_Proyectos10[[#This Row],[Nivel1]],LEN(Tabla_Consulta_desde_Proyectos10[[#This Row],[Nivel1]])-5),Tabla_Consulta_desde_Proyectos10[[#All],[Nivel1]:[Actividad]],2,FALSE),""),"_","-")</f>
        <v>500.1-RM - ACTIVIDADES DEL EQUIPO DE RELEASE MANAGMENT</v>
      </c>
      <c r="Z414" t="str">
        <f>IFERROR(VLOOKUP(Tabla_Consulta_desde_Proyectos10[[#This Row],[PRYRAfecha]],'Fechas Mes'!G:J,4,TRUE),"")</f>
        <v>Semana 48CIP2</v>
      </c>
      <c r="AA414" t="str" cm="1">
        <f t="array" ref="AA414">INDEX('Fechas Mes'!F:F,MATCH(Tabla_Consulta_desde_Proyectos10[[#This Row],[Semana]],'Fechas Mes'!J:J,0),)</f>
        <v>M12CIP2</v>
      </c>
      <c r="AB414">
        <f>YEAR(Tabla_Consulta_desde_Proyectos10[[#This Row],[PRYRAfecha]])</f>
        <v>2026</v>
      </c>
      <c r="AC414" t="str">
        <f>VLOOKUP(Tabla_Consulta_desde_Proyectos10[[#This Row],[PRYRAfecha]],'Fechas Mes'!G:J,4,TRUE)</f>
        <v>Semana 48CIP2</v>
      </c>
      <c r="AD414" t="str">
        <f>IFERROR(VLOOKUP(Tabla_Consulta_desde_Proyectos10[[#This Row],[PRYcodigo]],Catálogo!A:B,2,FALSE),"Otros")</f>
        <v>Otros</v>
      </c>
      <c r="AE414" t="str">
        <f>IF(LEN(Tabla_Consulta_desde_Proyectos10[[#This Row],[Semana]])&lt;13,"CI",RIGHT(Tabla_Consulta_desde_Proyectos10[[#This Row],[Semana]],4))</f>
        <v>CIP2</v>
      </c>
    </row>
    <row r="415" spans="1:31">
      <c r="A415" t="s">
        <v>4032</v>
      </c>
      <c r="B415" t="s">
        <v>4907</v>
      </c>
      <c r="C415" t="s">
        <v>4908</v>
      </c>
      <c r="D415" t="s">
        <v>7207</v>
      </c>
      <c r="E415" t="s">
        <v>7237</v>
      </c>
      <c r="F415">
        <v>1</v>
      </c>
      <c r="G415" t="s">
        <v>7238</v>
      </c>
      <c r="H415" t="s">
        <v>642</v>
      </c>
      <c r="I415" t="s">
        <v>643</v>
      </c>
      <c r="J415" t="s">
        <v>917</v>
      </c>
      <c r="K415" t="s">
        <v>918</v>
      </c>
      <c r="L415" s="4">
        <v>46139</v>
      </c>
      <c r="M415" t="s">
        <v>7560</v>
      </c>
      <c r="N415">
        <v>0.5</v>
      </c>
      <c r="O415">
        <v>3000000001835743</v>
      </c>
      <c r="P415" t="s">
        <v>6786</v>
      </c>
      <c r="Q415" t="s">
        <v>7234</v>
      </c>
      <c r="W415" t="str">
        <f>Tabla_Consulta_desde_Proyectos10[[#This Row],[PRYcodigo]]&amp;Tabla_Consulta_desde_Proyectos10[[#This Row],[PRYApath]]</f>
        <v>579-203-REDIMED/0026/0006</v>
      </c>
      <c r="X415" t="str">
        <f>Tabla_Consulta_desde_Proyectos10[[#This Row],[PRYAcodigo]]&amp;" - "&amp;Tabla_Consulta_desde_Proyectos10[[#This Row],[PRYAdescripcion]]</f>
        <v>3 - GESTIÓN DE BASES DE DATOS</v>
      </c>
      <c r="Y415" t="str">
        <f>SUBSTITUTE(IFERROR(VLOOKUP(LEFT(Tabla_Consulta_desde_Proyectos10[[#This Row],[Nivel1]],LEN(Tabla_Consulta_desde_Proyectos10[[#This Row],[Nivel1]])-5),Tabla_Consulta_desde_Proyectos10[[#All],[Nivel1]:[Actividad]],2,FALSE),""),"_","-")</f>
        <v>500.1-RM - ACTIVIDADES DEL EQUIPO DE RELEASE MANAGMENT</v>
      </c>
      <c r="Z415" t="str">
        <f>IFERROR(VLOOKUP(Tabla_Consulta_desde_Proyectos10[[#This Row],[PRYRAfecha]],'Fechas Mes'!G:J,4,TRUE),"")</f>
        <v>Semana 48CIP2</v>
      </c>
      <c r="AA415" t="str" cm="1">
        <f t="array" ref="AA415">INDEX('Fechas Mes'!F:F,MATCH(Tabla_Consulta_desde_Proyectos10[[#This Row],[Semana]],'Fechas Mes'!J:J,0),)</f>
        <v>M12CIP2</v>
      </c>
      <c r="AB415">
        <f>YEAR(Tabla_Consulta_desde_Proyectos10[[#This Row],[PRYRAfecha]])</f>
        <v>2026</v>
      </c>
      <c r="AC415" t="str">
        <f>VLOOKUP(Tabla_Consulta_desde_Proyectos10[[#This Row],[PRYRAfecha]],'Fechas Mes'!G:J,4,TRUE)</f>
        <v>Semana 48CIP2</v>
      </c>
      <c r="AD415" t="str">
        <f>IFERROR(VLOOKUP(Tabla_Consulta_desde_Proyectos10[[#This Row],[PRYcodigo]],Catálogo!A:B,2,FALSE),"Otros")</f>
        <v>Otros</v>
      </c>
      <c r="AE415" t="str">
        <f>IF(LEN(Tabla_Consulta_desde_Proyectos10[[#This Row],[Semana]])&lt;13,"CI",RIGHT(Tabla_Consulta_desde_Proyectos10[[#This Row],[Semana]],4))</f>
        <v>CIP2</v>
      </c>
    </row>
    <row r="416" spans="1:31">
      <c r="A416" t="s">
        <v>4032</v>
      </c>
      <c r="B416" t="s">
        <v>4907</v>
      </c>
      <c r="C416" t="s">
        <v>4908</v>
      </c>
      <c r="D416" t="s">
        <v>7207</v>
      </c>
      <c r="E416" t="s">
        <v>7237</v>
      </c>
      <c r="F416">
        <v>1</v>
      </c>
      <c r="G416" t="s">
        <v>7238</v>
      </c>
      <c r="H416" t="s">
        <v>642</v>
      </c>
      <c r="I416" t="s">
        <v>643</v>
      </c>
      <c r="J416" t="s">
        <v>917</v>
      </c>
      <c r="K416" t="s">
        <v>918</v>
      </c>
      <c r="L416" s="4">
        <v>46140</v>
      </c>
      <c r="M416" t="s">
        <v>7561</v>
      </c>
      <c r="N416">
        <v>0.5</v>
      </c>
      <c r="O416">
        <v>3000000001835760</v>
      </c>
      <c r="P416" t="s">
        <v>6786</v>
      </c>
      <c r="Q416" t="s">
        <v>7234</v>
      </c>
      <c r="W416" t="str">
        <f>Tabla_Consulta_desde_Proyectos10[[#This Row],[PRYcodigo]]&amp;Tabla_Consulta_desde_Proyectos10[[#This Row],[PRYApath]]</f>
        <v>579-203-REDIMED/0026/0006</v>
      </c>
      <c r="X416" t="str">
        <f>Tabla_Consulta_desde_Proyectos10[[#This Row],[PRYAcodigo]]&amp;" - "&amp;Tabla_Consulta_desde_Proyectos10[[#This Row],[PRYAdescripcion]]</f>
        <v>3 - GESTIÓN DE BASES DE DATOS</v>
      </c>
      <c r="Y416" t="str">
        <f>SUBSTITUTE(IFERROR(VLOOKUP(LEFT(Tabla_Consulta_desde_Proyectos10[[#This Row],[Nivel1]],LEN(Tabla_Consulta_desde_Proyectos10[[#This Row],[Nivel1]])-5),Tabla_Consulta_desde_Proyectos10[[#All],[Nivel1]:[Actividad]],2,FALSE),""),"_","-")</f>
        <v>500.1-RM - ACTIVIDADES DEL EQUIPO DE RELEASE MANAGMENT</v>
      </c>
      <c r="Z416" t="str">
        <f>IFERROR(VLOOKUP(Tabla_Consulta_desde_Proyectos10[[#This Row],[PRYRAfecha]],'Fechas Mes'!G:J,4,TRUE),"")</f>
        <v>Semana 48CIP2</v>
      </c>
      <c r="AA416" t="str" cm="1">
        <f t="array" ref="AA416">INDEX('Fechas Mes'!F:F,MATCH(Tabla_Consulta_desde_Proyectos10[[#This Row],[Semana]],'Fechas Mes'!J:J,0),)</f>
        <v>M12CIP2</v>
      </c>
      <c r="AB416">
        <f>YEAR(Tabla_Consulta_desde_Proyectos10[[#This Row],[PRYRAfecha]])</f>
        <v>2026</v>
      </c>
      <c r="AC416" t="str">
        <f>VLOOKUP(Tabla_Consulta_desde_Proyectos10[[#This Row],[PRYRAfecha]],'Fechas Mes'!G:J,4,TRUE)</f>
        <v>Semana 48CIP2</v>
      </c>
      <c r="AD416" t="str">
        <f>IFERROR(VLOOKUP(Tabla_Consulta_desde_Proyectos10[[#This Row],[PRYcodigo]],Catálogo!A:B,2,FALSE),"Otros")</f>
        <v>Otros</v>
      </c>
      <c r="AE416" t="str">
        <f>IF(LEN(Tabla_Consulta_desde_Proyectos10[[#This Row],[Semana]])&lt;13,"CI",RIGHT(Tabla_Consulta_desde_Proyectos10[[#This Row],[Semana]],4))</f>
        <v>CIP2</v>
      </c>
    </row>
    <row r="417" spans="1:31">
      <c r="A417" t="s">
        <v>4032</v>
      </c>
      <c r="B417" t="s">
        <v>4907</v>
      </c>
      <c r="C417" t="s">
        <v>4908</v>
      </c>
      <c r="D417" t="s">
        <v>7207</v>
      </c>
      <c r="E417" t="s">
        <v>7237</v>
      </c>
      <c r="F417">
        <v>1</v>
      </c>
      <c r="G417" t="s">
        <v>7238</v>
      </c>
      <c r="H417" t="s">
        <v>642</v>
      </c>
      <c r="I417" t="s">
        <v>643</v>
      </c>
      <c r="J417" t="s">
        <v>917</v>
      </c>
      <c r="K417" t="s">
        <v>918</v>
      </c>
      <c r="L417" s="4">
        <v>46141</v>
      </c>
      <c r="M417" t="s">
        <v>7561</v>
      </c>
      <c r="N417">
        <v>0.5</v>
      </c>
      <c r="O417">
        <v>3000000001835781</v>
      </c>
      <c r="P417" t="s">
        <v>6786</v>
      </c>
      <c r="Q417" t="s">
        <v>7234</v>
      </c>
      <c r="W417" t="str">
        <f>Tabla_Consulta_desde_Proyectos10[[#This Row],[PRYcodigo]]&amp;Tabla_Consulta_desde_Proyectos10[[#This Row],[PRYApath]]</f>
        <v>579-203-REDIMED/0026/0006</v>
      </c>
      <c r="X417" t="str">
        <f>Tabla_Consulta_desde_Proyectos10[[#This Row],[PRYAcodigo]]&amp;" - "&amp;Tabla_Consulta_desde_Proyectos10[[#This Row],[PRYAdescripcion]]</f>
        <v>3 - GESTIÓN DE BASES DE DATOS</v>
      </c>
      <c r="Y417" t="str">
        <f>SUBSTITUTE(IFERROR(VLOOKUP(LEFT(Tabla_Consulta_desde_Proyectos10[[#This Row],[Nivel1]],LEN(Tabla_Consulta_desde_Proyectos10[[#This Row],[Nivel1]])-5),Tabla_Consulta_desde_Proyectos10[[#All],[Nivel1]:[Actividad]],2,FALSE),""),"_","-")</f>
        <v>500.1-RM - ACTIVIDADES DEL EQUIPO DE RELEASE MANAGMENT</v>
      </c>
      <c r="Z417" t="str">
        <f>IFERROR(VLOOKUP(Tabla_Consulta_desde_Proyectos10[[#This Row],[PRYRAfecha]],'Fechas Mes'!G:J,4,TRUE),"")</f>
        <v>Semana 48CIP2</v>
      </c>
      <c r="AA417" t="str" cm="1">
        <f t="array" ref="AA417">INDEX('Fechas Mes'!F:F,MATCH(Tabla_Consulta_desde_Proyectos10[[#This Row],[Semana]],'Fechas Mes'!J:J,0),)</f>
        <v>M12CIP2</v>
      </c>
      <c r="AB417">
        <f>YEAR(Tabla_Consulta_desde_Proyectos10[[#This Row],[PRYRAfecha]])</f>
        <v>2026</v>
      </c>
      <c r="AC417" t="str">
        <f>VLOOKUP(Tabla_Consulta_desde_Proyectos10[[#This Row],[PRYRAfecha]],'Fechas Mes'!G:J,4,TRUE)</f>
        <v>Semana 48CIP2</v>
      </c>
      <c r="AD417" t="str">
        <f>IFERROR(VLOOKUP(Tabla_Consulta_desde_Proyectos10[[#This Row],[PRYcodigo]],Catálogo!A:B,2,FALSE),"Otros")</f>
        <v>Otros</v>
      </c>
      <c r="AE417" t="str">
        <f>IF(LEN(Tabla_Consulta_desde_Proyectos10[[#This Row],[Semana]])&lt;13,"CI",RIGHT(Tabla_Consulta_desde_Proyectos10[[#This Row],[Semana]],4))</f>
        <v>CIP2</v>
      </c>
    </row>
    <row r="418" spans="1:31">
      <c r="A418" t="s">
        <v>4032</v>
      </c>
      <c r="B418" t="s">
        <v>4907</v>
      </c>
      <c r="C418" t="s">
        <v>4908</v>
      </c>
      <c r="D418" t="s">
        <v>7207</v>
      </c>
      <c r="E418" t="s">
        <v>7237</v>
      </c>
      <c r="F418">
        <v>1</v>
      </c>
      <c r="G418" t="s">
        <v>7238</v>
      </c>
      <c r="H418" t="s">
        <v>642</v>
      </c>
      <c r="I418" t="s">
        <v>643</v>
      </c>
      <c r="J418" t="s">
        <v>917</v>
      </c>
      <c r="K418" t="s">
        <v>918</v>
      </c>
      <c r="L418" s="4">
        <v>46142</v>
      </c>
      <c r="M418" t="s">
        <v>7579</v>
      </c>
      <c r="N418">
        <v>0.5</v>
      </c>
      <c r="O418">
        <v>3000000001835799</v>
      </c>
      <c r="P418" t="s">
        <v>6786</v>
      </c>
      <c r="Q418" t="s">
        <v>7234</v>
      </c>
      <c r="W418" t="str">
        <f>Tabla_Consulta_desde_Proyectos10[[#This Row],[PRYcodigo]]&amp;Tabla_Consulta_desde_Proyectos10[[#This Row],[PRYApath]]</f>
        <v>579-203-REDIMED/0026/0006</v>
      </c>
      <c r="X418" t="str">
        <f>Tabla_Consulta_desde_Proyectos10[[#This Row],[PRYAcodigo]]&amp;" - "&amp;Tabla_Consulta_desde_Proyectos10[[#This Row],[PRYAdescripcion]]</f>
        <v>3 - GESTIÓN DE BASES DE DATOS</v>
      </c>
      <c r="Y418" t="str">
        <f>SUBSTITUTE(IFERROR(VLOOKUP(LEFT(Tabla_Consulta_desde_Proyectos10[[#This Row],[Nivel1]],LEN(Tabla_Consulta_desde_Proyectos10[[#This Row],[Nivel1]])-5),Tabla_Consulta_desde_Proyectos10[[#All],[Nivel1]:[Actividad]],2,FALSE),""),"_","-")</f>
        <v>500.1-RM - ACTIVIDADES DEL EQUIPO DE RELEASE MANAGMENT</v>
      </c>
      <c r="Z418" t="str">
        <f>IFERROR(VLOOKUP(Tabla_Consulta_desde_Proyectos10[[#This Row],[PRYRAfecha]],'Fechas Mes'!G:J,4,TRUE),"")</f>
        <v>Semana 48CIP2</v>
      </c>
      <c r="AA418" t="str" cm="1">
        <f t="array" ref="AA418">INDEX('Fechas Mes'!F:F,MATCH(Tabla_Consulta_desde_Proyectos10[[#This Row],[Semana]],'Fechas Mes'!J:J,0),)</f>
        <v>M12CIP2</v>
      </c>
      <c r="AB418">
        <f>YEAR(Tabla_Consulta_desde_Proyectos10[[#This Row],[PRYRAfecha]])</f>
        <v>2026</v>
      </c>
      <c r="AC418" t="str">
        <f>VLOOKUP(Tabla_Consulta_desde_Proyectos10[[#This Row],[PRYRAfecha]],'Fechas Mes'!G:J,4,TRUE)</f>
        <v>Semana 48CIP2</v>
      </c>
      <c r="AD418" t="str">
        <f>IFERROR(VLOOKUP(Tabla_Consulta_desde_Proyectos10[[#This Row],[PRYcodigo]],Catálogo!A:B,2,FALSE),"Otros")</f>
        <v>Otros</v>
      </c>
      <c r="AE418" t="str">
        <f>IF(LEN(Tabla_Consulta_desde_Proyectos10[[#This Row],[Semana]])&lt;13,"CI",RIGHT(Tabla_Consulta_desde_Proyectos10[[#This Row],[Semana]],4))</f>
        <v>CIP2</v>
      </c>
    </row>
    <row r="419" spans="1:31">
      <c r="A419" t="s">
        <v>4032</v>
      </c>
      <c r="B419" t="s">
        <v>4907</v>
      </c>
      <c r="C419" t="s">
        <v>4908</v>
      </c>
      <c r="D419" t="s">
        <v>7207</v>
      </c>
      <c r="E419" t="s">
        <v>7237</v>
      </c>
      <c r="F419">
        <v>1</v>
      </c>
      <c r="G419" t="s">
        <v>7238</v>
      </c>
      <c r="H419" t="s">
        <v>642</v>
      </c>
      <c r="I419" t="s">
        <v>643</v>
      </c>
      <c r="J419" t="s">
        <v>917</v>
      </c>
      <c r="K419" t="s">
        <v>918</v>
      </c>
      <c r="L419" s="4">
        <v>46142</v>
      </c>
      <c r="M419" t="s">
        <v>7747</v>
      </c>
      <c r="N419">
        <v>1.25</v>
      </c>
      <c r="O419">
        <v>3000000001835806</v>
      </c>
      <c r="P419" t="s">
        <v>6786</v>
      </c>
      <c r="Q419" t="s">
        <v>7234</v>
      </c>
      <c r="W419" t="str">
        <f>Tabla_Consulta_desde_Proyectos10[[#This Row],[PRYcodigo]]&amp;Tabla_Consulta_desde_Proyectos10[[#This Row],[PRYApath]]</f>
        <v>579-203-REDIMED/0026/0006</v>
      </c>
      <c r="X419" t="str">
        <f>Tabla_Consulta_desde_Proyectos10[[#This Row],[PRYAcodigo]]&amp;" - "&amp;Tabla_Consulta_desde_Proyectos10[[#This Row],[PRYAdescripcion]]</f>
        <v>3 - GESTIÓN DE BASES DE DATOS</v>
      </c>
      <c r="Y419" t="str">
        <f>SUBSTITUTE(IFERROR(VLOOKUP(LEFT(Tabla_Consulta_desde_Proyectos10[[#This Row],[Nivel1]],LEN(Tabla_Consulta_desde_Proyectos10[[#This Row],[Nivel1]])-5),Tabla_Consulta_desde_Proyectos10[[#All],[Nivel1]:[Actividad]],2,FALSE),""),"_","-")</f>
        <v>500.1-RM - ACTIVIDADES DEL EQUIPO DE RELEASE MANAGMENT</v>
      </c>
      <c r="Z419" t="str">
        <f>IFERROR(VLOOKUP(Tabla_Consulta_desde_Proyectos10[[#This Row],[PRYRAfecha]],'Fechas Mes'!G:J,4,TRUE),"")</f>
        <v>Semana 48CIP2</v>
      </c>
      <c r="AA419" t="str" cm="1">
        <f t="array" ref="AA419">INDEX('Fechas Mes'!F:F,MATCH(Tabla_Consulta_desde_Proyectos10[[#This Row],[Semana]],'Fechas Mes'!J:J,0),)</f>
        <v>M12CIP2</v>
      </c>
      <c r="AB419">
        <f>YEAR(Tabla_Consulta_desde_Proyectos10[[#This Row],[PRYRAfecha]])</f>
        <v>2026</v>
      </c>
      <c r="AC419" t="str">
        <f>VLOOKUP(Tabla_Consulta_desde_Proyectos10[[#This Row],[PRYRAfecha]],'Fechas Mes'!G:J,4,TRUE)</f>
        <v>Semana 48CIP2</v>
      </c>
      <c r="AD419" t="str">
        <f>IFERROR(VLOOKUP(Tabla_Consulta_desde_Proyectos10[[#This Row],[PRYcodigo]],Catálogo!A:B,2,FALSE),"Otros")</f>
        <v>Otros</v>
      </c>
      <c r="AE419" t="str">
        <f>IF(LEN(Tabla_Consulta_desde_Proyectos10[[#This Row],[Semana]])&lt;13,"CI",RIGHT(Tabla_Consulta_desde_Proyectos10[[#This Row],[Semana]],4))</f>
        <v>CIP2</v>
      </c>
    </row>
    <row r="420" spans="1:31">
      <c r="A420" t="s">
        <v>4032</v>
      </c>
      <c r="B420" t="s">
        <v>4907</v>
      </c>
      <c r="C420" t="s">
        <v>4908</v>
      </c>
      <c r="D420" t="s">
        <v>7219</v>
      </c>
      <c r="E420" t="s">
        <v>7244</v>
      </c>
      <c r="F420">
        <v>1</v>
      </c>
      <c r="G420" t="s">
        <v>7556</v>
      </c>
      <c r="H420" t="s">
        <v>6627</v>
      </c>
      <c r="I420" t="s">
        <v>6628</v>
      </c>
      <c r="J420" t="s">
        <v>6683</v>
      </c>
      <c r="K420" t="s">
        <v>6684</v>
      </c>
      <c r="L420" s="4">
        <v>46122</v>
      </c>
      <c r="M420" t="s">
        <v>7748</v>
      </c>
      <c r="N420">
        <v>0.5</v>
      </c>
      <c r="O420">
        <v>3000000001827014</v>
      </c>
      <c r="P420" t="s">
        <v>6790</v>
      </c>
      <c r="Q420" t="s">
        <v>7240</v>
      </c>
      <c r="W420" t="str">
        <f>Tabla_Consulta_desde_Proyectos10[[#This Row],[PRYcodigo]]&amp;Tabla_Consulta_desde_Proyectos10[[#This Row],[PRYApath]]</f>
        <v>579-203-REDIMED/0026/0010</v>
      </c>
      <c r="X420" t="str">
        <f>Tabla_Consulta_desde_Proyectos10[[#This Row],[PRYAcodigo]]&amp;" - "&amp;Tabla_Consulta_desde_Proyectos10[[#This Row],[PRYAdescripcion]]</f>
        <v>5 - AUTOMATIZACIÓN</v>
      </c>
      <c r="Y420" t="str">
        <f>SUBSTITUTE(IFERROR(VLOOKUP(LEFT(Tabla_Consulta_desde_Proyectos10[[#This Row],[Nivel1]],LEN(Tabla_Consulta_desde_Proyectos10[[#This Row],[Nivel1]])-5),Tabla_Consulta_desde_Proyectos10[[#All],[Nivel1]:[Actividad]],2,FALSE),""),"_","-")</f>
        <v>500.1-RM - ACTIVIDADES DEL EQUIPO DE RELEASE MANAGMENT</v>
      </c>
      <c r="Z420" t="str">
        <f>IFERROR(VLOOKUP(Tabla_Consulta_desde_Proyectos10[[#This Row],[PRYRAfecha]],'Fechas Mes'!G:J,4,TRUE),"")</f>
        <v>Semana 48CIP2</v>
      </c>
      <c r="AA420" t="str" cm="1">
        <f t="array" ref="AA420">INDEX('Fechas Mes'!F:F,MATCH(Tabla_Consulta_desde_Proyectos10[[#This Row],[Semana]],'Fechas Mes'!J:J,0),)</f>
        <v>M12CIP2</v>
      </c>
      <c r="AB420">
        <f>YEAR(Tabla_Consulta_desde_Proyectos10[[#This Row],[PRYRAfecha]])</f>
        <v>2026</v>
      </c>
      <c r="AC420" t="str">
        <f>VLOOKUP(Tabla_Consulta_desde_Proyectos10[[#This Row],[PRYRAfecha]],'Fechas Mes'!G:J,4,TRUE)</f>
        <v>Semana 48CIP2</v>
      </c>
      <c r="AD420" t="str">
        <f>IFERROR(VLOOKUP(Tabla_Consulta_desde_Proyectos10[[#This Row],[PRYcodigo]],Catálogo!A:B,2,FALSE),"Otros")</f>
        <v>Otros</v>
      </c>
      <c r="AE420" t="str">
        <f>IF(LEN(Tabla_Consulta_desde_Proyectos10[[#This Row],[Semana]])&lt;13,"CI",RIGHT(Tabla_Consulta_desde_Proyectos10[[#This Row],[Semana]],4))</f>
        <v>CIP2</v>
      </c>
    </row>
    <row r="421" spans="1:31">
      <c r="A421" t="s">
        <v>4032</v>
      </c>
      <c r="B421" t="s">
        <v>4907</v>
      </c>
      <c r="C421" t="s">
        <v>4908</v>
      </c>
      <c r="D421" t="s">
        <v>7219</v>
      </c>
      <c r="E421" t="s">
        <v>7244</v>
      </c>
      <c r="F421">
        <v>1</v>
      </c>
      <c r="G421" t="s">
        <v>7556</v>
      </c>
      <c r="H421" t="s">
        <v>6627</v>
      </c>
      <c r="I421" t="s">
        <v>6628</v>
      </c>
      <c r="J421" t="s">
        <v>6683</v>
      </c>
      <c r="K421" t="s">
        <v>6684</v>
      </c>
      <c r="L421" s="4">
        <v>46125</v>
      </c>
      <c r="M421" t="s">
        <v>7749</v>
      </c>
      <c r="N421">
        <v>1</v>
      </c>
      <c r="O421">
        <v>3000000001829455</v>
      </c>
      <c r="P421" t="s">
        <v>6790</v>
      </c>
      <c r="Q421" t="s">
        <v>7240</v>
      </c>
      <c r="W421" t="str">
        <f>Tabla_Consulta_desde_Proyectos10[[#This Row],[PRYcodigo]]&amp;Tabla_Consulta_desde_Proyectos10[[#This Row],[PRYApath]]</f>
        <v>579-203-REDIMED/0026/0010</v>
      </c>
      <c r="X421" t="str">
        <f>Tabla_Consulta_desde_Proyectos10[[#This Row],[PRYAcodigo]]&amp;" - "&amp;Tabla_Consulta_desde_Proyectos10[[#This Row],[PRYAdescripcion]]</f>
        <v>5 - AUTOMATIZACIÓN</v>
      </c>
      <c r="Y421" t="str">
        <f>SUBSTITUTE(IFERROR(VLOOKUP(LEFT(Tabla_Consulta_desde_Proyectos10[[#This Row],[Nivel1]],LEN(Tabla_Consulta_desde_Proyectos10[[#This Row],[Nivel1]])-5),Tabla_Consulta_desde_Proyectos10[[#All],[Nivel1]:[Actividad]],2,FALSE),""),"_","-")</f>
        <v>500.1-RM - ACTIVIDADES DEL EQUIPO DE RELEASE MANAGMENT</v>
      </c>
      <c r="Z421" t="str">
        <f>IFERROR(VLOOKUP(Tabla_Consulta_desde_Proyectos10[[#This Row],[PRYRAfecha]],'Fechas Mes'!G:J,4,TRUE),"")</f>
        <v>Semana 48CIP2</v>
      </c>
      <c r="AA421" t="str" cm="1">
        <f t="array" ref="AA421">INDEX('Fechas Mes'!F:F,MATCH(Tabla_Consulta_desde_Proyectos10[[#This Row],[Semana]],'Fechas Mes'!J:J,0),)</f>
        <v>M12CIP2</v>
      </c>
      <c r="AB421">
        <f>YEAR(Tabla_Consulta_desde_Proyectos10[[#This Row],[PRYRAfecha]])</f>
        <v>2026</v>
      </c>
      <c r="AC421" t="str">
        <f>VLOOKUP(Tabla_Consulta_desde_Proyectos10[[#This Row],[PRYRAfecha]],'Fechas Mes'!G:J,4,TRUE)</f>
        <v>Semana 48CIP2</v>
      </c>
      <c r="AD421" t="str">
        <f>IFERROR(VLOOKUP(Tabla_Consulta_desde_Proyectos10[[#This Row],[PRYcodigo]],Catálogo!A:B,2,FALSE),"Otros")</f>
        <v>Otros</v>
      </c>
      <c r="AE421" t="str">
        <f>IF(LEN(Tabla_Consulta_desde_Proyectos10[[#This Row],[Semana]])&lt;13,"CI",RIGHT(Tabla_Consulta_desde_Proyectos10[[#This Row],[Semana]],4))</f>
        <v>CIP2</v>
      </c>
    </row>
    <row r="422" spans="1:31">
      <c r="A422" t="s">
        <v>4032</v>
      </c>
      <c r="B422" t="s">
        <v>4907</v>
      </c>
      <c r="C422" t="s">
        <v>4908</v>
      </c>
      <c r="D422" t="s">
        <v>7239</v>
      </c>
      <c r="E422" t="s">
        <v>7245</v>
      </c>
      <c r="F422">
        <v>1</v>
      </c>
      <c r="G422" t="s">
        <v>7750</v>
      </c>
      <c r="H422" t="s">
        <v>6627</v>
      </c>
      <c r="I422" t="s">
        <v>6628</v>
      </c>
      <c r="J422" t="s">
        <v>6683</v>
      </c>
      <c r="K422" t="s">
        <v>6684</v>
      </c>
      <c r="L422" s="4">
        <v>46113</v>
      </c>
      <c r="M422" t="s">
        <v>7751</v>
      </c>
      <c r="N422">
        <v>2</v>
      </c>
      <c r="O422">
        <v>3000000001842352</v>
      </c>
      <c r="P422" t="s">
        <v>6792</v>
      </c>
      <c r="Q422" t="s">
        <v>7553</v>
      </c>
      <c r="W422" t="str">
        <f>Tabla_Consulta_desde_Proyectos10[[#This Row],[PRYcodigo]]&amp;Tabla_Consulta_desde_Proyectos10[[#This Row],[PRYApath]]</f>
        <v>579-203-REDIMED/0026/0012</v>
      </c>
      <c r="X422" t="str">
        <f>Tabla_Consulta_desde_Proyectos10[[#This Row],[PRYAcodigo]]&amp;" - "&amp;Tabla_Consulta_desde_Proyectos10[[#This Row],[PRYAdescripcion]]</f>
        <v>6 - ATENCION DE INCIDENCIAS</v>
      </c>
      <c r="Y422" t="str">
        <f>SUBSTITUTE(IFERROR(VLOOKUP(LEFT(Tabla_Consulta_desde_Proyectos10[[#This Row],[Nivel1]],LEN(Tabla_Consulta_desde_Proyectos10[[#This Row],[Nivel1]])-5),Tabla_Consulta_desde_Proyectos10[[#All],[Nivel1]:[Actividad]],2,FALSE),""),"_","-")</f>
        <v>500.1-RM - ACTIVIDADES DEL EQUIPO DE RELEASE MANAGMENT</v>
      </c>
      <c r="Z422" t="str">
        <f>IFERROR(VLOOKUP(Tabla_Consulta_desde_Proyectos10[[#This Row],[PRYRAfecha]],'Fechas Mes'!G:J,4,TRUE),"")</f>
        <v>Semana 48CIP2</v>
      </c>
      <c r="AA422" t="str" cm="1">
        <f t="array" ref="AA422">INDEX('Fechas Mes'!F:F,MATCH(Tabla_Consulta_desde_Proyectos10[[#This Row],[Semana]],'Fechas Mes'!J:J,0),)</f>
        <v>M12CIP2</v>
      </c>
      <c r="AB422">
        <f>YEAR(Tabla_Consulta_desde_Proyectos10[[#This Row],[PRYRAfecha]])</f>
        <v>2026</v>
      </c>
      <c r="AC422" t="str">
        <f>VLOOKUP(Tabla_Consulta_desde_Proyectos10[[#This Row],[PRYRAfecha]],'Fechas Mes'!G:J,4,TRUE)</f>
        <v>Semana 48CIP2</v>
      </c>
      <c r="AD422" t="str">
        <f>IFERROR(VLOOKUP(Tabla_Consulta_desde_Proyectos10[[#This Row],[PRYcodigo]],Catálogo!A:B,2,FALSE),"Otros")</f>
        <v>Otros</v>
      </c>
      <c r="AE422" t="str">
        <f>IF(LEN(Tabla_Consulta_desde_Proyectos10[[#This Row],[Semana]])&lt;13,"CI",RIGHT(Tabla_Consulta_desde_Proyectos10[[#This Row],[Semana]],4))</f>
        <v>CIP2</v>
      </c>
    </row>
    <row r="423" spans="1:31" hidden="1">
      <c r="A423" t="s">
        <v>6369</v>
      </c>
      <c r="B423" t="s">
        <v>7184</v>
      </c>
      <c r="C423" t="s">
        <v>7185</v>
      </c>
      <c r="D423" t="s">
        <v>7753</v>
      </c>
      <c r="E423" t="s">
        <v>7185</v>
      </c>
      <c r="F423">
        <v>0</v>
      </c>
      <c r="G423" t="s">
        <v>7754</v>
      </c>
      <c r="L423" s="4"/>
      <c r="O423">
        <v>3000000001828193</v>
      </c>
      <c r="P423" t="s">
        <v>292</v>
      </c>
      <c r="Q423" t="s">
        <v>7752</v>
      </c>
      <c r="W423" t="str">
        <f>Tabla_Consulta_desde_Proyectos10[[#This Row],[PRYcodigo]]&amp;Tabla_Consulta_desde_Proyectos10[[#This Row],[PRYApath]]</f>
        <v>151-350-NV.OP.SWAT/0002</v>
      </c>
      <c r="X423" t="str">
        <f>Tabla_Consulta_desde_Proyectos10[[#This Row],[PRYAcodigo]]&amp;" - "&amp;Tabla_Consulta_desde_Proyectos10[[#This Row],[PRYAdescripcion]]</f>
        <v>350_NV.OP.SWAT - NUEVAS OPORTUNIDADES DEL EQUIPO SWAT</v>
      </c>
      <c r="Y423" t="str">
        <f>SUBSTITUTE(IFERROR(VLOOKUP(LEFT(Tabla_Consulta_desde_Proyectos10[[#This Row],[Nivel1]],LEN(Tabla_Consulta_desde_Proyectos10[[#This Row],[Nivel1]])-5),Tabla_Consulta_desde_Proyectos10[[#All],[Nivel1]:[Actividad]],2,FALSE),""),"_","-")</f>
        <v/>
      </c>
      <c r="Z423" t="str">
        <f>IFERROR(VLOOKUP(Tabla_Consulta_desde_Proyectos10[[#This Row],[PRYRAfecha]],'Fechas Mes'!G:J,4,TRUE),"")</f>
        <v/>
      </c>
      <c r="AA423" t="e" cm="1">
        <f t="array" ref="AA423">INDEX('Fechas Mes'!F:F,MATCH(Tabla_Consulta_desde_Proyectos10[[#This Row],[Semana]],'Fechas Mes'!J:J,0),)</f>
        <v>#N/A</v>
      </c>
      <c r="AB423">
        <f>YEAR(Tabla_Consulta_desde_Proyectos10[[#This Row],[PRYRAfecha]])</f>
        <v>1900</v>
      </c>
      <c r="AC423" t="e">
        <f>VLOOKUP(Tabla_Consulta_desde_Proyectos10[[#This Row],[PRYRAfecha]],'Fechas Mes'!G:J,4,TRUE)</f>
        <v>#N/A</v>
      </c>
      <c r="AD423" t="str">
        <f>IFERROR(VLOOKUP(Tabla_Consulta_desde_Proyectos10[[#This Row],[PRYcodigo]],Catálogo!A:B,2,FALSE),"Otros")</f>
        <v>Otros</v>
      </c>
      <c r="AE423" t="str">
        <f>IF(LEN(Tabla_Consulta_desde_Proyectos10[[#This Row],[Semana]])&lt;13,"CI",RIGHT(Tabla_Consulta_desde_Proyectos10[[#This Row],[Semana]],4))</f>
        <v>CI</v>
      </c>
    </row>
    <row r="424" spans="1:31" hidden="1">
      <c r="A424" t="s">
        <v>6369</v>
      </c>
      <c r="B424" t="s">
        <v>7184</v>
      </c>
      <c r="C424" t="s">
        <v>7185</v>
      </c>
      <c r="D424" t="s">
        <v>7753</v>
      </c>
      <c r="E424" t="s">
        <v>7185</v>
      </c>
      <c r="F424">
        <v>0</v>
      </c>
      <c r="G424" t="s">
        <v>7754</v>
      </c>
      <c r="L424" s="4"/>
      <c r="O424">
        <v>3000000001828194</v>
      </c>
      <c r="P424" t="s">
        <v>292</v>
      </c>
      <c r="Q424" t="s">
        <v>7752</v>
      </c>
      <c r="W424" t="str">
        <f>Tabla_Consulta_desde_Proyectos10[[#This Row],[PRYcodigo]]&amp;Tabla_Consulta_desde_Proyectos10[[#This Row],[PRYApath]]</f>
        <v>151-350-NV.OP.SWAT/0002</v>
      </c>
      <c r="X424" t="str">
        <f>Tabla_Consulta_desde_Proyectos10[[#This Row],[PRYAcodigo]]&amp;" - "&amp;Tabla_Consulta_desde_Proyectos10[[#This Row],[PRYAdescripcion]]</f>
        <v>350_NV.OP.SWAT - NUEVAS OPORTUNIDADES DEL EQUIPO SWAT</v>
      </c>
      <c r="Y424" t="str">
        <f>SUBSTITUTE(IFERROR(VLOOKUP(LEFT(Tabla_Consulta_desde_Proyectos10[[#This Row],[Nivel1]],LEN(Tabla_Consulta_desde_Proyectos10[[#This Row],[Nivel1]])-5),Tabla_Consulta_desde_Proyectos10[[#All],[Nivel1]:[Actividad]],2,FALSE),""),"_","-")</f>
        <v/>
      </c>
      <c r="Z424" t="str">
        <f>IFERROR(VLOOKUP(Tabla_Consulta_desde_Proyectos10[[#This Row],[PRYRAfecha]],'Fechas Mes'!G:J,4,TRUE),"")</f>
        <v/>
      </c>
      <c r="AA424" t="e" cm="1">
        <f t="array" ref="AA424">INDEX('Fechas Mes'!F:F,MATCH(Tabla_Consulta_desde_Proyectos10[[#This Row],[Semana]],'Fechas Mes'!J:J,0),)</f>
        <v>#N/A</v>
      </c>
      <c r="AB424">
        <f>YEAR(Tabla_Consulta_desde_Proyectos10[[#This Row],[PRYRAfecha]])</f>
        <v>1900</v>
      </c>
      <c r="AC424" t="e">
        <f>VLOOKUP(Tabla_Consulta_desde_Proyectos10[[#This Row],[PRYRAfecha]],'Fechas Mes'!G:J,4,TRUE)</f>
        <v>#N/A</v>
      </c>
      <c r="AD424" t="str">
        <f>IFERROR(VLOOKUP(Tabla_Consulta_desde_Proyectos10[[#This Row],[PRYcodigo]],Catálogo!A:B,2,FALSE),"Otros")</f>
        <v>Otros</v>
      </c>
      <c r="AE424" t="str">
        <f>IF(LEN(Tabla_Consulta_desde_Proyectos10[[#This Row],[Semana]])&lt;13,"CI",RIGHT(Tabla_Consulta_desde_Proyectos10[[#This Row],[Semana]],4))</f>
        <v>CI</v>
      </c>
    </row>
    <row r="425" spans="1:31" hidden="1">
      <c r="A425" t="s">
        <v>6369</v>
      </c>
      <c r="B425" t="s">
        <v>7184</v>
      </c>
      <c r="C425" t="s">
        <v>7185</v>
      </c>
      <c r="D425" t="s">
        <v>7753</v>
      </c>
      <c r="E425" t="s">
        <v>7185</v>
      </c>
      <c r="F425">
        <v>0</v>
      </c>
      <c r="G425" t="s">
        <v>7754</v>
      </c>
      <c r="L425" s="4"/>
      <c r="O425">
        <v>3000000001829088</v>
      </c>
      <c r="P425" t="s">
        <v>292</v>
      </c>
      <c r="Q425" t="s">
        <v>7752</v>
      </c>
      <c r="W425" t="str">
        <f>Tabla_Consulta_desde_Proyectos10[[#This Row],[PRYcodigo]]&amp;Tabla_Consulta_desde_Proyectos10[[#This Row],[PRYApath]]</f>
        <v>151-350-NV.OP.SWAT/0002</v>
      </c>
      <c r="X425" t="str">
        <f>Tabla_Consulta_desde_Proyectos10[[#This Row],[PRYAcodigo]]&amp;" - "&amp;Tabla_Consulta_desde_Proyectos10[[#This Row],[PRYAdescripcion]]</f>
        <v>350_NV.OP.SWAT - NUEVAS OPORTUNIDADES DEL EQUIPO SWAT</v>
      </c>
      <c r="Y425" t="str">
        <f>SUBSTITUTE(IFERROR(VLOOKUP(LEFT(Tabla_Consulta_desde_Proyectos10[[#This Row],[Nivel1]],LEN(Tabla_Consulta_desde_Proyectos10[[#This Row],[Nivel1]])-5),Tabla_Consulta_desde_Proyectos10[[#All],[Nivel1]:[Actividad]],2,FALSE),""),"_","-")</f>
        <v/>
      </c>
      <c r="Z425" t="str">
        <f>IFERROR(VLOOKUP(Tabla_Consulta_desde_Proyectos10[[#This Row],[PRYRAfecha]],'Fechas Mes'!G:J,4,TRUE),"")</f>
        <v/>
      </c>
      <c r="AA425" t="e" cm="1">
        <f t="array" ref="AA425">INDEX('Fechas Mes'!F:F,MATCH(Tabla_Consulta_desde_Proyectos10[[#This Row],[Semana]],'Fechas Mes'!J:J,0),)</f>
        <v>#N/A</v>
      </c>
      <c r="AB425">
        <f>YEAR(Tabla_Consulta_desde_Proyectos10[[#This Row],[PRYRAfecha]])</f>
        <v>1900</v>
      </c>
      <c r="AC425" t="e">
        <f>VLOOKUP(Tabla_Consulta_desde_Proyectos10[[#This Row],[PRYRAfecha]],'Fechas Mes'!G:J,4,TRUE)</f>
        <v>#N/A</v>
      </c>
      <c r="AD425" t="str">
        <f>IFERROR(VLOOKUP(Tabla_Consulta_desde_Proyectos10[[#This Row],[PRYcodigo]],Catálogo!A:B,2,FALSE),"Otros")</f>
        <v>Otros</v>
      </c>
      <c r="AE425" t="str">
        <f>IF(LEN(Tabla_Consulta_desde_Proyectos10[[#This Row],[Semana]])&lt;13,"CI",RIGHT(Tabla_Consulta_desde_Proyectos10[[#This Row],[Semana]],4))</f>
        <v>CI</v>
      </c>
    </row>
    <row r="426" spans="1:31" hidden="1">
      <c r="A426" t="s">
        <v>6369</v>
      </c>
      <c r="B426" t="s">
        <v>7184</v>
      </c>
      <c r="C426" t="s">
        <v>7185</v>
      </c>
      <c r="D426" t="s">
        <v>7753</v>
      </c>
      <c r="E426" t="s">
        <v>7185</v>
      </c>
      <c r="F426">
        <v>0</v>
      </c>
      <c r="G426" t="s">
        <v>7754</v>
      </c>
      <c r="L426" s="4"/>
      <c r="O426">
        <v>3000000001829089</v>
      </c>
      <c r="P426" t="s">
        <v>292</v>
      </c>
      <c r="Q426" t="s">
        <v>7752</v>
      </c>
      <c r="W426" t="str">
        <f>Tabla_Consulta_desde_Proyectos10[[#This Row],[PRYcodigo]]&amp;Tabla_Consulta_desde_Proyectos10[[#This Row],[PRYApath]]</f>
        <v>151-350-NV.OP.SWAT/0002</v>
      </c>
      <c r="X426" t="str">
        <f>Tabla_Consulta_desde_Proyectos10[[#This Row],[PRYAcodigo]]&amp;" - "&amp;Tabla_Consulta_desde_Proyectos10[[#This Row],[PRYAdescripcion]]</f>
        <v>350_NV.OP.SWAT - NUEVAS OPORTUNIDADES DEL EQUIPO SWAT</v>
      </c>
      <c r="Y426" t="str">
        <f>SUBSTITUTE(IFERROR(VLOOKUP(LEFT(Tabla_Consulta_desde_Proyectos10[[#This Row],[Nivel1]],LEN(Tabla_Consulta_desde_Proyectos10[[#This Row],[Nivel1]])-5),Tabla_Consulta_desde_Proyectos10[[#All],[Nivel1]:[Actividad]],2,FALSE),""),"_","-")</f>
        <v/>
      </c>
      <c r="Z426" t="str">
        <f>IFERROR(VLOOKUP(Tabla_Consulta_desde_Proyectos10[[#This Row],[PRYRAfecha]],'Fechas Mes'!G:J,4,TRUE),"")</f>
        <v/>
      </c>
      <c r="AA426" t="e" cm="1">
        <f t="array" ref="AA426">INDEX('Fechas Mes'!F:F,MATCH(Tabla_Consulta_desde_Proyectos10[[#This Row],[Semana]],'Fechas Mes'!J:J,0),)</f>
        <v>#N/A</v>
      </c>
      <c r="AB426">
        <f>YEAR(Tabla_Consulta_desde_Proyectos10[[#This Row],[PRYRAfecha]])</f>
        <v>1900</v>
      </c>
      <c r="AC426" t="e">
        <f>VLOOKUP(Tabla_Consulta_desde_Proyectos10[[#This Row],[PRYRAfecha]],'Fechas Mes'!G:J,4,TRUE)</f>
        <v>#N/A</v>
      </c>
      <c r="AD426" t="str">
        <f>IFERROR(VLOOKUP(Tabla_Consulta_desde_Proyectos10[[#This Row],[PRYcodigo]],Catálogo!A:B,2,FALSE),"Otros")</f>
        <v>Otros</v>
      </c>
      <c r="AE426" t="str">
        <f>IF(LEN(Tabla_Consulta_desde_Proyectos10[[#This Row],[Semana]])&lt;13,"CI",RIGHT(Tabla_Consulta_desde_Proyectos10[[#This Row],[Semana]],4))</f>
        <v>CI</v>
      </c>
    </row>
    <row r="427" spans="1:31" hidden="1">
      <c r="A427" t="s">
        <v>6369</v>
      </c>
      <c r="B427" t="s">
        <v>7184</v>
      </c>
      <c r="C427" t="s">
        <v>7185</v>
      </c>
      <c r="D427" t="s">
        <v>7753</v>
      </c>
      <c r="E427" t="s">
        <v>7185</v>
      </c>
      <c r="F427">
        <v>0</v>
      </c>
      <c r="G427" t="s">
        <v>7754</v>
      </c>
      <c r="L427" s="4"/>
      <c r="O427">
        <v>3000000001829100</v>
      </c>
      <c r="P427" t="s">
        <v>292</v>
      </c>
      <c r="Q427" t="s">
        <v>7752</v>
      </c>
      <c r="W427" t="str">
        <f>Tabla_Consulta_desde_Proyectos10[[#This Row],[PRYcodigo]]&amp;Tabla_Consulta_desde_Proyectos10[[#This Row],[PRYApath]]</f>
        <v>151-350-NV.OP.SWAT/0002</v>
      </c>
      <c r="X427" t="str">
        <f>Tabla_Consulta_desde_Proyectos10[[#This Row],[PRYAcodigo]]&amp;" - "&amp;Tabla_Consulta_desde_Proyectos10[[#This Row],[PRYAdescripcion]]</f>
        <v>350_NV.OP.SWAT - NUEVAS OPORTUNIDADES DEL EQUIPO SWAT</v>
      </c>
      <c r="Y427" t="str">
        <f>SUBSTITUTE(IFERROR(VLOOKUP(LEFT(Tabla_Consulta_desde_Proyectos10[[#This Row],[Nivel1]],LEN(Tabla_Consulta_desde_Proyectos10[[#This Row],[Nivel1]])-5),Tabla_Consulta_desde_Proyectos10[[#All],[Nivel1]:[Actividad]],2,FALSE),""),"_","-")</f>
        <v/>
      </c>
      <c r="Z427" t="str">
        <f>IFERROR(VLOOKUP(Tabla_Consulta_desde_Proyectos10[[#This Row],[PRYRAfecha]],'Fechas Mes'!G:J,4,TRUE),"")</f>
        <v/>
      </c>
      <c r="AA427" t="e" cm="1">
        <f t="array" ref="AA427">INDEX('Fechas Mes'!F:F,MATCH(Tabla_Consulta_desde_Proyectos10[[#This Row],[Semana]],'Fechas Mes'!J:J,0),)</f>
        <v>#N/A</v>
      </c>
      <c r="AB427">
        <f>YEAR(Tabla_Consulta_desde_Proyectos10[[#This Row],[PRYRAfecha]])</f>
        <v>1900</v>
      </c>
      <c r="AC427" t="e">
        <f>VLOOKUP(Tabla_Consulta_desde_Proyectos10[[#This Row],[PRYRAfecha]],'Fechas Mes'!G:J,4,TRUE)</f>
        <v>#N/A</v>
      </c>
      <c r="AD427" t="str">
        <f>IFERROR(VLOOKUP(Tabla_Consulta_desde_Proyectos10[[#This Row],[PRYcodigo]],Catálogo!A:B,2,FALSE),"Otros")</f>
        <v>Otros</v>
      </c>
      <c r="AE427" t="str">
        <f>IF(LEN(Tabla_Consulta_desde_Proyectos10[[#This Row],[Semana]])&lt;13,"CI",RIGHT(Tabla_Consulta_desde_Proyectos10[[#This Row],[Semana]],4))</f>
        <v>CI</v>
      </c>
    </row>
    <row r="428" spans="1:31" hidden="1">
      <c r="A428" t="s">
        <v>6369</v>
      </c>
      <c r="B428" t="s">
        <v>7184</v>
      </c>
      <c r="C428" t="s">
        <v>7185</v>
      </c>
      <c r="D428" t="s">
        <v>7753</v>
      </c>
      <c r="E428" t="s">
        <v>7185</v>
      </c>
      <c r="F428">
        <v>0</v>
      </c>
      <c r="G428" t="s">
        <v>7754</v>
      </c>
      <c r="L428" s="4"/>
      <c r="O428">
        <v>3000000001829704</v>
      </c>
      <c r="P428" t="s">
        <v>292</v>
      </c>
      <c r="Q428" t="s">
        <v>7755</v>
      </c>
      <c r="W428" t="str">
        <f>Tabla_Consulta_desde_Proyectos10[[#This Row],[PRYcodigo]]&amp;Tabla_Consulta_desde_Proyectos10[[#This Row],[PRYApath]]</f>
        <v>151-350-NV.OP.SWAT/0002</v>
      </c>
      <c r="X428" t="str">
        <f>Tabla_Consulta_desde_Proyectos10[[#This Row],[PRYAcodigo]]&amp;" - "&amp;Tabla_Consulta_desde_Proyectos10[[#This Row],[PRYAdescripcion]]</f>
        <v>350_NV.OP.SWAT - NUEVAS OPORTUNIDADES DEL EQUIPO SWAT</v>
      </c>
      <c r="Y428" t="str">
        <f>SUBSTITUTE(IFERROR(VLOOKUP(LEFT(Tabla_Consulta_desde_Proyectos10[[#This Row],[Nivel1]],LEN(Tabla_Consulta_desde_Proyectos10[[#This Row],[Nivel1]])-5),Tabla_Consulta_desde_Proyectos10[[#All],[Nivel1]:[Actividad]],2,FALSE),""),"_","-")</f>
        <v/>
      </c>
      <c r="Z428" t="str">
        <f>IFERROR(VLOOKUP(Tabla_Consulta_desde_Proyectos10[[#This Row],[PRYRAfecha]],'Fechas Mes'!G:J,4,TRUE),"")</f>
        <v/>
      </c>
      <c r="AA428" t="e" cm="1">
        <f t="array" ref="AA428">INDEX('Fechas Mes'!F:F,MATCH(Tabla_Consulta_desde_Proyectos10[[#This Row],[Semana]],'Fechas Mes'!J:J,0),)</f>
        <v>#N/A</v>
      </c>
      <c r="AB428">
        <f>YEAR(Tabla_Consulta_desde_Proyectos10[[#This Row],[PRYRAfecha]])</f>
        <v>1900</v>
      </c>
      <c r="AC428" t="e">
        <f>VLOOKUP(Tabla_Consulta_desde_Proyectos10[[#This Row],[PRYRAfecha]],'Fechas Mes'!G:J,4,TRUE)</f>
        <v>#N/A</v>
      </c>
      <c r="AD428" t="str">
        <f>IFERROR(VLOOKUP(Tabla_Consulta_desde_Proyectos10[[#This Row],[PRYcodigo]],Catálogo!A:B,2,FALSE),"Otros")</f>
        <v>Otros</v>
      </c>
      <c r="AE428" t="str">
        <f>IF(LEN(Tabla_Consulta_desde_Proyectos10[[#This Row],[Semana]])&lt;13,"CI",RIGHT(Tabla_Consulta_desde_Proyectos10[[#This Row],[Semana]],4))</f>
        <v>CI</v>
      </c>
    </row>
    <row r="429" spans="1:31" hidden="1">
      <c r="A429" t="s">
        <v>6369</v>
      </c>
      <c r="B429" t="s">
        <v>7184</v>
      </c>
      <c r="C429" t="s">
        <v>7185</v>
      </c>
      <c r="D429" t="s">
        <v>7753</v>
      </c>
      <c r="E429" t="s">
        <v>7185</v>
      </c>
      <c r="F429">
        <v>0</v>
      </c>
      <c r="G429" t="s">
        <v>7754</v>
      </c>
      <c r="L429" s="4"/>
      <c r="O429">
        <v>3000000001829705</v>
      </c>
      <c r="P429" t="s">
        <v>292</v>
      </c>
      <c r="Q429" t="s">
        <v>7755</v>
      </c>
      <c r="W429" t="str">
        <f>Tabla_Consulta_desde_Proyectos10[[#This Row],[PRYcodigo]]&amp;Tabla_Consulta_desde_Proyectos10[[#This Row],[PRYApath]]</f>
        <v>151-350-NV.OP.SWAT/0002</v>
      </c>
      <c r="X429" t="str">
        <f>Tabla_Consulta_desde_Proyectos10[[#This Row],[PRYAcodigo]]&amp;" - "&amp;Tabla_Consulta_desde_Proyectos10[[#This Row],[PRYAdescripcion]]</f>
        <v>350_NV.OP.SWAT - NUEVAS OPORTUNIDADES DEL EQUIPO SWAT</v>
      </c>
      <c r="Y429" t="str">
        <f>SUBSTITUTE(IFERROR(VLOOKUP(LEFT(Tabla_Consulta_desde_Proyectos10[[#This Row],[Nivel1]],LEN(Tabla_Consulta_desde_Proyectos10[[#This Row],[Nivel1]])-5),Tabla_Consulta_desde_Proyectos10[[#All],[Nivel1]:[Actividad]],2,FALSE),""),"_","-")</f>
        <v/>
      </c>
      <c r="Z429" t="str">
        <f>IFERROR(VLOOKUP(Tabla_Consulta_desde_Proyectos10[[#This Row],[PRYRAfecha]],'Fechas Mes'!G:J,4,TRUE),"")</f>
        <v/>
      </c>
      <c r="AA429" t="e" cm="1">
        <f t="array" ref="AA429">INDEX('Fechas Mes'!F:F,MATCH(Tabla_Consulta_desde_Proyectos10[[#This Row],[Semana]],'Fechas Mes'!J:J,0),)</f>
        <v>#N/A</v>
      </c>
      <c r="AB429">
        <f>YEAR(Tabla_Consulta_desde_Proyectos10[[#This Row],[PRYRAfecha]])</f>
        <v>1900</v>
      </c>
      <c r="AC429" t="e">
        <f>VLOOKUP(Tabla_Consulta_desde_Proyectos10[[#This Row],[PRYRAfecha]],'Fechas Mes'!G:J,4,TRUE)</f>
        <v>#N/A</v>
      </c>
      <c r="AD429" t="str">
        <f>IFERROR(VLOOKUP(Tabla_Consulta_desde_Proyectos10[[#This Row],[PRYcodigo]],Catálogo!A:B,2,FALSE),"Otros")</f>
        <v>Otros</v>
      </c>
      <c r="AE429" t="str">
        <f>IF(LEN(Tabla_Consulta_desde_Proyectos10[[#This Row],[Semana]])&lt;13,"CI",RIGHT(Tabla_Consulta_desde_Proyectos10[[#This Row],[Semana]],4))</f>
        <v>CI</v>
      </c>
    </row>
    <row r="430" spans="1:31" hidden="1">
      <c r="A430" t="s">
        <v>6369</v>
      </c>
      <c r="B430" t="s">
        <v>7184</v>
      </c>
      <c r="C430" t="s">
        <v>7185</v>
      </c>
      <c r="D430" t="s">
        <v>7753</v>
      </c>
      <c r="E430" t="s">
        <v>7185</v>
      </c>
      <c r="F430">
        <v>0</v>
      </c>
      <c r="G430" t="s">
        <v>7754</v>
      </c>
      <c r="L430" s="4"/>
      <c r="O430">
        <v>3000000001829706</v>
      </c>
      <c r="P430" t="s">
        <v>292</v>
      </c>
      <c r="Q430" t="s">
        <v>7755</v>
      </c>
      <c r="W430" t="str">
        <f>Tabla_Consulta_desde_Proyectos10[[#This Row],[PRYcodigo]]&amp;Tabla_Consulta_desde_Proyectos10[[#This Row],[PRYApath]]</f>
        <v>151-350-NV.OP.SWAT/0002</v>
      </c>
      <c r="X430" t="str">
        <f>Tabla_Consulta_desde_Proyectos10[[#This Row],[PRYAcodigo]]&amp;" - "&amp;Tabla_Consulta_desde_Proyectos10[[#This Row],[PRYAdescripcion]]</f>
        <v>350_NV.OP.SWAT - NUEVAS OPORTUNIDADES DEL EQUIPO SWAT</v>
      </c>
      <c r="Y430" t="str">
        <f>SUBSTITUTE(IFERROR(VLOOKUP(LEFT(Tabla_Consulta_desde_Proyectos10[[#This Row],[Nivel1]],LEN(Tabla_Consulta_desde_Proyectos10[[#This Row],[Nivel1]])-5),Tabla_Consulta_desde_Proyectos10[[#All],[Nivel1]:[Actividad]],2,FALSE),""),"_","-")</f>
        <v/>
      </c>
      <c r="Z430" t="str">
        <f>IFERROR(VLOOKUP(Tabla_Consulta_desde_Proyectos10[[#This Row],[PRYRAfecha]],'Fechas Mes'!G:J,4,TRUE),"")</f>
        <v/>
      </c>
      <c r="AA430" t="e" cm="1">
        <f t="array" ref="AA430">INDEX('Fechas Mes'!F:F,MATCH(Tabla_Consulta_desde_Proyectos10[[#This Row],[Semana]],'Fechas Mes'!J:J,0),)</f>
        <v>#N/A</v>
      </c>
      <c r="AB430">
        <f>YEAR(Tabla_Consulta_desde_Proyectos10[[#This Row],[PRYRAfecha]])</f>
        <v>1900</v>
      </c>
      <c r="AC430" t="e">
        <f>VLOOKUP(Tabla_Consulta_desde_Proyectos10[[#This Row],[PRYRAfecha]],'Fechas Mes'!G:J,4,TRUE)</f>
        <v>#N/A</v>
      </c>
      <c r="AD430" t="str">
        <f>IFERROR(VLOOKUP(Tabla_Consulta_desde_Proyectos10[[#This Row],[PRYcodigo]],Catálogo!A:B,2,FALSE),"Otros")</f>
        <v>Otros</v>
      </c>
      <c r="AE430" t="str">
        <f>IF(LEN(Tabla_Consulta_desde_Proyectos10[[#This Row],[Semana]])&lt;13,"CI",RIGHT(Tabla_Consulta_desde_Proyectos10[[#This Row],[Semana]],4))</f>
        <v>CI</v>
      </c>
    </row>
    <row r="431" spans="1:31" hidden="1">
      <c r="A431" t="s">
        <v>6369</v>
      </c>
      <c r="B431" t="s">
        <v>7184</v>
      </c>
      <c r="C431" t="s">
        <v>7185</v>
      </c>
      <c r="D431" t="s">
        <v>7753</v>
      </c>
      <c r="E431" t="s">
        <v>7185</v>
      </c>
      <c r="F431">
        <v>0</v>
      </c>
      <c r="G431" t="s">
        <v>7754</v>
      </c>
      <c r="L431" s="4"/>
      <c r="O431">
        <v>3000000001829709</v>
      </c>
      <c r="P431" t="s">
        <v>292</v>
      </c>
      <c r="Q431" t="s">
        <v>7755</v>
      </c>
      <c r="W431" t="str">
        <f>Tabla_Consulta_desde_Proyectos10[[#This Row],[PRYcodigo]]&amp;Tabla_Consulta_desde_Proyectos10[[#This Row],[PRYApath]]</f>
        <v>151-350-NV.OP.SWAT/0002</v>
      </c>
      <c r="X431" t="str">
        <f>Tabla_Consulta_desde_Proyectos10[[#This Row],[PRYAcodigo]]&amp;" - "&amp;Tabla_Consulta_desde_Proyectos10[[#This Row],[PRYAdescripcion]]</f>
        <v>350_NV.OP.SWAT - NUEVAS OPORTUNIDADES DEL EQUIPO SWAT</v>
      </c>
      <c r="Y431" t="str">
        <f>SUBSTITUTE(IFERROR(VLOOKUP(LEFT(Tabla_Consulta_desde_Proyectos10[[#This Row],[Nivel1]],LEN(Tabla_Consulta_desde_Proyectos10[[#This Row],[Nivel1]])-5),Tabla_Consulta_desde_Proyectos10[[#All],[Nivel1]:[Actividad]],2,FALSE),""),"_","-")</f>
        <v/>
      </c>
      <c r="Z431" t="str">
        <f>IFERROR(VLOOKUP(Tabla_Consulta_desde_Proyectos10[[#This Row],[PRYRAfecha]],'Fechas Mes'!G:J,4,TRUE),"")</f>
        <v/>
      </c>
      <c r="AA431" t="e" cm="1">
        <f t="array" ref="AA431">INDEX('Fechas Mes'!F:F,MATCH(Tabla_Consulta_desde_Proyectos10[[#This Row],[Semana]],'Fechas Mes'!J:J,0),)</f>
        <v>#N/A</v>
      </c>
      <c r="AB431">
        <f>YEAR(Tabla_Consulta_desde_Proyectos10[[#This Row],[PRYRAfecha]])</f>
        <v>1900</v>
      </c>
      <c r="AC431" t="e">
        <f>VLOOKUP(Tabla_Consulta_desde_Proyectos10[[#This Row],[PRYRAfecha]],'Fechas Mes'!G:J,4,TRUE)</f>
        <v>#N/A</v>
      </c>
      <c r="AD431" t="str">
        <f>IFERROR(VLOOKUP(Tabla_Consulta_desde_Proyectos10[[#This Row],[PRYcodigo]],Catálogo!A:B,2,FALSE),"Otros")</f>
        <v>Otros</v>
      </c>
      <c r="AE431" t="str">
        <f>IF(LEN(Tabla_Consulta_desde_Proyectos10[[#This Row],[Semana]])&lt;13,"CI",RIGHT(Tabla_Consulta_desde_Proyectos10[[#This Row],[Semana]],4))</f>
        <v>CI</v>
      </c>
    </row>
    <row r="432" spans="1:31" hidden="1">
      <c r="A432" t="s">
        <v>6369</v>
      </c>
      <c r="B432" t="s">
        <v>7184</v>
      </c>
      <c r="C432" t="s">
        <v>7185</v>
      </c>
      <c r="D432" t="s">
        <v>7753</v>
      </c>
      <c r="E432" t="s">
        <v>7185</v>
      </c>
      <c r="F432">
        <v>0</v>
      </c>
      <c r="G432" t="s">
        <v>7754</v>
      </c>
      <c r="L432" s="4"/>
      <c r="O432">
        <v>3000000001829710</v>
      </c>
      <c r="P432" t="s">
        <v>292</v>
      </c>
      <c r="Q432" t="s">
        <v>7755</v>
      </c>
      <c r="W432" t="str">
        <f>Tabla_Consulta_desde_Proyectos10[[#This Row],[PRYcodigo]]&amp;Tabla_Consulta_desde_Proyectos10[[#This Row],[PRYApath]]</f>
        <v>151-350-NV.OP.SWAT/0002</v>
      </c>
      <c r="X432" t="str">
        <f>Tabla_Consulta_desde_Proyectos10[[#This Row],[PRYAcodigo]]&amp;" - "&amp;Tabla_Consulta_desde_Proyectos10[[#This Row],[PRYAdescripcion]]</f>
        <v>350_NV.OP.SWAT - NUEVAS OPORTUNIDADES DEL EQUIPO SWAT</v>
      </c>
      <c r="Y432" t="str">
        <f>SUBSTITUTE(IFERROR(VLOOKUP(LEFT(Tabla_Consulta_desde_Proyectos10[[#This Row],[Nivel1]],LEN(Tabla_Consulta_desde_Proyectos10[[#This Row],[Nivel1]])-5),Tabla_Consulta_desde_Proyectos10[[#All],[Nivel1]:[Actividad]],2,FALSE),""),"_","-")</f>
        <v/>
      </c>
      <c r="Z432" t="str">
        <f>IFERROR(VLOOKUP(Tabla_Consulta_desde_Proyectos10[[#This Row],[PRYRAfecha]],'Fechas Mes'!G:J,4,TRUE),"")</f>
        <v/>
      </c>
      <c r="AA432" t="e" cm="1">
        <f t="array" ref="AA432">INDEX('Fechas Mes'!F:F,MATCH(Tabla_Consulta_desde_Proyectos10[[#This Row],[Semana]],'Fechas Mes'!J:J,0),)</f>
        <v>#N/A</v>
      </c>
      <c r="AB432">
        <f>YEAR(Tabla_Consulta_desde_Proyectos10[[#This Row],[PRYRAfecha]])</f>
        <v>1900</v>
      </c>
      <c r="AC432" t="e">
        <f>VLOOKUP(Tabla_Consulta_desde_Proyectos10[[#This Row],[PRYRAfecha]],'Fechas Mes'!G:J,4,TRUE)</f>
        <v>#N/A</v>
      </c>
      <c r="AD432" t="str">
        <f>IFERROR(VLOOKUP(Tabla_Consulta_desde_Proyectos10[[#This Row],[PRYcodigo]],Catálogo!A:B,2,FALSE),"Otros")</f>
        <v>Otros</v>
      </c>
      <c r="AE432" t="str">
        <f>IF(LEN(Tabla_Consulta_desde_Proyectos10[[#This Row],[Semana]])&lt;13,"CI",RIGHT(Tabla_Consulta_desde_Proyectos10[[#This Row],[Semana]],4))</f>
        <v>CI</v>
      </c>
    </row>
    <row r="433" spans="1:31" hidden="1">
      <c r="A433" t="s">
        <v>6369</v>
      </c>
      <c r="B433" t="s">
        <v>7184</v>
      </c>
      <c r="C433" t="s">
        <v>7185</v>
      </c>
      <c r="D433" t="s">
        <v>7753</v>
      </c>
      <c r="E433" t="s">
        <v>7185</v>
      </c>
      <c r="F433">
        <v>0</v>
      </c>
      <c r="G433" t="s">
        <v>7754</v>
      </c>
      <c r="L433" s="4"/>
      <c r="O433">
        <v>3000000001829711</v>
      </c>
      <c r="P433" t="s">
        <v>292</v>
      </c>
      <c r="Q433" t="s">
        <v>7755</v>
      </c>
      <c r="W433" t="str">
        <f>Tabla_Consulta_desde_Proyectos10[[#This Row],[PRYcodigo]]&amp;Tabla_Consulta_desde_Proyectos10[[#This Row],[PRYApath]]</f>
        <v>151-350-NV.OP.SWAT/0002</v>
      </c>
      <c r="X433" t="str">
        <f>Tabla_Consulta_desde_Proyectos10[[#This Row],[PRYAcodigo]]&amp;" - "&amp;Tabla_Consulta_desde_Proyectos10[[#This Row],[PRYAdescripcion]]</f>
        <v>350_NV.OP.SWAT - NUEVAS OPORTUNIDADES DEL EQUIPO SWAT</v>
      </c>
      <c r="Y433" t="str">
        <f>SUBSTITUTE(IFERROR(VLOOKUP(LEFT(Tabla_Consulta_desde_Proyectos10[[#This Row],[Nivel1]],LEN(Tabla_Consulta_desde_Proyectos10[[#This Row],[Nivel1]])-5),Tabla_Consulta_desde_Proyectos10[[#All],[Nivel1]:[Actividad]],2,FALSE),""),"_","-")</f>
        <v/>
      </c>
      <c r="Z433" t="str">
        <f>IFERROR(VLOOKUP(Tabla_Consulta_desde_Proyectos10[[#This Row],[PRYRAfecha]],'Fechas Mes'!G:J,4,TRUE),"")</f>
        <v/>
      </c>
      <c r="AA433" t="e" cm="1">
        <f t="array" ref="AA433">INDEX('Fechas Mes'!F:F,MATCH(Tabla_Consulta_desde_Proyectos10[[#This Row],[Semana]],'Fechas Mes'!J:J,0),)</f>
        <v>#N/A</v>
      </c>
      <c r="AB433">
        <f>YEAR(Tabla_Consulta_desde_Proyectos10[[#This Row],[PRYRAfecha]])</f>
        <v>1900</v>
      </c>
      <c r="AC433" t="e">
        <f>VLOOKUP(Tabla_Consulta_desde_Proyectos10[[#This Row],[PRYRAfecha]],'Fechas Mes'!G:J,4,TRUE)</f>
        <v>#N/A</v>
      </c>
      <c r="AD433" t="str">
        <f>IFERROR(VLOOKUP(Tabla_Consulta_desde_Proyectos10[[#This Row],[PRYcodigo]],Catálogo!A:B,2,FALSE),"Otros")</f>
        <v>Otros</v>
      </c>
      <c r="AE433" t="str">
        <f>IF(LEN(Tabla_Consulta_desde_Proyectos10[[#This Row],[Semana]])&lt;13,"CI",RIGHT(Tabla_Consulta_desde_Proyectos10[[#This Row],[Semana]],4))</f>
        <v>CI</v>
      </c>
    </row>
    <row r="434" spans="1:31" hidden="1">
      <c r="A434" t="s">
        <v>6369</v>
      </c>
      <c r="B434" t="s">
        <v>7184</v>
      </c>
      <c r="C434" t="s">
        <v>7185</v>
      </c>
      <c r="D434" t="s">
        <v>7753</v>
      </c>
      <c r="E434" t="s">
        <v>7185</v>
      </c>
      <c r="F434">
        <v>0</v>
      </c>
      <c r="G434" t="s">
        <v>7754</v>
      </c>
      <c r="L434" s="4"/>
      <c r="O434">
        <v>3000000001829714</v>
      </c>
      <c r="P434" t="s">
        <v>292</v>
      </c>
      <c r="Q434" t="s">
        <v>7755</v>
      </c>
      <c r="W434" t="str">
        <f>Tabla_Consulta_desde_Proyectos10[[#This Row],[PRYcodigo]]&amp;Tabla_Consulta_desde_Proyectos10[[#This Row],[PRYApath]]</f>
        <v>151-350-NV.OP.SWAT/0002</v>
      </c>
      <c r="X434" t="str">
        <f>Tabla_Consulta_desde_Proyectos10[[#This Row],[PRYAcodigo]]&amp;" - "&amp;Tabla_Consulta_desde_Proyectos10[[#This Row],[PRYAdescripcion]]</f>
        <v>350_NV.OP.SWAT - NUEVAS OPORTUNIDADES DEL EQUIPO SWAT</v>
      </c>
      <c r="Y434" t="str">
        <f>SUBSTITUTE(IFERROR(VLOOKUP(LEFT(Tabla_Consulta_desde_Proyectos10[[#This Row],[Nivel1]],LEN(Tabla_Consulta_desde_Proyectos10[[#This Row],[Nivel1]])-5),Tabla_Consulta_desde_Proyectos10[[#All],[Nivel1]:[Actividad]],2,FALSE),""),"_","-")</f>
        <v/>
      </c>
      <c r="Z434" t="str">
        <f>IFERROR(VLOOKUP(Tabla_Consulta_desde_Proyectos10[[#This Row],[PRYRAfecha]],'Fechas Mes'!G:J,4,TRUE),"")</f>
        <v/>
      </c>
      <c r="AA434" t="e" cm="1">
        <f t="array" ref="AA434">INDEX('Fechas Mes'!F:F,MATCH(Tabla_Consulta_desde_Proyectos10[[#This Row],[Semana]],'Fechas Mes'!J:J,0),)</f>
        <v>#N/A</v>
      </c>
      <c r="AB434">
        <f>YEAR(Tabla_Consulta_desde_Proyectos10[[#This Row],[PRYRAfecha]])</f>
        <v>1900</v>
      </c>
      <c r="AC434" t="e">
        <f>VLOOKUP(Tabla_Consulta_desde_Proyectos10[[#This Row],[PRYRAfecha]],'Fechas Mes'!G:J,4,TRUE)</f>
        <v>#N/A</v>
      </c>
      <c r="AD434" t="str">
        <f>IFERROR(VLOOKUP(Tabla_Consulta_desde_Proyectos10[[#This Row],[PRYcodigo]],Catálogo!A:B,2,FALSE),"Otros")</f>
        <v>Otros</v>
      </c>
      <c r="AE434" t="str">
        <f>IF(LEN(Tabla_Consulta_desde_Proyectos10[[#This Row],[Semana]])&lt;13,"CI",RIGHT(Tabla_Consulta_desde_Proyectos10[[#This Row],[Semana]],4))</f>
        <v>CI</v>
      </c>
    </row>
    <row r="435" spans="1:31" hidden="1">
      <c r="A435" t="s">
        <v>6369</v>
      </c>
      <c r="B435" t="s">
        <v>7184</v>
      </c>
      <c r="C435" t="s">
        <v>7185</v>
      </c>
      <c r="D435" t="s">
        <v>7753</v>
      </c>
      <c r="E435" t="s">
        <v>7185</v>
      </c>
      <c r="F435">
        <v>0</v>
      </c>
      <c r="G435" t="s">
        <v>7754</v>
      </c>
      <c r="L435" s="4"/>
      <c r="O435">
        <v>3000000001830821</v>
      </c>
      <c r="P435" t="s">
        <v>292</v>
      </c>
      <c r="Q435" t="s">
        <v>7752</v>
      </c>
      <c r="W435" t="str">
        <f>Tabla_Consulta_desde_Proyectos10[[#This Row],[PRYcodigo]]&amp;Tabla_Consulta_desde_Proyectos10[[#This Row],[PRYApath]]</f>
        <v>151-350-NV.OP.SWAT/0002</v>
      </c>
      <c r="X435" t="str">
        <f>Tabla_Consulta_desde_Proyectos10[[#This Row],[PRYAcodigo]]&amp;" - "&amp;Tabla_Consulta_desde_Proyectos10[[#This Row],[PRYAdescripcion]]</f>
        <v>350_NV.OP.SWAT - NUEVAS OPORTUNIDADES DEL EQUIPO SWAT</v>
      </c>
      <c r="Y435" t="str">
        <f>SUBSTITUTE(IFERROR(VLOOKUP(LEFT(Tabla_Consulta_desde_Proyectos10[[#This Row],[Nivel1]],LEN(Tabla_Consulta_desde_Proyectos10[[#This Row],[Nivel1]])-5),Tabla_Consulta_desde_Proyectos10[[#All],[Nivel1]:[Actividad]],2,FALSE),""),"_","-")</f>
        <v/>
      </c>
      <c r="Z435" t="str">
        <f>IFERROR(VLOOKUP(Tabla_Consulta_desde_Proyectos10[[#This Row],[PRYRAfecha]],'Fechas Mes'!G:J,4,TRUE),"")</f>
        <v/>
      </c>
      <c r="AA435" t="e" cm="1">
        <f t="array" ref="AA435">INDEX('Fechas Mes'!F:F,MATCH(Tabla_Consulta_desde_Proyectos10[[#This Row],[Semana]],'Fechas Mes'!J:J,0),)</f>
        <v>#N/A</v>
      </c>
      <c r="AB435">
        <f>YEAR(Tabla_Consulta_desde_Proyectos10[[#This Row],[PRYRAfecha]])</f>
        <v>1900</v>
      </c>
      <c r="AC435" t="e">
        <f>VLOOKUP(Tabla_Consulta_desde_Proyectos10[[#This Row],[PRYRAfecha]],'Fechas Mes'!G:J,4,TRUE)</f>
        <v>#N/A</v>
      </c>
      <c r="AD435" t="str">
        <f>IFERROR(VLOOKUP(Tabla_Consulta_desde_Proyectos10[[#This Row],[PRYcodigo]],Catálogo!A:B,2,FALSE),"Otros")</f>
        <v>Otros</v>
      </c>
      <c r="AE435" t="str">
        <f>IF(LEN(Tabla_Consulta_desde_Proyectos10[[#This Row],[Semana]])&lt;13,"CI",RIGHT(Tabla_Consulta_desde_Proyectos10[[#This Row],[Semana]],4))</f>
        <v>CI</v>
      </c>
    </row>
    <row r="436" spans="1:31" hidden="1">
      <c r="A436" t="s">
        <v>6369</v>
      </c>
      <c r="B436" t="s">
        <v>7184</v>
      </c>
      <c r="C436" t="s">
        <v>7185</v>
      </c>
      <c r="D436" t="s">
        <v>7753</v>
      </c>
      <c r="E436" t="s">
        <v>7185</v>
      </c>
      <c r="F436">
        <v>0</v>
      </c>
      <c r="G436" t="s">
        <v>7754</v>
      </c>
      <c r="L436" s="4"/>
      <c r="O436">
        <v>3000000001831072</v>
      </c>
      <c r="P436" t="s">
        <v>292</v>
      </c>
      <c r="Q436" t="s">
        <v>7752</v>
      </c>
      <c r="W436" t="str">
        <f>Tabla_Consulta_desde_Proyectos10[[#This Row],[PRYcodigo]]&amp;Tabla_Consulta_desde_Proyectos10[[#This Row],[PRYApath]]</f>
        <v>151-350-NV.OP.SWAT/0002</v>
      </c>
      <c r="X436" t="str">
        <f>Tabla_Consulta_desde_Proyectos10[[#This Row],[PRYAcodigo]]&amp;" - "&amp;Tabla_Consulta_desde_Proyectos10[[#This Row],[PRYAdescripcion]]</f>
        <v>350_NV.OP.SWAT - NUEVAS OPORTUNIDADES DEL EQUIPO SWAT</v>
      </c>
      <c r="Y436" t="str">
        <f>SUBSTITUTE(IFERROR(VLOOKUP(LEFT(Tabla_Consulta_desde_Proyectos10[[#This Row],[Nivel1]],LEN(Tabla_Consulta_desde_Proyectos10[[#This Row],[Nivel1]])-5),Tabla_Consulta_desde_Proyectos10[[#All],[Nivel1]:[Actividad]],2,FALSE),""),"_","-")</f>
        <v/>
      </c>
      <c r="Z436" t="str">
        <f>IFERROR(VLOOKUP(Tabla_Consulta_desde_Proyectos10[[#This Row],[PRYRAfecha]],'Fechas Mes'!G:J,4,TRUE),"")</f>
        <v/>
      </c>
      <c r="AA436" t="e" cm="1">
        <f t="array" ref="AA436">INDEX('Fechas Mes'!F:F,MATCH(Tabla_Consulta_desde_Proyectos10[[#This Row],[Semana]],'Fechas Mes'!J:J,0),)</f>
        <v>#N/A</v>
      </c>
      <c r="AB436">
        <f>YEAR(Tabla_Consulta_desde_Proyectos10[[#This Row],[PRYRAfecha]])</f>
        <v>1900</v>
      </c>
      <c r="AC436" t="e">
        <f>VLOOKUP(Tabla_Consulta_desde_Proyectos10[[#This Row],[PRYRAfecha]],'Fechas Mes'!G:J,4,TRUE)</f>
        <v>#N/A</v>
      </c>
      <c r="AD436" t="str">
        <f>IFERROR(VLOOKUP(Tabla_Consulta_desde_Proyectos10[[#This Row],[PRYcodigo]],Catálogo!A:B,2,FALSE),"Otros")</f>
        <v>Otros</v>
      </c>
      <c r="AE436" t="str">
        <f>IF(LEN(Tabla_Consulta_desde_Proyectos10[[#This Row],[Semana]])&lt;13,"CI",RIGHT(Tabla_Consulta_desde_Proyectos10[[#This Row],[Semana]],4))</f>
        <v>CI</v>
      </c>
    </row>
    <row r="437" spans="1:31" hidden="1">
      <c r="A437" t="s">
        <v>6369</v>
      </c>
      <c r="B437" t="s">
        <v>7184</v>
      </c>
      <c r="C437" t="s">
        <v>7185</v>
      </c>
      <c r="D437" t="s">
        <v>7753</v>
      </c>
      <c r="E437" t="s">
        <v>7185</v>
      </c>
      <c r="F437">
        <v>0</v>
      </c>
      <c r="G437" t="s">
        <v>7754</v>
      </c>
      <c r="L437" s="4"/>
      <c r="O437">
        <v>3000000001831354</v>
      </c>
      <c r="P437" t="s">
        <v>292</v>
      </c>
      <c r="Q437" t="s">
        <v>7752</v>
      </c>
      <c r="W437" t="str">
        <f>Tabla_Consulta_desde_Proyectos10[[#This Row],[PRYcodigo]]&amp;Tabla_Consulta_desde_Proyectos10[[#This Row],[PRYApath]]</f>
        <v>151-350-NV.OP.SWAT/0002</v>
      </c>
      <c r="X437" t="str">
        <f>Tabla_Consulta_desde_Proyectos10[[#This Row],[PRYAcodigo]]&amp;" - "&amp;Tabla_Consulta_desde_Proyectos10[[#This Row],[PRYAdescripcion]]</f>
        <v>350_NV.OP.SWAT - NUEVAS OPORTUNIDADES DEL EQUIPO SWAT</v>
      </c>
      <c r="Y437" t="str">
        <f>SUBSTITUTE(IFERROR(VLOOKUP(LEFT(Tabla_Consulta_desde_Proyectos10[[#This Row],[Nivel1]],LEN(Tabla_Consulta_desde_Proyectos10[[#This Row],[Nivel1]])-5),Tabla_Consulta_desde_Proyectos10[[#All],[Nivel1]:[Actividad]],2,FALSE),""),"_","-")</f>
        <v/>
      </c>
      <c r="Z437" t="str">
        <f>IFERROR(VLOOKUP(Tabla_Consulta_desde_Proyectos10[[#This Row],[PRYRAfecha]],'Fechas Mes'!G:J,4,TRUE),"")</f>
        <v/>
      </c>
      <c r="AA437" t="e" cm="1">
        <f t="array" ref="AA437">INDEX('Fechas Mes'!F:F,MATCH(Tabla_Consulta_desde_Proyectos10[[#This Row],[Semana]],'Fechas Mes'!J:J,0),)</f>
        <v>#N/A</v>
      </c>
      <c r="AB437">
        <f>YEAR(Tabla_Consulta_desde_Proyectos10[[#This Row],[PRYRAfecha]])</f>
        <v>1900</v>
      </c>
      <c r="AC437" t="e">
        <f>VLOOKUP(Tabla_Consulta_desde_Proyectos10[[#This Row],[PRYRAfecha]],'Fechas Mes'!G:J,4,TRUE)</f>
        <v>#N/A</v>
      </c>
      <c r="AD437" t="str">
        <f>IFERROR(VLOOKUP(Tabla_Consulta_desde_Proyectos10[[#This Row],[PRYcodigo]],Catálogo!A:B,2,FALSE),"Otros")</f>
        <v>Otros</v>
      </c>
      <c r="AE437" t="str">
        <f>IF(LEN(Tabla_Consulta_desde_Proyectos10[[#This Row],[Semana]])&lt;13,"CI",RIGHT(Tabla_Consulta_desde_Proyectos10[[#This Row],[Semana]],4))</f>
        <v>CI</v>
      </c>
    </row>
    <row r="438" spans="1:31" hidden="1">
      <c r="A438" t="s">
        <v>6369</v>
      </c>
      <c r="B438" t="s">
        <v>7184</v>
      </c>
      <c r="C438" t="s">
        <v>7185</v>
      </c>
      <c r="D438" t="s">
        <v>7753</v>
      </c>
      <c r="E438" t="s">
        <v>7185</v>
      </c>
      <c r="F438">
        <v>0</v>
      </c>
      <c r="G438" t="s">
        <v>7754</v>
      </c>
      <c r="L438" s="4"/>
      <c r="O438">
        <v>3000000001831911</v>
      </c>
      <c r="P438" t="s">
        <v>292</v>
      </c>
      <c r="Q438" t="s">
        <v>7752</v>
      </c>
      <c r="W438" t="str">
        <f>Tabla_Consulta_desde_Proyectos10[[#This Row],[PRYcodigo]]&amp;Tabla_Consulta_desde_Proyectos10[[#This Row],[PRYApath]]</f>
        <v>151-350-NV.OP.SWAT/0002</v>
      </c>
      <c r="X438" t="str">
        <f>Tabla_Consulta_desde_Proyectos10[[#This Row],[PRYAcodigo]]&amp;" - "&amp;Tabla_Consulta_desde_Proyectos10[[#This Row],[PRYAdescripcion]]</f>
        <v>350_NV.OP.SWAT - NUEVAS OPORTUNIDADES DEL EQUIPO SWAT</v>
      </c>
      <c r="Y438" t="str">
        <f>SUBSTITUTE(IFERROR(VLOOKUP(LEFT(Tabla_Consulta_desde_Proyectos10[[#This Row],[Nivel1]],LEN(Tabla_Consulta_desde_Proyectos10[[#This Row],[Nivel1]])-5),Tabla_Consulta_desde_Proyectos10[[#All],[Nivel1]:[Actividad]],2,FALSE),""),"_","-")</f>
        <v/>
      </c>
      <c r="Z438" t="str">
        <f>IFERROR(VLOOKUP(Tabla_Consulta_desde_Proyectos10[[#This Row],[PRYRAfecha]],'Fechas Mes'!G:J,4,TRUE),"")</f>
        <v/>
      </c>
      <c r="AA438" t="e" cm="1">
        <f t="array" ref="AA438">INDEX('Fechas Mes'!F:F,MATCH(Tabla_Consulta_desde_Proyectos10[[#This Row],[Semana]],'Fechas Mes'!J:J,0),)</f>
        <v>#N/A</v>
      </c>
      <c r="AB438">
        <f>YEAR(Tabla_Consulta_desde_Proyectos10[[#This Row],[PRYRAfecha]])</f>
        <v>1900</v>
      </c>
      <c r="AC438" t="e">
        <f>VLOOKUP(Tabla_Consulta_desde_Proyectos10[[#This Row],[PRYRAfecha]],'Fechas Mes'!G:J,4,TRUE)</f>
        <v>#N/A</v>
      </c>
      <c r="AD438" t="str">
        <f>IFERROR(VLOOKUP(Tabla_Consulta_desde_Proyectos10[[#This Row],[PRYcodigo]],Catálogo!A:B,2,FALSE),"Otros")</f>
        <v>Otros</v>
      </c>
      <c r="AE438" t="str">
        <f>IF(LEN(Tabla_Consulta_desde_Proyectos10[[#This Row],[Semana]])&lt;13,"CI",RIGHT(Tabla_Consulta_desde_Proyectos10[[#This Row],[Semana]],4))</f>
        <v>CI</v>
      </c>
    </row>
    <row r="439" spans="1:31" hidden="1">
      <c r="A439" t="s">
        <v>6369</v>
      </c>
      <c r="B439" t="s">
        <v>7184</v>
      </c>
      <c r="C439" t="s">
        <v>7185</v>
      </c>
      <c r="D439" t="s">
        <v>7753</v>
      </c>
      <c r="E439" t="s">
        <v>7185</v>
      </c>
      <c r="F439">
        <v>0</v>
      </c>
      <c r="G439" t="s">
        <v>7754</v>
      </c>
      <c r="L439" s="4"/>
      <c r="O439">
        <v>3000000001833324</v>
      </c>
      <c r="P439" t="s">
        <v>292</v>
      </c>
      <c r="Q439" t="s">
        <v>7756</v>
      </c>
      <c r="W439" t="str">
        <f>Tabla_Consulta_desde_Proyectos10[[#This Row],[PRYcodigo]]&amp;Tabla_Consulta_desde_Proyectos10[[#This Row],[PRYApath]]</f>
        <v>151-350-NV.OP.SWAT/0002</v>
      </c>
      <c r="X439" t="str">
        <f>Tabla_Consulta_desde_Proyectos10[[#This Row],[PRYAcodigo]]&amp;" - "&amp;Tabla_Consulta_desde_Proyectos10[[#This Row],[PRYAdescripcion]]</f>
        <v>350_NV.OP.SWAT - NUEVAS OPORTUNIDADES DEL EQUIPO SWAT</v>
      </c>
      <c r="Y439" t="str">
        <f>SUBSTITUTE(IFERROR(VLOOKUP(LEFT(Tabla_Consulta_desde_Proyectos10[[#This Row],[Nivel1]],LEN(Tabla_Consulta_desde_Proyectos10[[#This Row],[Nivel1]])-5),Tabla_Consulta_desde_Proyectos10[[#All],[Nivel1]:[Actividad]],2,FALSE),""),"_","-")</f>
        <v/>
      </c>
      <c r="Z439" t="str">
        <f>IFERROR(VLOOKUP(Tabla_Consulta_desde_Proyectos10[[#This Row],[PRYRAfecha]],'Fechas Mes'!G:J,4,TRUE),"")</f>
        <v/>
      </c>
      <c r="AA439" t="e" cm="1">
        <f t="array" ref="AA439">INDEX('Fechas Mes'!F:F,MATCH(Tabla_Consulta_desde_Proyectos10[[#This Row],[Semana]],'Fechas Mes'!J:J,0),)</f>
        <v>#N/A</v>
      </c>
      <c r="AB439">
        <f>YEAR(Tabla_Consulta_desde_Proyectos10[[#This Row],[PRYRAfecha]])</f>
        <v>1900</v>
      </c>
      <c r="AC439" t="e">
        <f>VLOOKUP(Tabla_Consulta_desde_Proyectos10[[#This Row],[PRYRAfecha]],'Fechas Mes'!G:J,4,TRUE)</f>
        <v>#N/A</v>
      </c>
      <c r="AD439" t="str">
        <f>IFERROR(VLOOKUP(Tabla_Consulta_desde_Proyectos10[[#This Row],[PRYcodigo]],Catálogo!A:B,2,FALSE),"Otros")</f>
        <v>Otros</v>
      </c>
      <c r="AE439" t="str">
        <f>IF(LEN(Tabla_Consulta_desde_Proyectos10[[#This Row],[Semana]])&lt;13,"CI",RIGHT(Tabla_Consulta_desde_Proyectos10[[#This Row],[Semana]],4))</f>
        <v>CI</v>
      </c>
    </row>
    <row r="440" spans="1:31" hidden="1">
      <c r="A440" t="s">
        <v>6369</v>
      </c>
      <c r="B440" t="s">
        <v>7184</v>
      </c>
      <c r="C440" t="s">
        <v>7185</v>
      </c>
      <c r="D440" t="s">
        <v>7753</v>
      </c>
      <c r="E440" t="s">
        <v>7185</v>
      </c>
      <c r="F440">
        <v>0</v>
      </c>
      <c r="G440" t="s">
        <v>7754</v>
      </c>
      <c r="L440" s="4"/>
      <c r="O440">
        <v>3000000001833325</v>
      </c>
      <c r="P440" t="s">
        <v>292</v>
      </c>
      <c r="Q440" t="s">
        <v>7756</v>
      </c>
      <c r="W440" t="str">
        <f>Tabla_Consulta_desde_Proyectos10[[#This Row],[PRYcodigo]]&amp;Tabla_Consulta_desde_Proyectos10[[#This Row],[PRYApath]]</f>
        <v>151-350-NV.OP.SWAT/0002</v>
      </c>
      <c r="X440" t="str">
        <f>Tabla_Consulta_desde_Proyectos10[[#This Row],[PRYAcodigo]]&amp;" - "&amp;Tabla_Consulta_desde_Proyectos10[[#This Row],[PRYAdescripcion]]</f>
        <v>350_NV.OP.SWAT - NUEVAS OPORTUNIDADES DEL EQUIPO SWAT</v>
      </c>
      <c r="Y440" t="str">
        <f>SUBSTITUTE(IFERROR(VLOOKUP(LEFT(Tabla_Consulta_desde_Proyectos10[[#This Row],[Nivel1]],LEN(Tabla_Consulta_desde_Proyectos10[[#This Row],[Nivel1]])-5),Tabla_Consulta_desde_Proyectos10[[#All],[Nivel1]:[Actividad]],2,FALSE),""),"_","-")</f>
        <v/>
      </c>
      <c r="Z440" t="str">
        <f>IFERROR(VLOOKUP(Tabla_Consulta_desde_Proyectos10[[#This Row],[PRYRAfecha]],'Fechas Mes'!G:J,4,TRUE),"")</f>
        <v/>
      </c>
      <c r="AA440" t="e" cm="1">
        <f t="array" ref="AA440">INDEX('Fechas Mes'!F:F,MATCH(Tabla_Consulta_desde_Proyectos10[[#This Row],[Semana]],'Fechas Mes'!J:J,0),)</f>
        <v>#N/A</v>
      </c>
      <c r="AB440">
        <f>YEAR(Tabla_Consulta_desde_Proyectos10[[#This Row],[PRYRAfecha]])</f>
        <v>1900</v>
      </c>
      <c r="AC440" t="e">
        <f>VLOOKUP(Tabla_Consulta_desde_Proyectos10[[#This Row],[PRYRAfecha]],'Fechas Mes'!G:J,4,TRUE)</f>
        <v>#N/A</v>
      </c>
      <c r="AD440" t="str">
        <f>IFERROR(VLOOKUP(Tabla_Consulta_desde_Proyectos10[[#This Row],[PRYcodigo]],Catálogo!A:B,2,FALSE),"Otros")</f>
        <v>Otros</v>
      </c>
      <c r="AE440" t="str">
        <f>IF(LEN(Tabla_Consulta_desde_Proyectos10[[#This Row],[Semana]])&lt;13,"CI",RIGHT(Tabla_Consulta_desde_Proyectos10[[#This Row],[Semana]],4))</f>
        <v>CI</v>
      </c>
    </row>
    <row r="441" spans="1:31" hidden="1">
      <c r="A441" t="s">
        <v>6369</v>
      </c>
      <c r="B441" t="s">
        <v>7184</v>
      </c>
      <c r="C441" t="s">
        <v>7185</v>
      </c>
      <c r="D441" t="s">
        <v>7753</v>
      </c>
      <c r="E441" t="s">
        <v>7185</v>
      </c>
      <c r="F441">
        <v>0</v>
      </c>
      <c r="G441" t="s">
        <v>7754</v>
      </c>
      <c r="L441" s="4"/>
      <c r="O441">
        <v>3000000001833914</v>
      </c>
      <c r="P441" t="s">
        <v>292</v>
      </c>
      <c r="Q441" t="s">
        <v>7757</v>
      </c>
      <c r="W441" t="str">
        <f>Tabla_Consulta_desde_Proyectos10[[#This Row],[PRYcodigo]]&amp;Tabla_Consulta_desde_Proyectos10[[#This Row],[PRYApath]]</f>
        <v>151-350-NV.OP.SWAT/0002</v>
      </c>
      <c r="X441" t="str">
        <f>Tabla_Consulta_desde_Proyectos10[[#This Row],[PRYAcodigo]]&amp;" - "&amp;Tabla_Consulta_desde_Proyectos10[[#This Row],[PRYAdescripcion]]</f>
        <v>350_NV.OP.SWAT - NUEVAS OPORTUNIDADES DEL EQUIPO SWAT</v>
      </c>
      <c r="Y441" t="str">
        <f>SUBSTITUTE(IFERROR(VLOOKUP(LEFT(Tabla_Consulta_desde_Proyectos10[[#This Row],[Nivel1]],LEN(Tabla_Consulta_desde_Proyectos10[[#This Row],[Nivel1]])-5),Tabla_Consulta_desde_Proyectos10[[#All],[Nivel1]:[Actividad]],2,FALSE),""),"_","-")</f>
        <v/>
      </c>
      <c r="Z441" t="str">
        <f>IFERROR(VLOOKUP(Tabla_Consulta_desde_Proyectos10[[#This Row],[PRYRAfecha]],'Fechas Mes'!G:J,4,TRUE),"")</f>
        <v/>
      </c>
      <c r="AA441" t="e" cm="1">
        <f t="array" ref="AA441">INDEX('Fechas Mes'!F:F,MATCH(Tabla_Consulta_desde_Proyectos10[[#This Row],[Semana]],'Fechas Mes'!J:J,0),)</f>
        <v>#N/A</v>
      </c>
      <c r="AB441">
        <f>YEAR(Tabla_Consulta_desde_Proyectos10[[#This Row],[PRYRAfecha]])</f>
        <v>1900</v>
      </c>
      <c r="AC441" t="e">
        <f>VLOOKUP(Tabla_Consulta_desde_Proyectos10[[#This Row],[PRYRAfecha]],'Fechas Mes'!G:J,4,TRUE)</f>
        <v>#N/A</v>
      </c>
      <c r="AD441" t="str">
        <f>IFERROR(VLOOKUP(Tabla_Consulta_desde_Proyectos10[[#This Row],[PRYcodigo]],Catálogo!A:B,2,FALSE),"Otros")</f>
        <v>Otros</v>
      </c>
      <c r="AE441" t="str">
        <f>IF(LEN(Tabla_Consulta_desde_Proyectos10[[#This Row],[Semana]])&lt;13,"CI",RIGHT(Tabla_Consulta_desde_Proyectos10[[#This Row],[Semana]],4))</f>
        <v>CI</v>
      </c>
    </row>
    <row r="442" spans="1:31" hidden="1">
      <c r="A442" t="s">
        <v>6369</v>
      </c>
      <c r="B442" t="s">
        <v>7184</v>
      </c>
      <c r="C442" t="s">
        <v>7185</v>
      </c>
      <c r="D442" t="s">
        <v>7753</v>
      </c>
      <c r="E442" t="s">
        <v>7185</v>
      </c>
      <c r="F442">
        <v>0</v>
      </c>
      <c r="G442" t="s">
        <v>7754</v>
      </c>
      <c r="L442" s="4"/>
      <c r="O442">
        <v>3000000001836942</v>
      </c>
      <c r="P442" t="s">
        <v>292</v>
      </c>
      <c r="Q442" t="s">
        <v>7755</v>
      </c>
      <c r="W442" t="str">
        <f>Tabla_Consulta_desde_Proyectos10[[#This Row],[PRYcodigo]]&amp;Tabla_Consulta_desde_Proyectos10[[#This Row],[PRYApath]]</f>
        <v>151-350-NV.OP.SWAT/0002</v>
      </c>
      <c r="X442" t="str">
        <f>Tabla_Consulta_desde_Proyectos10[[#This Row],[PRYAcodigo]]&amp;" - "&amp;Tabla_Consulta_desde_Proyectos10[[#This Row],[PRYAdescripcion]]</f>
        <v>350_NV.OP.SWAT - NUEVAS OPORTUNIDADES DEL EQUIPO SWAT</v>
      </c>
      <c r="Y442" t="str">
        <f>SUBSTITUTE(IFERROR(VLOOKUP(LEFT(Tabla_Consulta_desde_Proyectos10[[#This Row],[Nivel1]],LEN(Tabla_Consulta_desde_Proyectos10[[#This Row],[Nivel1]])-5),Tabla_Consulta_desde_Proyectos10[[#All],[Nivel1]:[Actividad]],2,FALSE),""),"_","-")</f>
        <v/>
      </c>
      <c r="Z442" t="str">
        <f>IFERROR(VLOOKUP(Tabla_Consulta_desde_Proyectos10[[#This Row],[PRYRAfecha]],'Fechas Mes'!G:J,4,TRUE),"")</f>
        <v/>
      </c>
      <c r="AA442" t="e" cm="1">
        <f t="array" ref="AA442">INDEX('Fechas Mes'!F:F,MATCH(Tabla_Consulta_desde_Proyectos10[[#This Row],[Semana]],'Fechas Mes'!J:J,0),)</f>
        <v>#N/A</v>
      </c>
      <c r="AB442">
        <f>YEAR(Tabla_Consulta_desde_Proyectos10[[#This Row],[PRYRAfecha]])</f>
        <v>1900</v>
      </c>
      <c r="AC442" t="e">
        <f>VLOOKUP(Tabla_Consulta_desde_Proyectos10[[#This Row],[PRYRAfecha]],'Fechas Mes'!G:J,4,TRUE)</f>
        <v>#N/A</v>
      </c>
      <c r="AD442" t="str">
        <f>IFERROR(VLOOKUP(Tabla_Consulta_desde_Proyectos10[[#This Row],[PRYcodigo]],Catálogo!A:B,2,FALSE),"Otros")</f>
        <v>Otros</v>
      </c>
      <c r="AE442" t="str">
        <f>IF(LEN(Tabla_Consulta_desde_Proyectos10[[#This Row],[Semana]])&lt;13,"CI",RIGHT(Tabla_Consulta_desde_Proyectos10[[#This Row],[Semana]],4))</f>
        <v>CI</v>
      </c>
    </row>
    <row r="443" spans="1:31" hidden="1">
      <c r="A443" t="s">
        <v>6369</v>
      </c>
      <c r="B443" t="s">
        <v>7184</v>
      </c>
      <c r="C443" t="s">
        <v>7185</v>
      </c>
      <c r="D443" t="s">
        <v>7753</v>
      </c>
      <c r="E443" t="s">
        <v>7185</v>
      </c>
      <c r="F443">
        <v>0</v>
      </c>
      <c r="G443" t="s">
        <v>7754</v>
      </c>
      <c r="L443" s="4"/>
      <c r="O443">
        <v>3000000001837147</v>
      </c>
      <c r="P443" t="s">
        <v>292</v>
      </c>
      <c r="Q443" t="s">
        <v>7757</v>
      </c>
      <c r="W443" t="str">
        <f>Tabla_Consulta_desde_Proyectos10[[#This Row],[PRYcodigo]]&amp;Tabla_Consulta_desde_Proyectos10[[#This Row],[PRYApath]]</f>
        <v>151-350-NV.OP.SWAT/0002</v>
      </c>
      <c r="X443" t="str">
        <f>Tabla_Consulta_desde_Proyectos10[[#This Row],[PRYAcodigo]]&amp;" - "&amp;Tabla_Consulta_desde_Proyectos10[[#This Row],[PRYAdescripcion]]</f>
        <v>350_NV.OP.SWAT - NUEVAS OPORTUNIDADES DEL EQUIPO SWAT</v>
      </c>
      <c r="Y443" t="str">
        <f>SUBSTITUTE(IFERROR(VLOOKUP(LEFT(Tabla_Consulta_desde_Proyectos10[[#This Row],[Nivel1]],LEN(Tabla_Consulta_desde_Proyectos10[[#This Row],[Nivel1]])-5),Tabla_Consulta_desde_Proyectos10[[#All],[Nivel1]:[Actividad]],2,FALSE),""),"_","-")</f>
        <v/>
      </c>
      <c r="Z443" t="str">
        <f>IFERROR(VLOOKUP(Tabla_Consulta_desde_Proyectos10[[#This Row],[PRYRAfecha]],'Fechas Mes'!G:J,4,TRUE),"")</f>
        <v/>
      </c>
      <c r="AA443" t="e" cm="1">
        <f t="array" ref="AA443">INDEX('Fechas Mes'!F:F,MATCH(Tabla_Consulta_desde_Proyectos10[[#This Row],[Semana]],'Fechas Mes'!J:J,0),)</f>
        <v>#N/A</v>
      </c>
      <c r="AB443">
        <f>YEAR(Tabla_Consulta_desde_Proyectos10[[#This Row],[PRYRAfecha]])</f>
        <v>1900</v>
      </c>
      <c r="AC443" t="e">
        <f>VLOOKUP(Tabla_Consulta_desde_Proyectos10[[#This Row],[PRYRAfecha]],'Fechas Mes'!G:J,4,TRUE)</f>
        <v>#N/A</v>
      </c>
      <c r="AD443" t="str">
        <f>IFERROR(VLOOKUP(Tabla_Consulta_desde_Proyectos10[[#This Row],[PRYcodigo]],Catálogo!A:B,2,FALSE),"Otros")</f>
        <v>Otros</v>
      </c>
      <c r="AE443" t="str">
        <f>IF(LEN(Tabla_Consulta_desde_Proyectos10[[#This Row],[Semana]])&lt;13,"CI",RIGHT(Tabla_Consulta_desde_Proyectos10[[#This Row],[Semana]],4))</f>
        <v>CI</v>
      </c>
    </row>
    <row r="444" spans="1:31" hidden="1">
      <c r="A444" t="s">
        <v>6369</v>
      </c>
      <c r="B444" t="s">
        <v>7184</v>
      </c>
      <c r="C444" t="s">
        <v>7185</v>
      </c>
      <c r="D444" t="s">
        <v>7753</v>
      </c>
      <c r="E444" t="s">
        <v>7185</v>
      </c>
      <c r="F444">
        <v>0</v>
      </c>
      <c r="G444" t="s">
        <v>7754</v>
      </c>
      <c r="L444" s="4"/>
      <c r="O444">
        <v>3000000001837150</v>
      </c>
      <c r="P444" t="s">
        <v>292</v>
      </c>
      <c r="Q444" t="s">
        <v>7757</v>
      </c>
      <c r="W444" t="str">
        <f>Tabla_Consulta_desde_Proyectos10[[#This Row],[PRYcodigo]]&amp;Tabla_Consulta_desde_Proyectos10[[#This Row],[PRYApath]]</f>
        <v>151-350-NV.OP.SWAT/0002</v>
      </c>
      <c r="X444" t="str">
        <f>Tabla_Consulta_desde_Proyectos10[[#This Row],[PRYAcodigo]]&amp;" - "&amp;Tabla_Consulta_desde_Proyectos10[[#This Row],[PRYAdescripcion]]</f>
        <v>350_NV.OP.SWAT - NUEVAS OPORTUNIDADES DEL EQUIPO SWAT</v>
      </c>
      <c r="Y444" t="str">
        <f>SUBSTITUTE(IFERROR(VLOOKUP(LEFT(Tabla_Consulta_desde_Proyectos10[[#This Row],[Nivel1]],LEN(Tabla_Consulta_desde_Proyectos10[[#This Row],[Nivel1]])-5),Tabla_Consulta_desde_Proyectos10[[#All],[Nivel1]:[Actividad]],2,FALSE),""),"_","-")</f>
        <v/>
      </c>
      <c r="Z444" t="str">
        <f>IFERROR(VLOOKUP(Tabla_Consulta_desde_Proyectos10[[#This Row],[PRYRAfecha]],'Fechas Mes'!G:J,4,TRUE),"")</f>
        <v/>
      </c>
      <c r="AA444" t="e" cm="1">
        <f t="array" ref="AA444">INDEX('Fechas Mes'!F:F,MATCH(Tabla_Consulta_desde_Proyectos10[[#This Row],[Semana]],'Fechas Mes'!J:J,0),)</f>
        <v>#N/A</v>
      </c>
      <c r="AB444">
        <f>YEAR(Tabla_Consulta_desde_Proyectos10[[#This Row],[PRYRAfecha]])</f>
        <v>1900</v>
      </c>
      <c r="AC444" t="e">
        <f>VLOOKUP(Tabla_Consulta_desde_Proyectos10[[#This Row],[PRYRAfecha]],'Fechas Mes'!G:J,4,TRUE)</f>
        <v>#N/A</v>
      </c>
      <c r="AD444" t="str">
        <f>IFERROR(VLOOKUP(Tabla_Consulta_desde_Proyectos10[[#This Row],[PRYcodigo]],Catálogo!A:B,2,FALSE),"Otros")</f>
        <v>Otros</v>
      </c>
      <c r="AE444" t="str">
        <f>IF(LEN(Tabla_Consulta_desde_Proyectos10[[#This Row],[Semana]])&lt;13,"CI",RIGHT(Tabla_Consulta_desde_Proyectos10[[#This Row],[Semana]],4))</f>
        <v>CI</v>
      </c>
    </row>
    <row r="445" spans="1:31" hidden="1">
      <c r="A445" t="s">
        <v>6369</v>
      </c>
      <c r="B445" t="s">
        <v>7184</v>
      </c>
      <c r="C445" t="s">
        <v>7185</v>
      </c>
      <c r="D445" t="s">
        <v>7753</v>
      </c>
      <c r="E445" t="s">
        <v>7185</v>
      </c>
      <c r="F445">
        <v>0</v>
      </c>
      <c r="G445" t="s">
        <v>7754</v>
      </c>
      <c r="L445" s="4"/>
      <c r="O445">
        <v>3000000001837163</v>
      </c>
      <c r="P445" t="s">
        <v>292</v>
      </c>
      <c r="Q445" t="s">
        <v>7757</v>
      </c>
      <c r="W445" t="str">
        <f>Tabla_Consulta_desde_Proyectos10[[#This Row],[PRYcodigo]]&amp;Tabla_Consulta_desde_Proyectos10[[#This Row],[PRYApath]]</f>
        <v>151-350-NV.OP.SWAT/0002</v>
      </c>
      <c r="X445" t="str">
        <f>Tabla_Consulta_desde_Proyectos10[[#This Row],[PRYAcodigo]]&amp;" - "&amp;Tabla_Consulta_desde_Proyectos10[[#This Row],[PRYAdescripcion]]</f>
        <v>350_NV.OP.SWAT - NUEVAS OPORTUNIDADES DEL EQUIPO SWAT</v>
      </c>
      <c r="Y445" t="str">
        <f>SUBSTITUTE(IFERROR(VLOOKUP(LEFT(Tabla_Consulta_desde_Proyectos10[[#This Row],[Nivel1]],LEN(Tabla_Consulta_desde_Proyectos10[[#This Row],[Nivel1]])-5),Tabla_Consulta_desde_Proyectos10[[#All],[Nivel1]:[Actividad]],2,FALSE),""),"_","-")</f>
        <v/>
      </c>
      <c r="Z445" t="str">
        <f>IFERROR(VLOOKUP(Tabla_Consulta_desde_Proyectos10[[#This Row],[PRYRAfecha]],'Fechas Mes'!G:J,4,TRUE),"")</f>
        <v/>
      </c>
      <c r="AA445" t="e" cm="1">
        <f t="array" ref="AA445">INDEX('Fechas Mes'!F:F,MATCH(Tabla_Consulta_desde_Proyectos10[[#This Row],[Semana]],'Fechas Mes'!J:J,0),)</f>
        <v>#N/A</v>
      </c>
      <c r="AB445">
        <f>YEAR(Tabla_Consulta_desde_Proyectos10[[#This Row],[PRYRAfecha]])</f>
        <v>1900</v>
      </c>
      <c r="AC445" t="e">
        <f>VLOOKUP(Tabla_Consulta_desde_Proyectos10[[#This Row],[PRYRAfecha]],'Fechas Mes'!G:J,4,TRUE)</f>
        <v>#N/A</v>
      </c>
      <c r="AD445" t="str">
        <f>IFERROR(VLOOKUP(Tabla_Consulta_desde_Proyectos10[[#This Row],[PRYcodigo]],Catálogo!A:B,2,FALSE),"Otros")</f>
        <v>Otros</v>
      </c>
      <c r="AE445" t="str">
        <f>IF(LEN(Tabla_Consulta_desde_Proyectos10[[#This Row],[Semana]])&lt;13,"CI",RIGHT(Tabla_Consulta_desde_Proyectos10[[#This Row],[Semana]],4))</f>
        <v>CI</v>
      </c>
    </row>
    <row r="446" spans="1:31">
      <c r="A446" t="s">
        <v>6369</v>
      </c>
      <c r="B446" t="s">
        <v>7184</v>
      </c>
      <c r="C446" t="s">
        <v>7185</v>
      </c>
      <c r="D446" t="s">
        <v>288</v>
      </c>
      <c r="E446" t="s">
        <v>7758</v>
      </c>
      <c r="F446">
        <v>1</v>
      </c>
      <c r="G446" t="s">
        <v>7759</v>
      </c>
      <c r="H446" t="s">
        <v>7107</v>
      </c>
      <c r="I446" t="s">
        <v>7108</v>
      </c>
      <c r="J446" t="s">
        <v>1463</v>
      </c>
      <c r="K446" t="s">
        <v>1464</v>
      </c>
      <c r="L446" s="4">
        <v>46133</v>
      </c>
      <c r="M446" t="s">
        <v>7760</v>
      </c>
      <c r="N446">
        <v>1</v>
      </c>
      <c r="O446">
        <v>3000000001836942</v>
      </c>
      <c r="P446" t="s">
        <v>292</v>
      </c>
      <c r="Q446" t="s">
        <v>7755</v>
      </c>
      <c r="W446" t="str">
        <f>Tabla_Consulta_desde_Proyectos10[[#This Row],[PRYcodigo]]&amp;Tabla_Consulta_desde_Proyectos10[[#This Row],[PRYApath]]</f>
        <v>151-350-NV.OP.SWAT/0002/0002</v>
      </c>
      <c r="X446" t="str">
        <f>Tabla_Consulta_desde_Proyectos10[[#This Row],[PRYAcodigo]]&amp;" - "&amp;Tabla_Consulta_desde_Proyectos10[[#This Row],[PRYAdescripcion]]</f>
        <v>01 - REUNIONES CLIENTES</v>
      </c>
      <c r="Y446" t="str">
        <f>SUBSTITUTE(IFERROR(VLOOKUP(LEFT(Tabla_Consulta_desde_Proyectos10[[#This Row],[Nivel1]],LEN(Tabla_Consulta_desde_Proyectos10[[#This Row],[Nivel1]])-5),Tabla_Consulta_desde_Proyectos10[[#All],[Nivel1]:[Actividad]],2,FALSE),""),"_","-")</f>
        <v>350-NV.OP.SWAT - NUEVAS OPORTUNIDADES DEL EQUIPO SWAT</v>
      </c>
      <c r="Z446" t="str">
        <f>IFERROR(VLOOKUP(Tabla_Consulta_desde_Proyectos10[[#This Row],[PRYRAfecha]],'Fechas Mes'!G:J,4,TRUE),"")</f>
        <v>Semana 48CIP2</v>
      </c>
      <c r="AA446" t="str" cm="1">
        <f t="array" ref="AA446">INDEX('Fechas Mes'!F:F,MATCH(Tabla_Consulta_desde_Proyectos10[[#This Row],[Semana]],'Fechas Mes'!J:J,0),)</f>
        <v>M12CIP2</v>
      </c>
      <c r="AB446">
        <f>YEAR(Tabla_Consulta_desde_Proyectos10[[#This Row],[PRYRAfecha]])</f>
        <v>2026</v>
      </c>
      <c r="AC446" t="str">
        <f>VLOOKUP(Tabla_Consulta_desde_Proyectos10[[#This Row],[PRYRAfecha]],'Fechas Mes'!G:J,4,TRUE)</f>
        <v>Semana 48CIP2</v>
      </c>
      <c r="AD446" t="str">
        <f>IFERROR(VLOOKUP(Tabla_Consulta_desde_Proyectos10[[#This Row],[PRYcodigo]],Catálogo!A:B,2,FALSE),"Otros")</f>
        <v>Otros</v>
      </c>
      <c r="AE446" t="str">
        <f>IF(LEN(Tabla_Consulta_desde_Proyectos10[[#This Row],[Semana]])&lt;13,"CI",RIGHT(Tabla_Consulta_desde_Proyectos10[[#This Row],[Semana]],4))</f>
        <v>CIP2</v>
      </c>
    </row>
    <row r="447" spans="1:31">
      <c r="A447" t="s">
        <v>6369</v>
      </c>
      <c r="B447" t="s">
        <v>7184</v>
      </c>
      <c r="C447" t="s">
        <v>7185</v>
      </c>
      <c r="D447" t="s">
        <v>7761</v>
      </c>
      <c r="E447" t="s">
        <v>7575</v>
      </c>
      <c r="F447">
        <v>1</v>
      </c>
      <c r="G447" t="s">
        <v>7762</v>
      </c>
      <c r="H447" t="s">
        <v>7101</v>
      </c>
      <c r="I447" t="s">
        <v>7102</v>
      </c>
      <c r="J447" t="s">
        <v>4989</v>
      </c>
      <c r="K447" t="s">
        <v>5406</v>
      </c>
      <c r="L447" s="4">
        <v>46127</v>
      </c>
      <c r="M447" t="s">
        <v>7763</v>
      </c>
      <c r="N447">
        <v>2</v>
      </c>
      <c r="O447">
        <v>3000000001829709</v>
      </c>
      <c r="P447" t="s">
        <v>292</v>
      </c>
      <c r="Q447" t="s">
        <v>7755</v>
      </c>
      <c r="W447" t="str">
        <f>Tabla_Consulta_desde_Proyectos10[[#This Row],[PRYcodigo]]&amp;Tabla_Consulta_desde_Proyectos10[[#This Row],[PRYApath]]</f>
        <v>151-350-NV.OP.SWAT/0002/0004</v>
      </c>
      <c r="X447" t="str">
        <f>Tabla_Consulta_desde_Proyectos10[[#This Row],[PRYAcodigo]]&amp;" - "&amp;Tabla_Consulta_desde_Proyectos10[[#This Row],[PRYAdescripcion]]</f>
        <v>02 - REUNIONES INTERNAS</v>
      </c>
      <c r="Y447" t="str">
        <f>SUBSTITUTE(IFERROR(VLOOKUP(LEFT(Tabla_Consulta_desde_Proyectos10[[#This Row],[Nivel1]],LEN(Tabla_Consulta_desde_Proyectos10[[#This Row],[Nivel1]])-5),Tabla_Consulta_desde_Proyectos10[[#All],[Nivel1]:[Actividad]],2,FALSE),""),"_","-")</f>
        <v>350-NV.OP.SWAT - NUEVAS OPORTUNIDADES DEL EQUIPO SWAT</v>
      </c>
      <c r="Z447" t="str">
        <f>IFERROR(VLOOKUP(Tabla_Consulta_desde_Proyectos10[[#This Row],[PRYRAfecha]],'Fechas Mes'!G:J,4,TRUE),"")</f>
        <v>Semana 48CIP2</v>
      </c>
      <c r="AA447" t="str" cm="1">
        <f t="array" ref="AA447">INDEX('Fechas Mes'!F:F,MATCH(Tabla_Consulta_desde_Proyectos10[[#This Row],[Semana]],'Fechas Mes'!J:J,0),)</f>
        <v>M12CIP2</v>
      </c>
      <c r="AB447">
        <f>YEAR(Tabla_Consulta_desde_Proyectos10[[#This Row],[PRYRAfecha]])</f>
        <v>2026</v>
      </c>
      <c r="AC447" t="str">
        <f>VLOOKUP(Tabla_Consulta_desde_Proyectos10[[#This Row],[PRYRAfecha]],'Fechas Mes'!G:J,4,TRUE)</f>
        <v>Semana 48CIP2</v>
      </c>
      <c r="AD447" t="str">
        <f>IFERROR(VLOOKUP(Tabla_Consulta_desde_Proyectos10[[#This Row],[PRYcodigo]],Catálogo!A:B,2,FALSE),"Otros")</f>
        <v>Otros</v>
      </c>
      <c r="AE447" t="str">
        <f>IF(LEN(Tabla_Consulta_desde_Proyectos10[[#This Row],[Semana]])&lt;13,"CI",RIGHT(Tabla_Consulta_desde_Proyectos10[[#This Row],[Semana]],4))</f>
        <v>CIP2</v>
      </c>
    </row>
    <row r="448" spans="1:31">
      <c r="A448" t="s">
        <v>6369</v>
      </c>
      <c r="B448" t="s">
        <v>7184</v>
      </c>
      <c r="C448" t="s">
        <v>7185</v>
      </c>
      <c r="D448" t="s">
        <v>7761</v>
      </c>
      <c r="E448" t="s">
        <v>7575</v>
      </c>
      <c r="F448">
        <v>1</v>
      </c>
      <c r="G448" t="s">
        <v>7762</v>
      </c>
      <c r="H448" t="s">
        <v>7101</v>
      </c>
      <c r="I448" t="s">
        <v>7102</v>
      </c>
      <c r="J448" t="s">
        <v>4989</v>
      </c>
      <c r="K448" t="s">
        <v>5406</v>
      </c>
      <c r="L448" s="4">
        <v>46127</v>
      </c>
      <c r="M448" t="s">
        <v>7764</v>
      </c>
      <c r="N448">
        <v>1.5</v>
      </c>
      <c r="O448">
        <v>3000000001829710</v>
      </c>
      <c r="P448" t="s">
        <v>292</v>
      </c>
      <c r="Q448" t="s">
        <v>7755</v>
      </c>
      <c r="W448" t="str">
        <f>Tabla_Consulta_desde_Proyectos10[[#This Row],[PRYcodigo]]&amp;Tabla_Consulta_desde_Proyectos10[[#This Row],[PRYApath]]</f>
        <v>151-350-NV.OP.SWAT/0002/0004</v>
      </c>
      <c r="X448" t="str">
        <f>Tabla_Consulta_desde_Proyectos10[[#This Row],[PRYAcodigo]]&amp;" - "&amp;Tabla_Consulta_desde_Proyectos10[[#This Row],[PRYAdescripcion]]</f>
        <v>02 - REUNIONES INTERNAS</v>
      </c>
      <c r="Y448" t="str">
        <f>SUBSTITUTE(IFERROR(VLOOKUP(LEFT(Tabla_Consulta_desde_Proyectos10[[#This Row],[Nivel1]],LEN(Tabla_Consulta_desde_Proyectos10[[#This Row],[Nivel1]])-5),Tabla_Consulta_desde_Proyectos10[[#All],[Nivel1]:[Actividad]],2,FALSE),""),"_","-")</f>
        <v>350-NV.OP.SWAT - NUEVAS OPORTUNIDADES DEL EQUIPO SWAT</v>
      </c>
      <c r="Z448" t="str">
        <f>IFERROR(VLOOKUP(Tabla_Consulta_desde_Proyectos10[[#This Row],[PRYRAfecha]],'Fechas Mes'!G:J,4,TRUE),"")</f>
        <v>Semana 48CIP2</v>
      </c>
      <c r="AA448" t="str" cm="1">
        <f t="array" ref="AA448">INDEX('Fechas Mes'!F:F,MATCH(Tabla_Consulta_desde_Proyectos10[[#This Row],[Semana]],'Fechas Mes'!J:J,0),)</f>
        <v>M12CIP2</v>
      </c>
      <c r="AB448">
        <f>YEAR(Tabla_Consulta_desde_Proyectos10[[#This Row],[PRYRAfecha]])</f>
        <v>2026</v>
      </c>
      <c r="AC448" t="str">
        <f>VLOOKUP(Tabla_Consulta_desde_Proyectos10[[#This Row],[PRYRAfecha]],'Fechas Mes'!G:J,4,TRUE)</f>
        <v>Semana 48CIP2</v>
      </c>
      <c r="AD448" t="str">
        <f>IFERROR(VLOOKUP(Tabla_Consulta_desde_Proyectos10[[#This Row],[PRYcodigo]],Catálogo!A:B,2,FALSE),"Otros")</f>
        <v>Otros</v>
      </c>
      <c r="AE448" t="str">
        <f>IF(LEN(Tabla_Consulta_desde_Proyectos10[[#This Row],[Semana]])&lt;13,"CI",RIGHT(Tabla_Consulta_desde_Proyectos10[[#This Row],[Semana]],4))</f>
        <v>CIP2</v>
      </c>
    </row>
    <row r="449" spans="1:31">
      <c r="A449" t="s">
        <v>6369</v>
      </c>
      <c r="B449" t="s">
        <v>7184</v>
      </c>
      <c r="C449" t="s">
        <v>7185</v>
      </c>
      <c r="D449" t="s">
        <v>7761</v>
      </c>
      <c r="E449" t="s">
        <v>7575</v>
      </c>
      <c r="F449">
        <v>1</v>
      </c>
      <c r="G449" t="s">
        <v>7762</v>
      </c>
      <c r="H449" t="s">
        <v>7101</v>
      </c>
      <c r="I449" t="s">
        <v>7102</v>
      </c>
      <c r="J449" t="s">
        <v>4989</v>
      </c>
      <c r="K449" t="s">
        <v>5406</v>
      </c>
      <c r="L449" s="4">
        <v>46136</v>
      </c>
      <c r="M449" t="s">
        <v>7765</v>
      </c>
      <c r="N449">
        <v>1</v>
      </c>
      <c r="O449">
        <v>3000000001833914</v>
      </c>
      <c r="P449" t="s">
        <v>292</v>
      </c>
      <c r="Q449" t="s">
        <v>7757</v>
      </c>
      <c r="W449" t="str">
        <f>Tabla_Consulta_desde_Proyectos10[[#This Row],[PRYcodigo]]&amp;Tabla_Consulta_desde_Proyectos10[[#This Row],[PRYApath]]</f>
        <v>151-350-NV.OP.SWAT/0002/0004</v>
      </c>
      <c r="X449" t="str">
        <f>Tabla_Consulta_desde_Proyectos10[[#This Row],[PRYAcodigo]]&amp;" - "&amp;Tabla_Consulta_desde_Proyectos10[[#This Row],[PRYAdescripcion]]</f>
        <v>02 - REUNIONES INTERNAS</v>
      </c>
      <c r="Y449" t="str">
        <f>SUBSTITUTE(IFERROR(VLOOKUP(LEFT(Tabla_Consulta_desde_Proyectos10[[#This Row],[Nivel1]],LEN(Tabla_Consulta_desde_Proyectos10[[#This Row],[Nivel1]])-5),Tabla_Consulta_desde_Proyectos10[[#All],[Nivel1]:[Actividad]],2,FALSE),""),"_","-")</f>
        <v>350-NV.OP.SWAT - NUEVAS OPORTUNIDADES DEL EQUIPO SWAT</v>
      </c>
      <c r="Z449" t="str">
        <f>IFERROR(VLOOKUP(Tabla_Consulta_desde_Proyectos10[[#This Row],[PRYRAfecha]],'Fechas Mes'!G:J,4,TRUE),"")</f>
        <v>Semana 48CIP2</v>
      </c>
      <c r="AA449" t="str" cm="1">
        <f t="array" ref="AA449">INDEX('Fechas Mes'!F:F,MATCH(Tabla_Consulta_desde_Proyectos10[[#This Row],[Semana]],'Fechas Mes'!J:J,0),)</f>
        <v>M12CIP2</v>
      </c>
      <c r="AB449">
        <f>YEAR(Tabla_Consulta_desde_Proyectos10[[#This Row],[PRYRAfecha]])</f>
        <v>2026</v>
      </c>
      <c r="AC449" t="str">
        <f>VLOOKUP(Tabla_Consulta_desde_Proyectos10[[#This Row],[PRYRAfecha]],'Fechas Mes'!G:J,4,TRUE)</f>
        <v>Semana 48CIP2</v>
      </c>
      <c r="AD449" t="str">
        <f>IFERROR(VLOOKUP(Tabla_Consulta_desde_Proyectos10[[#This Row],[PRYcodigo]],Catálogo!A:B,2,FALSE),"Otros")</f>
        <v>Otros</v>
      </c>
      <c r="AE449" t="str">
        <f>IF(LEN(Tabla_Consulta_desde_Proyectos10[[#This Row],[Semana]])&lt;13,"CI",RIGHT(Tabla_Consulta_desde_Proyectos10[[#This Row],[Semana]],4))</f>
        <v>CIP2</v>
      </c>
    </row>
    <row r="450" spans="1:31">
      <c r="A450" t="s">
        <v>6369</v>
      </c>
      <c r="B450" t="s">
        <v>7184</v>
      </c>
      <c r="C450" t="s">
        <v>7185</v>
      </c>
      <c r="D450" t="s">
        <v>7761</v>
      </c>
      <c r="E450" t="s">
        <v>7575</v>
      </c>
      <c r="F450">
        <v>1</v>
      </c>
      <c r="G450" t="s">
        <v>7762</v>
      </c>
      <c r="H450" t="s">
        <v>7113</v>
      </c>
      <c r="I450" t="s">
        <v>7114</v>
      </c>
      <c r="J450" t="s">
        <v>7015</v>
      </c>
      <c r="K450" t="s">
        <v>7016</v>
      </c>
      <c r="L450" s="4">
        <v>46129</v>
      </c>
      <c r="M450" t="s">
        <v>7766</v>
      </c>
      <c r="N450">
        <v>0.5</v>
      </c>
      <c r="O450">
        <v>3000000001829089</v>
      </c>
      <c r="P450" t="s">
        <v>292</v>
      </c>
      <c r="Q450" t="s">
        <v>7752</v>
      </c>
      <c r="W450" t="str">
        <f>Tabla_Consulta_desde_Proyectos10[[#This Row],[PRYcodigo]]&amp;Tabla_Consulta_desde_Proyectos10[[#This Row],[PRYApath]]</f>
        <v>151-350-NV.OP.SWAT/0002/0004</v>
      </c>
      <c r="X450" t="str">
        <f>Tabla_Consulta_desde_Proyectos10[[#This Row],[PRYAcodigo]]&amp;" - "&amp;Tabla_Consulta_desde_Proyectos10[[#This Row],[PRYAdescripcion]]</f>
        <v>02 - REUNIONES INTERNAS</v>
      </c>
      <c r="Y450" t="str">
        <f>SUBSTITUTE(IFERROR(VLOOKUP(LEFT(Tabla_Consulta_desde_Proyectos10[[#This Row],[Nivel1]],LEN(Tabla_Consulta_desde_Proyectos10[[#This Row],[Nivel1]])-5),Tabla_Consulta_desde_Proyectos10[[#All],[Nivel1]:[Actividad]],2,FALSE),""),"_","-")</f>
        <v>350-NV.OP.SWAT - NUEVAS OPORTUNIDADES DEL EQUIPO SWAT</v>
      </c>
      <c r="Z450" t="str">
        <f>IFERROR(VLOOKUP(Tabla_Consulta_desde_Proyectos10[[#This Row],[PRYRAfecha]],'Fechas Mes'!G:J,4,TRUE),"")</f>
        <v>Semana 48CIP2</v>
      </c>
      <c r="AA450" t="str" cm="1">
        <f t="array" ref="AA450">INDEX('Fechas Mes'!F:F,MATCH(Tabla_Consulta_desde_Proyectos10[[#This Row],[Semana]],'Fechas Mes'!J:J,0),)</f>
        <v>M12CIP2</v>
      </c>
      <c r="AB450">
        <f>YEAR(Tabla_Consulta_desde_Proyectos10[[#This Row],[PRYRAfecha]])</f>
        <v>2026</v>
      </c>
      <c r="AC450" t="str">
        <f>VLOOKUP(Tabla_Consulta_desde_Proyectos10[[#This Row],[PRYRAfecha]],'Fechas Mes'!G:J,4,TRUE)</f>
        <v>Semana 48CIP2</v>
      </c>
      <c r="AD450" t="str">
        <f>IFERROR(VLOOKUP(Tabla_Consulta_desde_Proyectos10[[#This Row],[PRYcodigo]],Catálogo!A:B,2,FALSE),"Otros")</f>
        <v>Otros</v>
      </c>
      <c r="AE450" t="str">
        <f>IF(LEN(Tabla_Consulta_desde_Proyectos10[[#This Row],[Semana]])&lt;13,"CI",RIGHT(Tabla_Consulta_desde_Proyectos10[[#This Row],[Semana]],4))</f>
        <v>CIP2</v>
      </c>
    </row>
    <row r="451" spans="1:31">
      <c r="A451" t="s">
        <v>6369</v>
      </c>
      <c r="B451" t="s">
        <v>7184</v>
      </c>
      <c r="C451" t="s">
        <v>7185</v>
      </c>
      <c r="D451" t="s">
        <v>7239</v>
      </c>
      <c r="E451" t="s">
        <v>7767</v>
      </c>
      <c r="F451">
        <v>1</v>
      </c>
      <c r="G451" t="s">
        <v>7768</v>
      </c>
      <c r="H451" t="s">
        <v>7113</v>
      </c>
      <c r="I451" t="s">
        <v>7114</v>
      </c>
      <c r="J451" t="s">
        <v>7015</v>
      </c>
      <c r="K451" t="s">
        <v>7016</v>
      </c>
      <c r="L451" s="4">
        <v>46127</v>
      </c>
      <c r="M451" t="s">
        <v>7769</v>
      </c>
      <c r="N451">
        <v>3</v>
      </c>
      <c r="O451">
        <v>3000000001828193</v>
      </c>
      <c r="P451" t="s">
        <v>292</v>
      </c>
      <c r="Q451" t="s">
        <v>7752</v>
      </c>
      <c r="W451" t="str">
        <f>Tabla_Consulta_desde_Proyectos10[[#This Row],[PRYcodigo]]&amp;Tabla_Consulta_desde_Proyectos10[[#This Row],[PRYApath]]</f>
        <v>151-350-NV.OP.SWAT/0002/0012</v>
      </c>
      <c r="X451" t="str">
        <f>Tabla_Consulta_desde_Proyectos10[[#This Row],[PRYAcodigo]]&amp;" - "&amp;Tabla_Consulta_desde_Proyectos10[[#This Row],[PRYAdescripcion]]</f>
        <v>6 - INVESTIGACIÓN</v>
      </c>
      <c r="Y451" t="str">
        <f>SUBSTITUTE(IFERROR(VLOOKUP(LEFT(Tabla_Consulta_desde_Proyectos10[[#This Row],[Nivel1]],LEN(Tabla_Consulta_desde_Proyectos10[[#This Row],[Nivel1]])-5),Tabla_Consulta_desde_Proyectos10[[#All],[Nivel1]:[Actividad]],2,FALSE),""),"_","-")</f>
        <v>350-NV.OP.SWAT - NUEVAS OPORTUNIDADES DEL EQUIPO SWAT</v>
      </c>
      <c r="Z451" t="str">
        <f>IFERROR(VLOOKUP(Tabla_Consulta_desde_Proyectos10[[#This Row],[PRYRAfecha]],'Fechas Mes'!G:J,4,TRUE),"")</f>
        <v>Semana 48CIP2</v>
      </c>
      <c r="AA451" t="str" cm="1">
        <f t="array" ref="AA451">INDEX('Fechas Mes'!F:F,MATCH(Tabla_Consulta_desde_Proyectos10[[#This Row],[Semana]],'Fechas Mes'!J:J,0),)</f>
        <v>M12CIP2</v>
      </c>
      <c r="AB451">
        <f>YEAR(Tabla_Consulta_desde_Proyectos10[[#This Row],[PRYRAfecha]])</f>
        <v>2026</v>
      </c>
      <c r="AC451" t="str">
        <f>VLOOKUP(Tabla_Consulta_desde_Proyectos10[[#This Row],[PRYRAfecha]],'Fechas Mes'!G:J,4,TRUE)</f>
        <v>Semana 48CIP2</v>
      </c>
      <c r="AD451" t="str">
        <f>IFERROR(VLOOKUP(Tabla_Consulta_desde_Proyectos10[[#This Row],[PRYcodigo]],Catálogo!A:B,2,FALSE),"Otros")</f>
        <v>Otros</v>
      </c>
      <c r="AE451" t="str">
        <f>IF(LEN(Tabla_Consulta_desde_Proyectos10[[#This Row],[Semana]])&lt;13,"CI",RIGHT(Tabla_Consulta_desde_Proyectos10[[#This Row],[Semana]],4))</f>
        <v>CIP2</v>
      </c>
    </row>
    <row r="452" spans="1:31">
      <c r="A452" t="s">
        <v>6369</v>
      </c>
      <c r="B452" t="s">
        <v>7184</v>
      </c>
      <c r="C452" t="s">
        <v>7185</v>
      </c>
      <c r="D452" t="s">
        <v>7203</v>
      </c>
      <c r="E452" t="s">
        <v>7770</v>
      </c>
      <c r="F452">
        <v>1</v>
      </c>
      <c r="G452" t="s">
        <v>7771</v>
      </c>
      <c r="H452" t="s">
        <v>7101</v>
      </c>
      <c r="I452" t="s">
        <v>7102</v>
      </c>
      <c r="J452" t="s">
        <v>4989</v>
      </c>
      <c r="K452" t="s">
        <v>5406</v>
      </c>
      <c r="L452" s="4">
        <v>46125</v>
      </c>
      <c r="M452" t="s">
        <v>7772</v>
      </c>
      <c r="N452">
        <v>7.5</v>
      </c>
      <c r="O452">
        <v>3000000001829704</v>
      </c>
      <c r="P452" t="s">
        <v>292</v>
      </c>
      <c r="Q452" t="s">
        <v>7755</v>
      </c>
      <c r="W452" t="str">
        <f>Tabla_Consulta_desde_Proyectos10[[#This Row],[PRYcodigo]]&amp;Tabla_Consulta_desde_Proyectos10[[#This Row],[PRYApath]]</f>
        <v>151-350-NV.OP.SWAT/0002/0016</v>
      </c>
      <c r="X452" t="str">
        <f>Tabla_Consulta_desde_Proyectos10[[#This Row],[PRYAcodigo]]&amp;" - "&amp;Tabla_Consulta_desde_Proyectos10[[#This Row],[PRYAdescripcion]]</f>
        <v>8 - DISEÑO</v>
      </c>
      <c r="Y452" t="str">
        <f>SUBSTITUTE(IFERROR(VLOOKUP(LEFT(Tabla_Consulta_desde_Proyectos10[[#This Row],[Nivel1]],LEN(Tabla_Consulta_desde_Proyectos10[[#This Row],[Nivel1]])-5),Tabla_Consulta_desde_Proyectos10[[#All],[Nivel1]:[Actividad]],2,FALSE),""),"_","-")</f>
        <v>350-NV.OP.SWAT - NUEVAS OPORTUNIDADES DEL EQUIPO SWAT</v>
      </c>
      <c r="Z452" t="str">
        <f>IFERROR(VLOOKUP(Tabla_Consulta_desde_Proyectos10[[#This Row],[PRYRAfecha]],'Fechas Mes'!G:J,4,TRUE),"")</f>
        <v>Semana 48CIP2</v>
      </c>
      <c r="AA452" t="str" cm="1">
        <f t="array" ref="AA452">INDEX('Fechas Mes'!F:F,MATCH(Tabla_Consulta_desde_Proyectos10[[#This Row],[Semana]],'Fechas Mes'!J:J,0),)</f>
        <v>M12CIP2</v>
      </c>
      <c r="AB452">
        <f>YEAR(Tabla_Consulta_desde_Proyectos10[[#This Row],[PRYRAfecha]])</f>
        <v>2026</v>
      </c>
      <c r="AC452" t="str">
        <f>VLOOKUP(Tabla_Consulta_desde_Proyectos10[[#This Row],[PRYRAfecha]],'Fechas Mes'!G:J,4,TRUE)</f>
        <v>Semana 48CIP2</v>
      </c>
      <c r="AD452" t="str">
        <f>IFERROR(VLOOKUP(Tabla_Consulta_desde_Proyectos10[[#This Row],[PRYcodigo]],Catálogo!A:B,2,FALSE),"Otros")</f>
        <v>Otros</v>
      </c>
      <c r="AE452" t="str">
        <f>IF(LEN(Tabla_Consulta_desde_Proyectos10[[#This Row],[Semana]])&lt;13,"CI",RIGHT(Tabla_Consulta_desde_Proyectos10[[#This Row],[Semana]],4))</f>
        <v>CIP2</v>
      </c>
    </row>
    <row r="453" spans="1:31">
      <c r="A453" t="s">
        <v>6369</v>
      </c>
      <c r="B453" t="s">
        <v>7184</v>
      </c>
      <c r="C453" t="s">
        <v>7185</v>
      </c>
      <c r="D453" t="s">
        <v>7203</v>
      </c>
      <c r="E453" t="s">
        <v>7770</v>
      </c>
      <c r="F453">
        <v>1</v>
      </c>
      <c r="G453" t="s">
        <v>7771</v>
      </c>
      <c r="H453" t="s">
        <v>7101</v>
      </c>
      <c r="I453" t="s">
        <v>7102</v>
      </c>
      <c r="J453" t="s">
        <v>4989</v>
      </c>
      <c r="K453" t="s">
        <v>5406</v>
      </c>
      <c r="L453" s="4">
        <v>46126</v>
      </c>
      <c r="M453" t="s">
        <v>7772</v>
      </c>
      <c r="N453">
        <v>7.5</v>
      </c>
      <c r="O453">
        <v>3000000001829705</v>
      </c>
      <c r="P453" t="s">
        <v>292</v>
      </c>
      <c r="Q453" t="s">
        <v>7755</v>
      </c>
      <c r="W453" t="str">
        <f>Tabla_Consulta_desde_Proyectos10[[#This Row],[PRYcodigo]]&amp;Tabla_Consulta_desde_Proyectos10[[#This Row],[PRYApath]]</f>
        <v>151-350-NV.OP.SWAT/0002/0016</v>
      </c>
      <c r="X453" t="str">
        <f>Tabla_Consulta_desde_Proyectos10[[#This Row],[PRYAcodigo]]&amp;" - "&amp;Tabla_Consulta_desde_Proyectos10[[#This Row],[PRYAdescripcion]]</f>
        <v>8 - DISEÑO</v>
      </c>
      <c r="Y453" t="str">
        <f>SUBSTITUTE(IFERROR(VLOOKUP(LEFT(Tabla_Consulta_desde_Proyectos10[[#This Row],[Nivel1]],LEN(Tabla_Consulta_desde_Proyectos10[[#This Row],[Nivel1]])-5),Tabla_Consulta_desde_Proyectos10[[#All],[Nivel1]:[Actividad]],2,FALSE),""),"_","-")</f>
        <v>350-NV.OP.SWAT - NUEVAS OPORTUNIDADES DEL EQUIPO SWAT</v>
      </c>
      <c r="Z453" t="str">
        <f>IFERROR(VLOOKUP(Tabla_Consulta_desde_Proyectos10[[#This Row],[PRYRAfecha]],'Fechas Mes'!G:J,4,TRUE),"")</f>
        <v>Semana 48CIP2</v>
      </c>
      <c r="AA453" t="str" cm="1">
        <f t="array" ref="AA453">INDEX('Fechas Mes'!F:F,MATCH(Tabla_Consulta_desde_Proyectos10[[#This Row],[Semana]],'Fechas Mes'!J:J,0),)</f>
        <v>M12CIP2</v>
      </c>
      <c r="AB453">
        <f>YEAR(Tabla_Consulta_desde_Proyectos10[[#This Row],[PRYRAfecha]])</f>
        <v>2026</v>
      </c>
      <c r="AC453" t="str">
        <f>VLOOKUP(Tabla_Consulta_desde_Proyectos10[[#This Row],[PRYRAfecha]],'Fechas Mes'!G:J,4,TRUE)</f>
        <v>Semana 48CIP2</v>
      </c>
      <c r="AD453" t="str">
        <f>IFERROR(VLOOKUP(Tabla_Consulta_desde_Proyectos10[[#This Row],[PRYcodigo]],Catálogo!A:B,2,FALSE),"Otros")</f>
        <v>Otros</v>
      </c>
      <c r="AE453" t="str">
        <f>IF(LEN(Tabla_Consulta_desde_Proyectos10[[#This Row],[Semana]])&lt;13,"CI",RIGHT(Tabla_Consulta_desde_Proyectos10[[#This Row],[Semana]],4))</f>
        <v>CIP2</v>
      </c>
    </row>
    <row r="454" spans="1:31">
      <c r="A454" t="s">
        <v>6369</v>
      </c>
      <c r="B454" t="s">
        <v>7184</v>
      </c>
      <c r="C454" t="s">
        <v>7185</v>
      </c>
      <c r="D454" t="s">
        <v>7203</v>
      </c>
      <c r="E454" t="s">
        <v>7770</v>
      </c>
      <c r="F454">
        <v>1</v>
      </c>
      <c r="G454" t="s">
        <v>7771</v>
      </c>
      <c r="H454" t="s">
        <v>7101</v>
      </c>
      <c r="I454" t="s">
        <v>7102</v>
      </c>
      <c r="J454" t="s">
        <v>4989</v>
      </c>
      <c r="K454" t="s">
        <v>5406</v>
      </c>
      <c r="L454" s="4">
        <v>46127</v>
      </c>
      <c r="M454" t="s">
        <v>7772</v>
      </c>
      <c r="N454">
        <v>4</v>
      </c>
      <c r="O454">
        <v>3000000001829706</v>
      </c>
      <c r="P454" t="s">
        <v>292</v>
      </c>
      <c r="Q454" t="s">
        <v>7755</v>
      </c>
      <c r="W454" t="str">
        <f>Tabla_Consulta_desde_Proyectos10[[#This Row],[PRYcodigo]]&amp;Tabla_Consulta_desde_Proyectos10[[#This Row],[PRYApath]]</f>
        <v>151-350-NV.OP.SWAT/0002/0016</v>
      </c>
      <c r="X454" t="str">
        <f>Tabla_Consulta_desde_Proyectos10[[#This Row],[PRYAcodigo]]&amp;" - "&amp;Tabla_Consulta_desde_Proyectos10[[#This Row],[PRYAdescripcion]]</f>
        <v>8 - DISEÑO</v>
      </c>
      <c r="Y454" t="str">
        <f>SUBSTITUTE(IFERROR(VLOOKUP(LEFT(Tabla_Consulta_desde_Proyectos10[[#This Row],[Nivel1]],LEN(Tabla_Consulta_desde_Proyectos10[[#This Row],[Nivel1]])-5),Tabla_Consulta_desde_Proyectos10[[#All],[Nivel1]:[Actividad]],2,FALSE),""),"_","-")</f>
        <v>350-NV.OP.SWAT - NUEVAS OPORTUNIDADES DEL EQUIPO SWAT</v>
      </c>
      <c r="Z454" t="str">
        <f>IFERROR(VLOOKUP(Tabla_Consulta_desde_Proyectos10[[#This Row],[PRYRAfecha]],'Fechas Mes'!G:J,4,TRUE),"")</f>
        <v>Semana 48CIP2</v>
      </c>
      <c r="AA454" t="str" cm="1">
        <f t="array" ref="AA454">INDEX('Fechas Mes'!F:F,MATCH(Tabla_Consulta_desde_Proyectos10[[#This Row],[Semana]],'Fechas Mes'!J:J,0),)</f>
        <v>M12CIP2</v>
      </c>
      <c r="AB454">
        <f>YEAR(Tabla_Consulta_desde_Proyectos10[[#This Row],[PRYRAfecha]])</f>
        <v>2026</v>
      </c>
      <c r="AC454" t="str">
        <f>VLOOKUP(Tabla_Consulta_desde_Proyectos10[[#This Row],[PRYRAfecha]],'Fechas Mes'!G:J,4,TRUE)</f>
        <v>Semana 48CIP2</v>
      </c>
      <c r="AD454" t="str">
        <f>IFERROR(VLOOKUP(Tabla_Consulta_desde_Proyectos10[[#This Row],[PRYcodigo]],Catálogo!A:B,2,FALSE),"Otros")</f>
        <v>Otros</v>
      </c>
      <c r="AE454" t="str">
        <f>IF(LEN(Tabla_Consulta_desde_Proyectos10[[#This Row],[Semana]])&lt;13,"CI",RIGHT(Tabla_Consulta_desde_Proyectos10[[#This Row],[Semana]],4))</f>
        <v>CIP2</v>
      </c>
    </row>
    <row r="455" spans="1:31">
      <c r="A455" t="s">
        <v>6369</v>
      </c>
      <c r="B455" t="s">
        <v>7184</v>
      </c>
      <c r="C455" t="s">
        <v>7185</v>
      </c>
      <c r="D455" t="s">
        <v>7203</v>
      </c>
      <c r="E455" t="s">
        <v>7770</v>
      </c>
      <c r="F455">
        <v>1</v>
      </c>
      <c r="G455" t="s">
        <v>7771</v>
      </c>
      <c r="H455" t="s">
        <v>7101</v>
      </c>
      <c r="I455" t="s">
        <v>7102</v>
      </c>
      <c r="J455" t="s">
        <v>4989</v>
      </c>
      <c r="K455" t="s">
        <v>5406</v>
      </c>
      <c r="L455" s="4">
        <v>46128</v>
      </c>
      <c r="M455" t="s">
        <v>7773</v>
      </c>
      <c r="N455">
        <v>7</v>
      </c>
      <c r="O455">
        <v>3000000001829711</v>
      </c>
      <c r="P455" t="s">
        <v>292</v>
      </c>
      <c r="Q455" t="s">
        <v>7755</v>
      </c>
      <c r="W455" t="str">
        <f>Tabla_Consulta_desde_Proyectos10[[#This Row],[PRYcodigo]]&amp;Tabla_Consulta_desde_Proyectos10[[#This Row],[PRYApath]]</f>
        <v>151-350-NV.OP.SWAT/0002/0016</v>
      </c>
      <c r="X455" t="str">
        <f>Tabla_Consulta_desde_Proyectos10[[#This Row],[PRYAcodigo]]&amp;" - "&amp;Tabla_Consulta_desde_Proyectos10[[#This Row],[PRYAdescripcion]]</f>
        <v>8 - DISEÑO</v>
      </c>
      <c r="Y455" t="str">
        <f>SUBSTITUTE(IFERROR(VLOOKUP(LEFT(Tabla_Consulta_desde_Proyectos10[[#This Row],[Nivel1]],LEN(Tabla_Consulta_desde_Proyectos10[[#This Row],[Nivel1]])-5),Tabla_Consulta_desde_Proyectos10[[#All],[Nivel1]:[Actividad]],2,FALSE),""),"_","-")</f>
        <v>350-NV.OP.SWAT - NUEVAS OPORTUNIDADES DEL EQUIPO SWAT</v>
      </c>
      <c r="Z455" t="str">
        <f>IFERROR(VLOOKUP(Tabla_Consulta_desde_Proyectos10[[#This Row],[PRYRAfecha]],'Fechas Mes'!G:J,4,TRUE),"")</f>
        <v>Semana 48CIP2</v>
      </c>
      <c r="AA455" t="str" cm="1">
        <f t="array" ref="AA455">INDEX('Fechas Mes'!F:F,MATCH(Tabla_Consulta_desde_Proyectos10[[#This Row],[Semana]],'Fechas Mes'!J:J,0),)</f>
        <v>M12CIP2</v>
      </c>
      <c r="AB455">
        <f>YEAR(Tabla_Consulta_desde_Proyectos10[[#This Row],[PRYRAfecha]])</f>
        <v>2026</v>
      </c>
      <c r="AC455" t="str">
        <f>VLOOKUP(Tabla_Consulta_desde_Proyectos10[[#This Row],[PRYRAfecha]],'Fechas Mes'!G:J,4,TRUE)</f>
        <v>Semana 48CIP2</v>
      </c>
      <c r="AD455" t="str">
        <f>IFERROR(VLOOKUP(Tabla_Consulta_desde_Proyectos10[[#This Row],[PRYcodigo]],Catálogo!A:B,2,FALSE),"Otros")</f>
        <v>Otros</v>
      </c>
      <c r="AE455" t="str">
        <f>IF(LEN(Tabla_Consulta_desde_Proyectos10[[#This Row],[Semana]])&lt;13,"CI",RIGHT(Tabla_Consulta_desde_Proyectos10[[#This Row],[Semana]],4))</f>
        <v>CIP2</v>
      </c>
    </row>
    <row r="456" spans="1:31">
      <c r="A456" t="s">
        <v>6369</v>
      </c>
      <c r="B456" t="s">
        <v>7184</v>
      </c>
      <c r="C456" t="s">
        <v>7185</v>
      </c>
      <c r="D456" t="s">
        <v>7203</v>
      </c>
      <c r="E456" t="s">
        <v>7770</v>
      </c>
      <c r="F456">
        <v>1</v>
      </c>
      <c r="G456" t="s">
        <v>7771</v>
      </c>
      <c r="H456" t="s">
        <v>7101</v>
      </c>
      <c r="I456" t="s">
        <v>7102</v>
      </c>
      <c r="J456" t="s">
        <v>4989</v>
      </c>
      <c r="K456" t="s">
        <v>5406</v>
      </c>
      <c r="L456" s="4">
        <v>46129</v>
      </c>
      <c r="M456" t="s">
        <v>7773</v>
      </c>
      <c r="N456">
        <v>3.5</v>
      </c>
      <c r="O456">
        <v>3000000001829714</v>
      </c>
      <c r="P456" t="s">
        <v>292</v>
      </c>
      <c r="Q456" t="s">
        <v>7755</v>
      </c>
      <c r="W456" t="str">
        <f>Tabla_Consulta_desde_Proyectos10[[#This Row],[PRYcodigo]]&amp;Tabla_Consulta_desde_Proyectos10[[#This Row],[PRYApath]]</f>
        <v>151-350-NV.OP.SWAT/0002/0016</v>
      </c>
      <c r="X456" t="str">
        <f>Tabla_Consulta_desde_Proyectos10[[#This Row],[PRYAcodigo]]&amp;" - "&amp;Tabla_Consulta_desde_Proyectos10[[#This Row],[PRYAdescripcion]]</f>
        <v>8 - DISEÑO</v>
      </c>
      <c r="Y456" t="str">
        <f>SUBSTITUTE(IFERROR(VLOOKUP(LEFT(Tabla_Consulta_desde_Proyectos10[[#This Row],[Nivel1]],LEN(Tabla_Consulta_desde_Proyectos10[[#This Row],[Nivel1]])-5),Tabla_Consulta_desde_Proyectos10[[#All],[Nivel1]:[Actividad]],2,FALSE),""),"_","-")</f>
        <v>350-NV.OP.SWAT - NUEVAS OPORTUNIDADES DEL EQUIPO SWAT</v>
      </c>
      <c r="Z456" t="str">
        <f>IFERROR(VLOOKUP(Tabla_Consulta_desde_Proyectos10[[#This Row],[PRYRAfecha]],'Fechas Mes'!G:J,4,TRUE),"")</f>
        <v>Semana 48CIP2</v>
      </c>
      <c r="AA456" t="str" cm="1">
        <f t="array" ref="AA456">INDEX('Fechas Mes'!F:F,MATCH(Tabla_Consulta_desde_Proyectos10[[#This Row],[Semana]],'Fechas Mes'!J:J,0),)</f>
        <v>M12CIP2</v>
      </c>
      <c r="AB456">
        <f>YEAR(Tabla_Consulta_desde_Proyectos10[[#This Row],[PRYRAfecha]])</f>
        <v>2026</v>
      </c>
      <c r="AC456" t="str">
        <f>VLOOKUP(Tabla_Consulta_desde_Proyectos10[[#This Row],[PRYRAfecha]],'Fechas Mes'!G:J,4,TRUE)</f>
        <v>Semana 48CIP2</v>
      </c>
      <c r="AD456" t="str">
        <f>IFERROR(VLOOKUP(Tabla_Consulta_desde_Proyectos10[[#This Row],[PRYcodigo]],Catálogo!A:B,2,FALSE),"Otros")</f>
        <v>Otros</v>
      </c>
      <c r="AE456" t="str">
        <f>IF(LEN(Tabla_Consulta_desde_Proyectos10[[#This Row],[Semana]])&lt;13,"CI",RIGHT(Tabla_Consulta_desde_Proyectos10[[#This Row],[Semana]],4))</f>
        <v>CIP2</v>
      </c>
    </row>
    <row r="457" spans="1:31">
      <c r="A457" t="s">
        <v>6369</v>
      </c>
      <c r="B457" t="s">
        <v>7184</v>
      </c>
      <c r="C457" t="s">
        <v>7185</v>
      </c>
      <c r="D457" t="s">
        <v>7203</v>
      </c>
      <c r="E457" t="s">
        <v>7770</v>
      </c>
      <c r="F457">
        <v>1</v>
      </c>
      <c r="G457" t="s">
        <v>7771</v>
      </c>
      <c r="H457" t="s">
        <v>7101</v>
      </c>
      <c r="I457" t="s">
        <v>7102</v>
      </c>
      <c r="J457" t="s">
        <v>4989</v>
      </c>
      <c r="K457" t="s">
        <v>5406</v>
      </c>
      <c r="L457" s="4">
        <v>46140</v>
      </c>
      <c r="M457" t="s">
        <v>7774</v>
      </c>
      <c r="N457">
        <v>5.5</v>
      </c>
      <c r="O457">
        <v>3000000001837147</v>
      </c>
      <c r="P457" t="s">
        <v>292</v>
      </c>
      <c r="Q457" t="s">
        <v>7757</v>
      </c>
      <c r="W457" t="str">
        <f>Tabla_Consulta_desde_Proyectos10[[#This Row],[PRYcodigo]]&amp;Tabla_Consulta_desde_Proyectos10[[#This Row],[PRYApath]]</f>
        <v>151-350-NV.OP.SWAT/0002/0016</v>
      </c>
      <c r="X457" t="str">
        <f>Tabla_Consulta_desde_Proyectos10[[#This Row],[PRYAcodigo]]&amp;" - "&amp;Tabla_Consulta_desde_Proyectos10[[#This Row],[PRYAdescripcion]]</f>
        <v>8 - DISEÑO</v>
      </c>
      <c r="Y457" t="str">
        <f>SUBSTITUTE(IFERROR(VLOOKUP(LEFT(Tabla_Consulta_desde_Proyectos10[[#This Row],[Nivel1]],LEN(Tabla_Consulta_desde_Proyectos10[[#This Row],[Nivel1]])-5),Tabla_Consulta_desde_Proyectos10[[#All],[Nivel1]:[Actividad]],2,FALSE),""),"_","-")</f>
        <v>350-NV.OP.SWAT - NUEVAS OPORTUNIDADES DEL EQUIPO SWAT</v>
      </c>
      <c r="Z457" t="str">
        <f>IFERROR(VLOOKUP(Tabla_Consulta_desde_Proyectos10[[#This Row],[PRYRAfecha]],'Fechas Mes'!G:J,4,TRUE),"")</f>
        <v>Semana 48CIP2</v>
      </c>
      <c r="AA457" t="str" cm="1">
        <f t="array" ref="AA457">INDEX('Fechas Mes'!F:F,MATCH(Tabla_Consulta_desde_Proyectos10[[#This Row],[Semana]],'Fechas Mes'!J:J,0),)</f>
        <v>M12CIP2</v>
      </c>
      <c r="AB457">
        <f>YEAR(Tabla_Consulta_desde_Proyectos10[[#This Row],[PRYRAfecha]])</f>
        <v>2026</v>
      </c>
      <c r="AC457" t="str">
        <f>VLOOKUP(Tabla_Consulta_desde_Proyectos10[[#This Row],[PRYRAfecha]],'Fechas Mes'!G:J,4,TRUE)</f>
        <v>Semana 48CIP2</v>
      </c>
      <c r="AD457" t="str">
        <f>IFERROR(VLOOKUP(Tabla_Consulta_desde_Proyectos10[[#This Row],[PRYcodigo]],Catálogo!A:B,2,FALSE),"Otros")</f>
        <v>Otros</v>
      </c>
      <c r="AE457" t="str">
        <f>IF(LEN(Tabla_Consulta_desde_Proyectos10[[#This Row],[Semana]])&lt;13,"CI",RIGHT(Tabla_Consulta_desde_Proyectos10[[#This Row],[Semana]],4))</f>
        <v>CIP2</v>
      </c>
    </row>
    <row r="458" spans="1:31">
      <c r="A458" t="s">
        <v>6369</v>
      </c>
      <c r="B458" t="s">
        <v>7184</v>
      </c>
      <c r="C458" t="s">
        <v>7185</v>
      </c>
      <c r="D458" t="s">
        <v>7203</v>
      </c>
      <c r="E458" t="s">
        <v>7770</v>
      </c>
      <c r="F458">
        <v>1</v>
      </c>
      <c r="G458" t="s">
        <v>7771</v>
      </c>
      <c r="H458" t="s">
        <v>7101</v>
      </c>
      <c r="I458" t="s">
        <v>7102</v>
      </c>
      <c r="J458" t="s">
        <v>4989</v>
      </c>
      <c r="K458" t="s">
        <v>5406</v>
      </c>
      <c r="L458" s="4">
        <v>46141</v>
      </c>
      <c r="M458" t="s">
        <v>7775</v>
      </c>
      <c r="N458">
        <v>7</v>
      </c>
      <c r="O458">
        <v>3000000001837150</v>
      </c>
      <c r="P458" t="s">
        <v>292</v>
      </c>
      <c r="Q458" t="s">
        <v>7757</v>
      </c>
      <c r="W458" t="str">
        <f>Tabla_Consulta_desde_Proyectos10[[#This Row],[PRYcodigo]]&amp;Tabla_Consulta_desde_Proyectos10[[#This Row],[PRYApath]]</f>
        <v>151-350-NV.OP.SWAT/0002/0016</v>
      </c>
      <c r="X458" t="str">
        <f>Tabla_Consulta_desde_Proyectos10[[#This Row],[PRYAcodigo]]&amp;" - "&amp;Tabla_Consulta_desde_Proyectos10[[#This Row],[PRYAdescripcion]]</f>
        <v>8 - DISEÑO</v>
      </c>
      <c r="Y458" t="str">
        <f>SUBSTITUTE(IFERROR(VLOOKUP(LEFT(Tabla_Consulta_desde_Proyectos10[[#This Row],[Nivel1]],LEN(Tabla_Consulta_desde_Proyectos10[[#This Row],[Nivel1]])-5),Tabla_Consulta_desde_Proyectos10[[#All],[Nivel1]:[Actividad]],2,FALSE),""),"_","-")</f>
        <v>350-NV.OP.SWAT - NUEVAS OPORTUNIDADES DEL EQUIPO SWAT</v>
      </c>
      <c r="Z458" t="str">
        <f>IFERROR(VLOOKUP(Tabla_Consulta_desde_Proyectos10[[#This Row],[PRYRAfecha]],'Fechas Mes'!G:J,4,TRUE),"")</f>
        <v>Semana 48CIP2</v>
      </c>
      <c r="AA458" t="str" cm="1">
        <f t="array" ref="AA458">INDEX('Fechas Mes'!F:F,MATCH(Tabla_Consulta_desde_Proyectos10[[#This Row],[Semana]],'Fechas Mes'!J:J,0),)</f>
        <v>M12CIP2</v>
      </c>
      <c r="AB458">
        <f>YEAR(Tabla_Consulta_desde_Proyectos10[[#This Row],[PRYRAfecha]])</f>
        <v>2026</v>
      </c>
      <c r="AC458" t="str">
        <f>VLOOKUP(Tabla_Consulta_desde_Proyectos10[[#This Row],[PRYRAfecha]],'Fechas Mes'!G:J,4,TRUE)</f>
        <v>Semana 48CIP2</v>
      </c>
      <c r="AD458" t="str">
        <f>IFERROR(VLOOKUP(Tabla_Consulta_desde_Proyectos10[[#This Row],[PRYcodigo]],Catálogo!A:B,2,FALSE),"Otros")</f>
        <v>Otros</v>
      </c>
      <c r="AE458" t="str">
        <f>IF(LEN(Tabla_Consulta_desde_Proyectos10[[#This Row],[Semana]])&lt;13,"CI",RIGHT(Tabla_Consulta_desde_Proyectos10[[#This Row],[Semana]],4))</f>
        <v>CIP2</v>
      </c>
    </row>
    <row r="459" spans="1:31">
      <c r="A459" t="s">
        <v>6369</v>
      </c>
      <c r="B459" t="s">
        <v>7184</v>
      </c>
      <c r="C459" t="s">
        <v>7185</v>
      </c>
      <c r="D459" t="s">
        <v>7203</v>
      </c>
      <c r="E459" t="s">
        <v>7770</v>
      </c>
      <c r="F459">
        <v>1</v>
      </c>
      <c r="G459" t="s">
        <v>7771</v>
      </c>
      <c r="H459" t="s">
        <v>7101</v>
      </c>
      <c r="I459" t="s">
        <v>7102</v>
      </c>
      <c r="J459" t="s">
        <v>4989</v>
      </c>
      <c r="K459" t="s">
        <v>5406</v>
      </c>
      <c r="L459" s="4">
        <v>46142</v>
      </c>
      <c r="M459" t="s">
        <v>7775</v>
      </c>
      <c r="N459">
        <v>4</v>
      </c>
      <c r="O459">
        <v>3000000001837163</v>
      </c>
      <c r="P459" t="s">
        <v>292</v>
      </c>
      <c r="Q459" t="s">
        <v>7757</v>
      </c>
      <c r="W459" t="str">
        <f>Tabla_Consulta_desde_Proyectos10[[#This Row],[PRYcodigo]]&amp;Tabla_Consulta_desde_Proyectos10[[#This Row],[PRYApath]]</f>
        <v>151-350-NV.OP.SWAT/0002/0016</v>
      </c>
      <c r="X459" t="str">
        <f>Tabla_Consulta_desde_Proyectos10[[#This Row],[PRYAcodigo]]&amp;" - "&amp;Tabla_Consulta_desde_Proyectos10[[#This Row],[PRYAdescripcion]]</f>
        <v>8 - DISEÑO</v>
      </c>
      <c r="Y459" t="str">
        <f>SUBSTITUTE(IFERROR(VLOOKUP(LEFT(Tabla_Consulta_desde_Proyectos10[[#This Row],[Nivel1]],LEN(Tabla_Consulta_desde_Proyectos10[[#This Row],[Nivel1]])-5),Tabla_Consulta_desde_Proyectos10[[#All],[Nivel1]:[Actividad]],2,FALSE),""),"_","-")</f>
        <v>350-NV.OP.SWAT - NUEVAS OPORTUNIDADES DEL EQUIPO SWAT</v>
      </c>
      <c r="Z459" t="str">
        <f>IFERROR(VLOOKUP(Tabla_Consulta_desde_Proyectos10[[#This Row],[PRYRAfecha]],'Fechas Mes'!G:J,4,TRUE),"")</f>
        <v>Semana 48CIP2</v>
      </c>
      <c r="AA459" t="str" cm="1">
        <f t="array" ref="AA459">INDEX('Fechas Mes'!F:F,MATCH(Tabla_Consulta_desde_Proyectos10[[#This Row],[Semana]],'Fechas Mes'!J:J,0),)</f>
        <v>M12CIP2</v>
      </c>
      <c r="AB459">
        <f>YEAR(Tabla_Consulta_desde_Proyectos10[[#This Row],[PRYRAfecha]])</f>
        <v>2026</v>
      </c>
      <c r="AC459" t="str">
        <f>VLOOKUP(Tabla_Consulta_desde_Proyectos10[[#This Row],[PRYRAfecha]],'Fechas Mes'!G:J,4,TRUE)</f>
        <v>Semana 48CIP2</v>
      </c>
      <c r="AD459" t="str">
        <f>IFERROR(VLOOKUP(Tabla_Consulta_desde_Proyectos10[[#This Row],[PRYcodigo]],Catálogo!A:B,2,FALSE),"Otros")</f>
        <v>Otros</v>
      </c>
      <c r="AE459" t="str">
        <f>IF(LEN(Tabla_Consulta_desde_Proyectos10[[#This Row],[Semana]])&lt;13,"CI",RIGHT(Tabla_Consulta_desde_Proyectos10[[#This Row],[Semana]],4))</f>
        <v>CIP2</v>
      </c>
    </row>
    <row r="460" spans="1:31">
      <c r="A460" t="s">
        <v>6369</v>
      </c>
      <c r="B460" t="s">
        <v>7184</v>
      </c>
      <c r="C460" t="s">
        <v>7185</v>
      </c>
      <c r="D460" t="s">
        <v>7203</v>
      </c>
      <c r="E460" t="s">
        <v>7770</v>
      </c>
      <c r="F460">
        <v>1</v>
      </c>
      <c r="G460" t="s">
        <v>7771</v>
      </c>
      <c r="H460" t="s">
        <v>7113</v>
      </c>
      <c r="I460" t="s">
        <v>7114</v>
      </c>
      <c r="J460" t="s">
        <v>7015</v>
      </c>
      <c r="K460" t="s">
        <v>7016</v>
      </c>
      <c r="L460" s="4">
        <v>46127</v>
      </c>
      <c r="M460" t="s">
        <v>7776</v>
      </c>
      <c r="N460">
        <v>5</v>
      </c>
      <c r="O460">
        <v>3000000001828194</v>
      </c>
      <c r="P460" t="s">
        <v>292</v>
      </c>
      <c r="Q460" t="s">
        <v>7752</v>
      </c>
      <c r="W460" t="str">
        <f>Tabla_Consulta_desde_Proyectos10[[#This Row],[PRYcodigo]]&amp;Tabla_Consulta_desde_Proyectos10[[#This Row],[PRYApath]]</f>
        <v>151-350-NV.OP.SWAT/0002/0016</v>
      </c>
      <c r="X460" t="str">
        <f>Tabla_Consulta_desde_Proyectos10[[#This Row],[PRYAcodigo]]&amp;" - "&amp;Tabla_Consulta_desde_Proyectos10[[#This Row],[PRYAdescripcion]]</f>
        <v>8 - DISEÑO</v>
      </c>
      <c r="Y460" t="str">
        <f>SUBSTITUTE(IFERROR(VLOOKUP(LEFT(Tabla_Consulta_desde_Proyectos10[[#This Row],[Nivel1]],LEN(Tabla_Consulta_desde_Proyectos10[[#This Row],[Nivel1]])-5),Tabla_Consulta_desde_Proyectos10[[#All],[Nivel1]:[Actividad]],2,FALSE),""),"_","-")</f>
        <v>350-NV.OP.SWAT - NUEVAS OPORTUNIDADES DEL EQUIPO SWAT</v>
      </c>
      <c r="Z460" t="str">
        <f>IFERROR(VLOOKUP(Tabla_Consulta_desde_Proyectos10[[#This Row],[PRYRAfecha]],'Fechas Mes'!G:J,4,TRUE),"")</f>
        <v>Semana 48CIP2</v>
      </c>
      <c r="AA460" t="str" cm="1">
        <f t="array" ref="AA460">INDEX('Fechas Mes'!F:F,MATCH(Tabla_Consulta_desde_Proyectos10[[#This Row],[Semana]],'Fechas Mes'!J:J,0),)</f>
        <v>M12CIP2</v>
      </c>
      <c r="AB460">
        <f>YEAR(Tabla_Consulta_desde_Proyectos10[[#This Row],[PRYRAfecha]])</f>
        <v>2026</v>
      </c>
      <c r="AC460" t="str">
        <f>VLOOKUP(Tabla_Consulta_desde_Proyectos10[[#This Row],[PRYRAfecha]],'Fechas Mes'!G:J,4,TRUE)</f>
        <v>Semana 48CIP2</v>
      </c>
      <c r="AD460" t="str">
        <f>IFERROR(VLOOKUP(Tabla_Consulta_desde_Proyectos10[[#This Row],[PRYcodigo]],Catálogo!A:B,2,FALSE),"Otros")</f>
        <v>Otros</v>
      </c>
      <c r="AE460" t="str">
        <f>IF(LEN(Tabla_Consulta_desde_Proyectos10[[#This Row],[Semana]])&lt;13,"CI",RIGHT(Tabla_Consulta_desde_Proyectos10[[#This Row],[Semana]],4))</f>
        <v>CIP2</v>
      </c>
    </row>
    <row r="461" spans="1:31">
      <c r="A461" t="s">
        <v>6369</v>
      </c>
      <c r="B461" t="s">
        <v>7184</v>
      </c>
      <c r="C461" t="s">
        <v>7185</v>
      </c>
      <c r="D461" t="s">
        <v>7203</v>
      </c>
      <c r="E461" t="s">
        <v>7770</v>
      </c>
      <c r="F461">
        <v>1</v>
      </c>
      <c r="G461" t="s">
        <v>7771</v>
      </c>
      <c r="H461" t="s">
        <v>7113</v>
      </c>
      <c r="I461" t="s">
        <v>7114</v>
      </c>
      <c r="J461" t="s">
        <v>7015</v>
      </c>
      <c r="K461" t="s">
        <v>7016</v>
      </c>
      <c r="L461" s="4">
        <v>46129</v>
      </c>
      <c r="M461" t="s">
        <v>7777</v>
      </c>
      <c r="N461">
        <v>2</v>
      </c>
      <c r="O461">
        <v>3000000001829088</v>
      </c>
      <c r="P461" t="s">
        <v>292</v>
      </c>
      <c r="Q461" t="s">
        <v>7752</v>
      </c>
      <c r="W461" t="str">
        <f>Tabla_Consulta_desde_Proyectos10[[#This Row],[PRYcodigo]]&amp;Tabla_Consulta_desde_Proyectos10[[#This Row],[PRYApath]]</f>
        <v>151-350-NV.OP.SWAT/0002/0016</v>
      </c>
      <c r="X461" t="str">
        <f>Tabla_Consulta_desde_Proyectos10[[#This Row],[PRYAcodigo]]&amp;" - "&amp;Tabla_Consulta_desde_Proyectos10[[#This Row],[PRYAdescripcion]]</f>
        <v>8 - DISEÑO</v>
      </c>
      <c r="Y461" t="str">
        <f>SUBSTITUTE(IFERROR(VLOOKUP(LEFT(Tabla_Consulta_desde_Proyectos10[[#This Row],[Nivel1]],LEN(Tabla_Consulta_desde_Proyectos10[[#This Row],[Nivel1]])-5),Tabla_Consulta_desde_Proyectos10[[#All],[Nivel1]:[Actividad]],2,FALSE),""),"_","-")</f>
        <v>350-NV.OP.SWAT - NUEVAS OPORTUNIDADES DEL EQUIPO SWAT</v>
      </c>
      <c r="Z461" t="str">
        <f>IFERROR(VLOOKUP(Tabla_Consulta_desde_Proyectos10[[#This Row],[PRYRAfecha]],'Fechas Mes'!G:J,4,TRUE),"")</f>
        <v>Semana 48CIP2</v>
      </c>
      <c r="AA461" t="str" cm="1">
        <f t="array" ref="AA461">INDEX('Fechas Mes'!F:F,MATCH(Tabla_Consulta_desde_Proyectos10[[#This Row],[Semana]],'Fechas Mes'!J:J,0),)</f>
        <v>M12CIP2</v>
      </c>
      <c r="AB461">
        <f>YEAR(Tabla_Consulta_desde_Proyectos10[[#This Row],[PRYRAfecha]])</f>
        <v>2026</v>
      </c>
      <c r="AC461" t="str">
        <f>VLOOKUP(Tabla_Consulta_desde_Proyectos10[[#This Row],[PRYRAfecha]],'Fechas Mes'!G:J,4,TRUE)</f>
        <v>Semana 48CIP2</v>
      </c>
      <c r="AD461" t="str">
        <f>IFERROR(VLOOKUP(Tabla_Consulta_desde_Proyectos10[[#This Row],[PRYcodigo]],Catálogo!A:B,2,FALSE),"Otros")</f>
        <v>Otros</v>
      </c>
      <c r="AE461" t="str">
        <f>IF(LEN(Tabla_Consulta_desde_Proyectos10[[#This Row],[Semana]])&lt;13,"CI",RIGHT(Tabla_Consulta_desde_Proyectos10[[#This Row],[Semana]],4))</f>
        <v>CIP2</v>
      </c>
    </row>
    <row r="462" spans="1:31">
      <c r="A462" t="s">
        <v>6369</v>
      </c>
      <c r="B462" t="s">
        <v>7184</v>
      </c>
      <c r="C462" t="s">
        <v>7185</v>
      </c>
      <c r="D462" t="s">
        <v>7203</v>
      </c>
      <c r="E462" t="s">
        <v>7770</v>
      </c>
      <c r="F462">
        <v>1</v>
      </c>
      <c r="G462" t="s">
        <v>7771</v>
      </c>
      <c r="H462" t="s">
        <v>7113</v>
      </c>
      <c r="I462" t="s">
        <v>7114</v>
      </c>
      <c r="J462" t="s">
        <v>7015</v>
      </c>
      <c r="K462" t="s">
        <v>7016</v>
      </c>
      <c r="L462" s="4">
        <v>46129</v>
      </c>
      <c r="M462" t="s">
        <v>7778</v>
      </c>
      <c r="N462">
        <v>2</v>
      </c>
      <c r="O462">
        <v>3000000001829100</v>
      </c>
      <c r="P462" t="s">
        <v>292</v>
      </c>
      <c r="Q462" t="s">
        <v>7752</v>
      </c>
      <c r="W462" t="str">
        <f>Tabla_Consulta_desde_Proyectos10[[#This Row],[PRYcodigo]]&amp;Tabla_Consulta_desde_Proyectos10[[#This Row],[PRYApath]]</f>
        <v>151-350-NV.OP.SWAT/0002/0016</v>
      </c>
      <c r="X462" t="str">
        <f>Tabla_Consulta_desde_Proyectos10[[#This Row],[PRYAcodigo]]&amp;" - "&amp;Tabla_Consulta_desde_Proyectos10[[#This Row],[PRYAdescripcion]]</f>
        <v>8 - DISEÑO</v>
      </c>
      <c r="Y462" t="str">
        <f>SUBSTITUTE(IFERROR(VLOOKUP(LEFT(Tabla_Consulta_desde_Proyectos10[[#This Row],[Nivel1]],LEN(Tabla_Consulta_desde_Proyectos10[[#This Row],[Nivel1]])-5),Tabla_Consulta_desde_Proyectos10[[#All],[Nivel1]:[Actividad]],2,FALSE),""),"_","-")</f>
        <v>350-NV.OP.SWAT - NUEVAS OPORTUNIDADES DEL EQUIPO SWAT</v>
      </c>
      <c r="Z462" t="str">
        <f>IFERROR(VLOOKUP(Tabla_Consulta_desde_Proyectos10[[#This Row],[PRYRAfecha]],'Fechas Mes'!G:J,4,TRUE),"")</f>
        <v>Semana 48CIP2</v>
      </c>
      <c r="AA462" t="str" cm="1">
        <f t="array" ref="AA462">INDEX('Fechas Mes'!F:F,MATCH(Tabla_Consulta_desde_Proyectos10[[#This Row],[Semana]],'Fechas Mes'!J:J,0),)</f>
        <v>M12CIP2</v>
      </c>
      <c r="AB462">
        <f>YEAR(Tabla_Consulta_desde_Proyectos10[[#This Row],[PRYRAfecha]])</f>
        <v>2026</v>
      </c>
      <c r="AC462" t="str">
        <f>VLOOKUP(Tabla_Consulta_desde_Proyectos10[[#This Row],[PRYRAfecha]],'Fechas Mes'!G:J,4,TRUE)</f>
        <v>Semana 48CIP2</v>
      </c>
      <c r="AD462" t="str">
        <f>IFERROR(VLOOKUP(Tabla_Consulta_desde_Proyectos10[[#This Row],[PRYcodigo]],Catálogo!A:B,2,FALSE),"Otros")</f>
        <v>Otros</v>
      </c>
      <c r="AE462" t="str">
        <f>IF(LEN(Tabla_Consulta_desde_Proyectos10[[#This Row],[Semana]])&lt;13,"CI",RIGHT(Tabla_Consulta_desde_Proyectos10[[#This Row],[Semana]],4))</f>
        <v>CIP2</v>
      </c>
    </row>
    <row r="463" spans="1:31">
      <c r="A463" t="s">
        <v>6369</v>
      </c>
      <c r="B463" t="s">
        <v>7184</v>
      </c>
      <c r="C463" t="s">
        <v>7185</v>
      </c>
      <c r="D463" t="s">
        <v>7203</v>
      </c>
      <c r="E463" t="s">
        <v>7770</v>
      </c>
      <c r="F463">
        <v>1</v>
      </c>
      <c r="G463" t="s">
        <v>7771</v>
      </c>
      <c r="H463" t="s">
        <v>7113</v>
      </c>
      <c r="I463" t="s">
        <v>7114</v>
      </c>
      <c r="J463" t="s">
        <v>7015</v>
      </c>
      <c r="K463" t="s">
        <v>7016</v>
      </c>
      <c r="L463" s="4">
        <v>46132</v>
      </c>
      <c r="M463" t="s">
        <v>7779</v>
      </c>
      <c r="N463">
        <v>3</v>
      </c>
      <c r="O463">
        <v>3000000001830821</v>
      </c>
      <c r="P463" t="s">
        <v>292</v>
      </c>
      <c r="Q463" t="s">
        <v>7752</v>
      </c>
      <c r="W463" t="str">
        <f>Tabla_Consulta_desde_Proyectos10[[#This Row],[PRYcodigo]]&amp;Tabla_Consulta_desde_Proyectos10[[#This Row],[PRYApath]]</f>
        <v>151-350-NV.OP.SWAT/0002/0016</v>
      </c>
      <c r="X463" t="str">
        <f>Tabla_Consulta_desde_Proyectos10[[#This Row],[PRYAcodigo]]&amp;" - "&amp;Tabla_Consulta_desde_Proyectos10[[#This Row],[PRYAdescripcion]]</f>
        <v>8 - DISEÑO</v>
      </c>
      <c r="Y463" t="str">
        <f>SUBSTITUTE(IFERROR(VLOOKUP(LEFT(Tabla_Consulta_desde_Proyectos10[[#This Row],[Nivel1]],LEN(Tabla_Consulta_desde_Proyectos10[[#This Row],[Nivel1]])-5),Tabla_Consulta_desde_Proyectos10[[#All],[Nivel1]:[Actividad]],2,FALSE),""),"_","-")</f>
        <v>350-NV.OP.SWAT - NUEVAS OPORTUNIDADES DEL EQUIPO SWAT</v>
      </c>
      <c r="Z463" t="str">
        <f>IFERROR(VLOOKUP(Tabla_Consulta_desde_Proyectos10[[#This Row],[PRYRAfecha]],'Fechas Mes'!G:J,4,TRUE),"")</f>
        <v>Semana 48CIP2</v>
      </c>
      <c r="AA463" t="str" cm="1">
        <f t="array" ref="AA463">INDEX('Fechas Mes'!F:F,MATCH(Tabla_Consulta_desde_Proyectos10[[#This Row],[Semana]],'Fechas Mes'!J:J,0),)</f>
        <v>M12CIP2</v>
      </c>
      <c r="AB463">
        <f>YEAR(Tabla_Consulta_desde_Proyectos10[[#This Row],[PRYRAfecha]])</f>
        <v>2026</v>
      </c>
      <c r="AC463" t="str">
        <f>VLOOKUP(Tabla_Consulta_desde_Proyectos10[[#This Row],[PRYRAfecha]],'Fechas Mes'!G:J,4,TRUE)</f>
        <v>Semana 48CIP2</v>
      </c>
      <c r="AD463" t="str">
        <f>IFERROR(VLOOKUP(Tabla_Consulta_desde_Proyectos10[[#This Row],[PRYcodigo]],Catálogo!A:B,2,FALSE),"Otros")</f>
        <v>Otros</v>
      </c>
      <c r="AE463" t="str">
        <f>IF(LEN(Tabla_Consulta_desde_Proyectos10[[#This Row],[Semana]])&lt;13,"CI",RIGHT(Tabla_Consulta_desde_Proyectos10[[#This Row],[Semana]],4))</f>
        <v>CIP2</v>
      </c>
    </row>
    <row r="464" spans="1:31">
      <c r="A464" t="s">
        <v>6369</v>
      </c>
      <c r="B464" t="s">
        <v>7184</v>
      </c>
      <c r="C464" t="s">
        <v>7185</v>
      </c>
      <c r="D464" t="s">
        <v>7203</v>
      </c>
      <c r="E464" t="s">
        <v>7770</v>
      </c>
      <c r="F464">
        <v>1</v>
      </c>
      <c r="G464" t="s">
        <v>7771</v>
      </c>
      <c r="H464" t="s">
        <v>7113</v>
      </c>
      <c r="I464" t="s">
        <v>7114</v>
      </c>
      <c r="J464" t="s">
        <v>7015</v>
      </c>
      <c r="K464" t="s">
        <v>7016</v>
      </c>
      <c r="L464" s="4">
        <v>46133</v>
      </c>
      <c r="M464" t="s">
        <v>7780</v>
      </c>
      <c r="N464">
        <v>2</v>
      </c>
      <c r="O464">
        <v>3000000001831072</v>
      </c>
      <c r="P464" t="s">
        <v>292</v>
      </c>
      <c r="Q464" t="s">
        <v>7752</v>
      </c>
      <c r="W464" t="str">
        <f>Tabla_Consulta_desde_Proyectos10[[#This Row],[PRYcodigo]]&amp;Tabla_Consulta_desde_Proyectos10[[#This Row],[PRYApath]]</f>
        <v>151-350-NV.OP.SWAT/0002/0016</v>
      </c>
      <c r="X464" t="str">
        <f>Tabla_Consulta_desde_Proyectos10[[#This Row],[PRYAcodigo]]&amp;" - "&amp;Tabla_Consulta_desde_Proyectos10[[#This Row],[PRYAdescripcion]]</f>
        <v>8 - DISEÑO</v>
      </c>
      <c r="Y464" t="str">
        <f>SUBSTITUTE(IFERROR(VLOOKUP(LEFT(Tabla_Consulta_desde_Proyectos10[[#This Row],[Nivel1]],LEN(Tabla_Consulta_desde_Proyectos10[[#This Row],[Nivel1]])-5),Tabla_Consulta_desde_Proyectos10[[#All],[Nivel1]:[Actividad]],2,FALSE),""),"_","-")</f>
        <v>350-NV.OP.SWAT - NUEVAS OPORTUNIDADES DEL EQUIPO SWAT</v>
      </c>
      <c r="Z464" t="str">
        <f>IFERROR(VLOOKUP(Tabla_Consulta_desde_Proyectos10[[#This Row],[PRYRAfecha]],'Fechas Mes'!G:J,4,TRUE),"")</f>
        <v>Semana 48CIP2</v>
      </c>
      <c r="AA464" t="str" cm="1">
        <f t="array" ref="AA464">INDEX('Fechas Mes'!F:F,MATCH(Tabla_Consulta_desde_Proyectos10[[#This Row],[Semana]],'Fechas Mes'!J:J,0),)</f>
        <v>M12CIP2</v>
      </c>
      <c r="AB464">
        <f>YEAR(Tabla_Consulta_desde_Proyectos10[[#This Row],[PRYRAfecha]])</f>
        <v>2026</v>
      </c>
      <c r="AC464" t="str">
        <f>VLOOKUP(Tabla_Consulta_desde_Proyectos10[[#This Row],[PRYRAfecha]],'Fechas Mes'!G:J,4,TRUE)</f>
        <v>Semana 48CIP2</v>
      </c>
      <c r="AD464" t="str">
        <f>IFERROR(VLOOKUP(Tabla_Consulta_desde_Proyectos10[[#This Row],[PRYcodigo]],Catálogo!A:B,2,FALSE),"Otros")</f>
        <v>Otros</v>
      </c>
      <c r="AE464" t="str">
        <f>IF(LEN(Tabla_Consulta_desde_Proyectos10[[#This Row],[Semana]])&lt;13,"CI",RIGHT(Tabla_Consulta_desde_Proyectos10[[#This Row],[Semana]],4))</f>
        <v>CIP2</v>
      </c>
    </row>
    <row r="465" spans="1:31">
      <c r="A465" t="s">
        <v>6369</v>
      </c>
      <c r="B465" t="s">
        <v>7184</v>
      </c>
      <c r="C465" t="s">
        <v>7185</v>
      </c>
      <c r="D465" t="s">
        <v>7203</v>
      </c>
      <c r="E465" t="s">
        <v>7770</v>
      </c>
      <c r="F465">
        <v>1</v>
      </c>
      <c r="G465" t="s">
        <v>7771</v>
      </c>
      <c r="H465" t="s">
        <v>7113</v>
      </c>
      <c r="I465" t="s">
        <v>7114</v>
      </c>
      <c r="J465" t="s">
        <v>7015</v>
      </c>
      <c r="K465" t="s">
        <v>7016</v>
      </c>
      <c r="L465" s="4">
        <v>46134</v>
      </c>
      <c r="M465" t="s">
        <v>7781</v>
      </c>
      <c r="N465">
        <v>4</v>
      </c>
      <c r="O465">
        <v>3000000001831354</v>
      </c>
      <c r="P465" t="s">
        <v>292</v>
      </c>
      <c r="Q465" t="s">
        <v>7752</v>
      </c>
      <c r="W465" t="str">
        <f>Tabla_Consulta_desde_Proyectos10[[#This Row],[PRYcodigo]]&amp;Tabla_Consulta_desde_Proyectos10[[#This Row],[PRYApath]]</f>
        <v>151-350-NV.OP.SWAT/0002/0016</v>
      </c>
      <c r="X465" t="str">
        <f>Tabla_Consulta_desde_Proyectos10[[#This Row],[PRYAcodigo]]&amp;" - "&amp;Tabla_Consulta_desde_Proyectos10[[#This Row],[PRYAdescripcion]]</f>
        <v>8 - DISEÑO</v>
      </c>
      <c r="Y465" t="str">
        <f>SUBSTITUTE(IFERROR(VLOOKUP(LEFT(Tabla_Consulta_desde_Proyectos10[[#This Row],[Nivel1]],LEN(Tabla_Consulta_desde_Proyectos10[[#This Row],[Nivel1]])-5),Tabla_Consulta_desde_Proyectos10[[#All],[Nivel1]:[Actividad]],2,FALSE),""),"_","-")</f>
        <v>350-NV.OP.SWAT - NUEVAS OPORTUNIDADES DEL EQUIPO SWAT</v>
      </c>
      <c r="Z465" t="str">
        <f>IFERROR(VLOOKUP(Tabla_Consulta_desde_Proyectos10[[#This Row],[PRYRAfecha]],'Fechas Mes'!G:J,4,TRUE),"")</f>
        <v>Semana 48CIP2</v>
      </c>
      <c r="AA465" t="str" cm="1">
        <f t="array" ref="AA465">INDEX('Fechas Mes'!F:F,MATCH(Tabla_Consulta_desde_Proyectos10[[#This Row],[Semana]],'Fechas Mes'!J:J,0),)</f>
        <v>M12CIP2</v>
      </c>
      <c r="AB465">
        <f>YEAR(Tabla_Consulta_desde_Proyectos10[[#This Row],[PRYRAfecha]])</f>
        <v>2026</v>
      </c>
      <c r="AC465" t="str">
        <f>VLOOKUP(Tabla_Consulta_desde_Proyectos10[[#This Row],[PRYRAfecha]],'Fechas Mes'!G:J,4,TRUE)</f>
        <v>Semana 48CIP2</v>
      </c>
      <c r="AD465" t="str">
        <f>IFERROR(VLOOKUP(Tabla_Consulta_desde_Proyectos10[[#This Row],[PRYcodigo]],Catálogo!A:B,2,FALSE),"Otros")</f>
        <v>Otros</v>
      </c>
      <c r="AE465" t="str">
        <f>IF(LEN(Tabla_Consulta_desde_Proyectos10[[#This Row],[Semana]])&lt;13,"CI",RIGHT(Tabla_Consulta_desde_Proyectos10[[#This Row],[Semana]],4))</f>
        <v>CIP2</v>
      </c>
    </row>
    <row r="466" spans="1:31">
      <c r="A466" t="s">
        <v>6369</v>
      </c>
      <c r="B466" t="s">
        <v>7184</v>
      </c>
      <c r="C466" t="s">
        <v>7185</v>
      </c>
      <c r="D466" t="s">
        <v>7782</v>
      </c>
      <c r="E466" t="s">
        <v>7783</v>
      </c>
      <c r="F466">
        <v>1</v>
      </c>
      <c r="G466" t="s">
        <v>7784</v>
      </c>
      <c r="H466" t="s">
        <v>7103</v>
      </c>
      <c r="I466" t="s">
        <v>7104</v>
      </c>
      <c r="J466" t="s">
        <v>1905</v>
      </c>
      <c r="K466" t="s">
        <v>1906</v>
      </c>
      <c r="L466" s="4">
        <v>46135</v>
      </c>
      <c r="M466" t="s">
        <v>7785</v>
      </c>
      <c r="N466">
        <v>8</v>
      </c>
      <c r="O466">
        <v>3000000001833324</v>
      </c>
      <c r="P466" t="s">
        <v>292</v>
      </c>
      <c r="Q466" t="s">
        <v>7756</v>
      </c>
      <c r="W466" t="str">
        <f>Tabla_Consulta_desde_Proyectos10[[#This Row],[PRYcodigo]]&amp;Tabla_Consulta_desde_Proyectos10[[#This Row],[PRYApath]]</f>
        <v>151-350-NV.OP.SWAT/0002/0018</v>
      </c>
      <c r="X466" t="str">
        <f>Tabla_Consulta_desde_Proyectos10[[#This Row],[PRYAcodigo]]&amp;" - "&amp;Tabla_Consulta_desde_Proyectos10[[#This Row],[PRYAdescripcion]]</f>
        <v>9 - DOCUMENTACIÓN</v>
      </c>
      <c r="Y466" t="str">
        <f>SUBSTITUTE(IFERROR(VLOOKUP(LEFT(Tabla_Consulta_desde_Proyectos10[[#This Row],[Nivel1]],LEN(Tabla_Consulta_desde_Proyectos10[[#This Row],[Nivel1]])-5),Tabla_Consulta_desde_Proyectos10[[#All],[Nivel1]:[Actividad]],2,FALSE),""),"_","-")</f>
        <v>350-NV.OP.SWAT - NUEVAS OPORTUNIDADES DEL EQUIPO SWAT</v>
      </c>
      <c r="Z466" t="str">
        <f>IFERROR(VLOOKUP(Tabla_Consulta_desde_Proyectos10[[#This Row],[PRYRAfecha]],'Fechas Mes'!G:J,4,TRUE),"")</f>
        <v>Semana 48CIP2</v>
      </c>
      <c r="AA466" t="str" cm="1">
        <f t="array" ref="AA466">INDEX('Fechas Mes'!F:F,MATCH(Tabla_Consulta_desde_Proyectos10[[#This Row],[Semana]],'Fechas Mes'!J:J,0),)</f>
        <v>M12CIP2</v>
      </c>
      <c r="AB466">
        <f>YEAR(Tabla_Consulta_desde_Proyectos10[[#This Row],[PRYRAfecha]])</f>
        <v>2026</v>
      </c>
      <c r="AC466" t="str">
        <f>VLOOKUP(Tabla_Consulta_desde_Proyectos10[[#This Row],[PRYRAfecha]],'Fechas Mes'!G:J,4,TRUE)</f>
        <v>Semana 48CIP2</v>
      </c>
      <c r="AD466" t="str">
        <f>IFERROR(VLOOKUP(Tabla_Consulta_desde_Proyectos10[[#This Row],[PRYcodigo]],Catálogo!A:B,2,FALSE),"Otros")</f>
        <v>Otros</v>
      </c>
      <c r="AE466" t="str">
        <f>IF(LEN(Tabla_Consulta_desde_Proyectos10[[#This Row],[Semana]])&lt;13,"CI",RIGHT(Tabla_Consulta_desde_Proyectos10[[#This Row],[Semana]],4))</f>
        <v>CIP2</v>
      </c>
    </row>
    <row r="467" spans="1:31">
      <c r="A467" t="s">
        <v>6369</v>
      </c>
      <c r="B467" t="s">
        <v>7184</v>
      </c>
      <c r="C467" t="s">
        <v>7185</v>
      </c>
      <c r="D467" t="s">
        <v>7782</v>
      </c>
      <c r="E467" t="s">
        <v>7783</v>
      </c>
      <c r="F467">
        <v>1</v>
      </c>
      <c r="G467" t="s">
        <v>7784</v>
      </c>
      <c r="H467" t="s">
        <v>7103</v>
      </c>
      <c r="I467" t="s">
        <v>7104</v>
      </c>
      <c r="J467" t="s">
        <v>1905</v>
      </c>
      <c r="K467" t="s">
        <v>1906</v>
      </c>
      <c r="L467" s="4">
        <v>46136</v>
      </c>
      <c r="M467" t="s">
        <v>7785</v>
      </c>
      <c r="N467">
        <v>8</v>
      </c>
      <c r="O467">
        <v>3000000001833325</v>
      </c>
      <c r="P467" t="s">
        <v>292</v>
      </c>
      <c r="Q467" t="s">
        <v>7756</v>
      </c>
      <c r="W467" t="str">
        <f>Tabla_Consulta_desde_Proyectos10[[#This Row],[PRYcodigo]]&amp;Tabla_Consulta_desde_Proyectos10[[#This Row],[PRYApath]]</f>
        <v>151-350-NV.OP.SWAT/0002/0018</v>
      </c>
      <c r="X467" t="str">
        <f>Tabla_Consulta_desde_Proyectos10[[#This Row],[PRYAcodigo]]&amp;" - "&amp;Tabla_Consulta_desde_Proyectos10[[#This Row],[PRYAdescripcion]]</f>
        <v>9 - DOCUMENTACIÓN</v>
      </c>
      <c r="Y467" t="str">
        <f>SUBSTITUTE(IFERROR(VLOOKUP(LEFT(Tabla_Consulta_desde_Proyectos10[[#This Row],[Nivel1]],LEN(Tabla_Consulta_desde_Proyectos10[[#This Row],[Nivel1]])-5),Tabla_Consulta_desde_Proyectos10[[#All],[Nivel1]:[Actividad]],2,FALSE),""),"_","-")</f>
        <v>350-NV.OP.SWAT - NUEVAS OPORTUNIDADES DEL EQUIPO SWAT</v>
      </c>
      <c r="Z467" t="str">
        <f>IFERROR(VLOOKUP(Tabla_Consulta_desde_Proyectos10[[#This Row],[PRYRAfecha]],'Fechas Mes'!G:J,4,TRUE),"")</f>
        <v>Semana 48CIP2</v>
      </c>
      <c r="AA467" t="str" cm="1">
        <f t="array" ref="AA467">INDEX('Fechas Mes'!F:F,MATCH(Tabla_Consulta_desde_Proyectos10[[#This Row],[Semana]],'Fechas Mes'!J:J,0),)</f>
        <v>M12CIP2</v>
      </c>
      <c r="AB467">
        <f>YEAR(Tabla_Consulta_desde_Proyectos10[[#This Row],[PRYRAfecha]])</f>
        <v>2026</v>
      </c>
      <c r="AC467" t="str">
        <f>VLOOKUP(Tabla_Consulta_desde_Proyectos10[[#This Row],[PRYRAfecha]],'Fechas Mes'!G:J,4,TRUE)</f>
        <v>Semana 48CIP2</v>
      </c>
      <c r="AD467" t="str">
        <f>IFERROR(VLOOKUP(Tabla_Consulta_desde_Proyectos10[[#This Row],[PRYcodigo]],Catálogo!A:B,2,FALSE),"Otros")</f>
        <v>Otros</v>
      </c>
      <c r="AE467" t="str">
        <f>IF(LEN(Tabla_Consulta_desde_Proyectos10[[#This Row],[Semana]])&lt;13,"CI",RIGHT(Tabla_Consulta_desde_Proyectos10[[#This Row],[Semana]],4))</f>
        <v>CIP2</v>
      </c>
    </row>
    <row r="468" spans="1:31">
      <c r="A468" t="s">
        <v>6369</v>
      </c>
      <c r="B468" t="s">
        <v>7184</v>
      </c>
      <c r="C468" t="s">
        <v>7185</v>
      </c>
      <c r="D468" t="s">
        <v>7786</v>
      </c>
      <c r="E468" t="s">
        <v>7787</v>
      </c>
      <c r="F468">
        <v>1</v>
      </c>
      <c r="G468" t="s">
        <v>7788</v>
      </c>
      <c r="H468" t="s">
        <v>7113</v>
      </c>
      <c r="I468" t="s">
        <v>7114</v>
      </c>
      <c r="J468" t="s">
        <v>7015</v>
      </c>
      <c r="K468" t="s">
        <v>7016</v>
      </c>
      <c r="L468" s="4">
        <v>46135</v>
      </c>
      <c r="M468" t="s">
        <v>7789</v>
      </c>
      <c r="N468">
        <v>1</v>
      </c>
      <c r="O468">
        <v>3000000001831911</v>
      </c>
      <c r="P468" t="s">
        <v>292</v>
      </c>
      <c r="Q468" t="s">
        <v>7752</v>
      </c>
      <c r="W468" t="str">
        <f>Tabla_Consulta_desde_Proyectos10[[#This Row],[PRYcodigo]]&amp;Tabla_Consulta_desde_Proyectos10[[#This Row],[PRYApath]]</f>
        <v>151-350-NV.OP.SWAT/0002/0038</v>
      </c>
      <c r="X468" t="str">
        <f>Tabla_Consulta_desde_Proyectos10[[#This Row],[PRYAcodigo]]&amp;" - "&amp;Tabla_Consulta_desde_Proyectos10[[#This Row],[PRYAdescripcion]]</f>
        <v>19 - DEMOSTRACIÓN</v>
      </c>
      <c r="Y468" t="str">
        <f>SUBSTITUTE(IFERROR(VLOOKUP(LEFT(Tabla_Consulta_desde_Proyectos10[[#This Row],[Nivel1]],LEN(Tabla_Consulta_desde_Proyectos10[[#This Row],[Nivel1]])-5),Tabla_Consulta_desde_Proyectos10[[#All],[Nivel1]:[Actividad]],2,FALSE),""),"_","-")</f>
        <v>350-NV.OP.SWAT - NUEVAS OPORTUNIDADES DEL EQUIPO SWAT</v>
      </c>
      <c r="Z468" t="str">
        <f>IFERROR(VLOOKUP(Tabla_Consulta_desde_Proyectos10[[#This Row],[PRYRAfecha]],'Fechas Mes'!G:J,4,TRUE),"")</f>
        <v>Semana 48CIP2</v>
      </c>
      <c r="AA468" t="str" cm="1">
        <f t="array" ref="AA468">INDEX('Fechas Mes'!F:F,MATCH(Tabla_Consulta_desde_Proyectos10[[#This Row],[Semana]],'Fechas Mes'!J:J,0),)</f>
        <v>M12CIP2</v>
      </c>
      <c r="AB468">
        <f>YEAR(Tabla_Consulta_desde_Proyectos10[[#This Row],[PRYRAfecha]])</f>
        <v>2026</v>
      </c>
      <c r="AC468" t="str">
        <f>VLOOKUP(Tabla_Consulta_desde_Proyectos10[[#This Row],[PRYRAfecha]],'Fechas Mes'!G:J,4,TRUE)</f>
        <v>Semana 48CIP2</v>
      </c>
      <c r="AD468" t="str">
        <f>IFERROR(VLOOKUP(Tabla_Consulta_desde_Proyectos10[[#This Row],[PRYcodigo]],Catálogo!A:B,2,FALSE),"Otros")</f>
        <v>Otros</v>
      </c>
      <c r="AE468" t="str">
        <f>IF(LEN(Tabla_Consulta_desde_Proyectos10[[#This Row],[Semana]])&lt;13,"CI",RIGHT(Tabla_Consulta_desde_Proyectos10[[#This Row],[Semana]],4))</f>
        <v>CIP2</v>
      </c>
    </row>
  </sheetData>
  <phoneticPr fontId="2" type="noConversion"/>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899B0-B198-4199-9542-86E41B2E82FA}">
  <sheetPr codeName="Hoja18"/>
  <dimension ref="A1:U1002"/>
  <sheetViews>
    <sheetView topLeftCell="D1" workbookViewId="0">
      <pane ySplit="4" topLeftCell="A5" activePane="bottomLeft" state="frozen"/>
      <selection activeCell="D1" sqref="D1"/>
      <selection pane="bottomLeft" activeCell="P26" sqref="P26"/>
    </sheetView>
  </sheetViews>
  <sheetFormatPr defaultColWidth="11.42578125" defaultRowHeight="15"/>
  <cols>
    <col min="1" max="3" width="11.5703125" hidden="1" customWidth="1"/>
    <col min="4" max="4" width="1.140625" customWidth="1"/>
    <col min="5" max="5" width="13.42578125" bestFit="1" customWidth="1"/>
    <col min="9" max="9" width="1.140625" customWidth="1"/>
    <col min="10" max="13" width="11.5703125" style="43"/>
    <col min="14" max="14" width="11.5703125" style="44"/>
    <col min="15" max="16" width="11.140625" customWidth="1"/>
    <col min="17" max="18" width="11.7109375" customWidth="1"/>
    <col min="19" max="19" width="31.140625" customWidth="1"/>
    <col min="20" max="20" width="13.42578125" customWidth="1"/>
    <col min="21" max="21" width="11.5703125" customWidth="1"/>
  </cols>
  <sheetData>
    <row r="1" spans="1:21">
      <c r="A1" t="str" cm="1">
        <f t="array" ref="A1:A14">_xlfn.UNIQUE(_xlfn._xlws.FILTER(Tabla_Consulta_desde_Proyectos10[Usunombre],Tabla_Consulta_desde_Proyectos10[PRYRAfecha]&gt;0))</f>
        <v>ELIER CORTES BALTODANO</v>
      </c>
      <c r="B1" t="str" cm="1">
        <f t="array" ref="B1">_xlfn._xlws.SORT(_xlfn.UNIQUE(_xlfn._xlws.FILTER(Tabla_Consulta_desde_Proyectos10[Columna4],Tabla_Consulta_desde_Proyectos10[PRYRAfecha]&gt;0)))</f>
        <v>Semana 48CIP2</v>
      </c>
      <c r="C1" t="str" cm="1">
        <f t="array" aca="1" ref="C1:C14" ca="1">MATCH(INDIRECT("A1:A"&amp;COUNTA(A1:A999)),Tabla_Consulta_desde_Proyectos7[Usunombre],0)&amp;"."&amp;MATCH(INDIRECT("B1:B"&amp;COUNTA(A1:A999)),'Fechas Mes'!J:J,0)</f>
        <v>254.543</v>
      </c>
      <c r="E1" s="2" t="s">
        <v>1065</v>
      </c>
      <c r="S1" t="str" cm="1">
        <f t="array" aca="1" ref="S1:U15" ca="1">_xlfn.UNIQUE(_xlfn._xlws.FILTER(A:C,A:A&lt;&gt;""))</f>
        <v>ELIER CORTES BALTODANO</v>
      </c>
      <c r="T1" t="str">
        <f ca="1"/>
        <v>Semana 48CIP2</v>
      </c>
      <c r="U1" t="str">
        <f ca="1"/>
        <v>254.543</v>
      </c>
    </row>
    <row r="2" spans="1:21">
      <c r="A2" t="str">
        <v>NEIL JOSE GARCIA VARGAS</v>
      </c>
      <c r="C2" t="e">
        <f ca="1"/>
        <v>#N/A</v>
      </c>
      <c r="S2" t="str">
        <f ca="1"/>
        <v>NEIL JOSE GARCIA VARGAS</v>
      </c>
      <c r="T2">
        <f ca="1"/>
        <v>0</v>
      </c>
      <c r="U2" t="e">
        <f ca="1"/>
        <v>#N/A</v>
      </c>
    </row>
    <row r="3" spans="1:21">
      <c r="A3" t="str">
        <v>JOSE DANIEL CHINCHILLA CERDAS</v>
      </c>
      <c r="C3" t="e">
        <f ca="1"/>
        <v>#N/A</v>
      </c>
      <c r="E3" s="72" t="s">
        <v>4134</v>
      </c>
      <c r="F3" s="73" t="s">
        <v>5235</v>
      </c>
      <c r="G3" s="73" t="s">
        <v>5234</v>
      </c>
      <c r="H3" s="72" t="s">
        <v>5232</v>
      </c>
      <c r="I3" t="s">
        <v>5490</v>
      </c>
      <c r="J3" s="68" t="s">
        <v>5233</v>
      </c>
      <c r="K3" s="68" t="s">
        <v>5485</v>
      </c>
      <c r="L3" s="68" t="s">
        <v>5489</v>
      </c>
      <c r="M3" s="68" t="s">
        <v>5487</v>
      </c>
      <c r="N3" s="70" t="s">
        <v>3861</v>
      </c>
      <c r="O3" s="68" t="s">
        <v>6419</v>
      </c>
      <c r="P3" s="68" t="s">
        <v>6420</v>
      </c>
      <c r="Q3" s="68" t="s">
        <v>6421</v>
      </c>
      <c r="S3" t="str">
        <f ca="1"/>
        <v>JOSE DANIEL CHINCHILLA CERDAS</v>
      </c>
      <c r="T3">
        <f ca="1"/>
        <v>0</v>
      </c>
      <c r="U3" t="e">
        <f ca="1"/>
        <v>#N/A</v>
      </c>
    </row>
    <row r="4" spans="1:21">
      <c r="A4" t="str">
        <v>MARIELA ARCE GARCIA</v>
      </c>
      <c r="C4" t="e">
        <f ca="1"/>
        <v>#N/A</v>
      </c>
      <c r="E4" s="73"/>
      <c r="F4" s="74"/>
      <c r="G4" s="74"/>
      <c r="H4" s="73"/>
      <c r="I4" t="s">
        <v>5490</v>
      </c>
      <c r="J4" s="69"/>
      <c r="K4" s="69"/>
      <c r="L4" s="69"/>
      <c r="M4" s="69"/>
      <c r="N4" s="71"/>
      <c r="O4" s="69"/>
      <c r="P4" s="69"/>
      <c r="Q4" s="69"/>
      <c r="S4" t="str">
        <f ca="1"/>
        <v>MARIELA ARCE GARCIA</v>
      </c>
      <c r="T4">
        <f ca="1"/>
        <v>0</v>
      </c>
      <c r="U4" t="e">
        <f ca="1"/>
        <v>#N/A</v>
      </c>
    </row>
    <row r="5" spans="1:21">
      <c r="A5" t="str">
        <v>ANTHONY ALVAREZ NAVARRO</v>
      </c>
      <c r="C5" t="e">
        <f ca="1"/>
        <v>#N/A</v>
      </c>
      <c r="E5" s="47" t="s">
        <v>3861</v>
      </c>
      <c r="F5" s="64">
        <f>MIN(_xlfn.ANCHORARRAY(F7))</f>
        <v>46013</v>
      </c>
      <c r="G5" s="64">
        <f>MAX(_xlfn.ANCHORARRAY(G7))</f>
        <v>46018</v>
      </c>
      <c r="H5" s="65">
        <f>SUM(_xlfn.ANCHORARRAY(H7))</f>
        <v>0</v>
      </c>
      <c r="I5" s="50"/>
      <c r="J5" s="65">
        <f t="shared" ref="J5:Q5" si="0">SUM(_xlfn.ANCHORARRAY(J7))</f>
        <v>0</v>
      </c>
      <c r="K5" s="65">
        <f t="shared" si="0"/>
        <v>0</v>
      </c>
      <c r="L5" s="65">
        <f t="shared" si="0"/>
        <v>0</v>
      </c>
      <c r="M5" s="65">
        <f t="shared" si="0"/>
        <v>0</v>
      </c>
      <c r="N5" s="48">
        <f t="shared" si="0"/>
        <v>0</v>
      </c>
      <c r="O5" s="65">
        <f t="shared" si="0"/>
        <v>0</v>
      </c>
      <c r="P5" s="65">
        <f t="shared" si="0"/>
        <v>0</v>
      </c>
      <c r="Q5" s="65">
        <f t="shared" si="0"/>
        <v>0</v>
      </c>
      <c r="R5" s="46"/>
      <c r="S5" t="str">
        <f ca="1"/>
        <v>ANTHONY ALVAREZ NAVARRO</v>
      </c>
      <c r="T5">
        <f ca="1"/>
        <v>0</v>
      </c>
      <c r="U5" t="e">
        <f ca="1"/>
        <v>#N/A</v>
      </c>
    </row>
    <row r="6" spans="1:21">
      <c r="A6" t="str">
        <v>CESAR MATARRITA MATARRITA</v>
      </c>
      <c r="C6" t="e">
        <f ca="1"/>
        <v>#N/A</v>
      </c>
      <c r="E6" s="61"/>
      <c r="F6" s="61"/>
      <c r="G6" s="61"/>
      <c r="H6" s="61"/>
      <c r="J6" s="62"/>
      <c r="K6" s="62"/>
      <c r="L6" s="62"/>
      <c r="M6" s="62"/>
      <c r="N6" s="63"/>
      <c r="O6" s="62"/>
      <c r="P6" s="62"/>
      <c r="Q6" s="46"/>
      <c r="R6" s="46"/>
      <c r="S6" t="str">
        <f ca="1"/>
        <v>CESAR MATARRITA MATARRITA</v>
      </c>
      <c r="T6">
        <f ca="1"/>
        <v>0</v>
      </c>
      <c r="U6" t="e">
        <f ca="1"/>
        <v>#N/A</v>
      </c>
    </row>
    <row r="7" spans="1:21">
      <c r="A7" t="str">
        <v>GERARDO BOLIVAR VARGAS FERNANDEZ</v>
      </c>
      <c r="C7" t="e">
        <f ca="1"/>
        <v>#N/A</v>
      </c>
      <c r="E7" s="8" t="str" cm="1">
        <f t="array" ref="E7">_xlfn.ANCHORARRAY(B1)</f>
        <v>Semana 48CIP2</v>
      </c>
      <c r="F7" s="49" cm="1">
        <f t="array" ref="F7">VLOOKUP(_xlfn.ANCHORARRAY(E7),'Fechas Mes'!$J:$M,3,FALSE)</f>
        <v>46013</v>
      </c>
      <c r="G7" s="49" cm="1">
        <f t="array" ref="G7">VLOOKUP(_xlfn.ANCHORARRAY(E7),'Fechas Mes'!$J:$M,4,FALSE)</f>
        <v>46018</v>
      </c>
      <c r="H7" s="32" cm="1">
        <f t="array" ref="H7">VLOOKUP(_xlfn.ANCHORARRAY(E7),'Fechas Mes'!$J:$P,7,FALSE)</f>
        <v>0</v>
      </c>
      <c r="I7" s="8"/>
      <c r="J7" s="36" cm="1">
        <f t="array" ref="J7">SUMIFS(Horas!$N:$N,Horas!$AD:$AD,J$3,Horas!$K:$K,$E$1,Horas!$AC:$AC,_xlfn.ANCHORARRAY($E7))</f>
        <v>0</v>
      </c>
      <c r="K7" s="36" cm="1">
        <f t="array" ref="K7">SUMIFS(Horas!$N:$N,Horas!$AD:$AD,K$3,Horas!$K:$K,$E$1,Horas!$AC:$AC,_xlfn.ANCHORARRAY($E7))</f>
        <v>0</v>
      </c>
      <c r="L7" s="36" cm="1">
        <f t="array" ref="L7">SUMIFS(Horas!$N:$N,Horas!$AD:$AD,L$3,Horas!$K:$K,$E$1,Horas!$AC:$AC,_xlfn.ANCHORARRAY($E7))</f>
        <v>0</v>
      </c>
      <c r="M7" s="36" cm="1">
        <f t="array" ref="M7">SUMIFS(Horas!$N:$N,Horas!$AD:$AD,M$3,Horas!$K:$K,$E$1,Horas!$AC:$AC,_xlfn.ANCHORARRAY($E7))</f>
        <v>0</v>
      </c>
      <c r="N7" s="37" cm="1">
        <f t="array" ref="N7">SUMIFS(Horas!$N:$N,Horas!$K:$K,$E$1,Horas!$AC:$AC,_xlfn.ANCHORARRAY($E7))</f>
        <v>0</v>
      </c>
      <c r="O7" s="36" cm="1">
        <f t="array" ref="O7">IF(_xlfn.ANCHORARRAY(N7)-_xlfn.ANCHORARRAY(H7)&lt;=0,0,_xlfn.ANCHORARRAY(N7)-_xlfn.ANCHORARRAY(H7))</f>
        <v>0</v>
      </c>
      <c r="P7" s="36" cm="1">
        <f t="array" ref="P7">IF(_xlfn.ANCHORARRAY(J7)-_xlfn.ANCHORARRAY(H7)&lt;=0,0,_xlfn.ANCHORARRAY(J7)-_xlfn.ANCHORARRAY(H7))</f>
        <v>0</v>
      </c>
      <c r="Q7" s="36" cm="1">
        <f t="array" ref="Q7">SUMIFS(Horas!$N:$N,Horas!$B:$B,"151-LIC.CA"&amp;"*",Horas!$K:$K,$E$1,Horas!$AC:$AC,_xlfn.ANCHORARRAY($E7))</f>
        <v>0</v>
      </c>
      <c r="R7" s="46"/>
      <c r="S7" t="str">
        <f ca="1"/>
        <v>GERARDO BOLIVAR VARGAS FERNANDEZ</v>
      </c>
      <c r="T7">
        <f ca="1"/>
        <v>0</v>
      </c>
      <c r="U7" t="e">
        <f ca="1"/>
        <v>#N/A</v>
      </c>
    </row>
    <row r="8" spans="1:21">
      <c r="A8" t="str">
        <v>LAURA REBECA CORDOBA FERNANDEZ</v>
      </c>
      <c r="C8" t="e">
        <f ca="1"/>
        <v>#N/A</v>
      </c>
      <c r="E8" s="8"/>
      <c r="F8" s="49"/>
      <c r="G8" s="49"/>
      <c r="H8" s="32"/>
      <c r="I8" s="8"/>
      <c r="J8" s="36"/>
      <c r="K8" s="36"/>
      <c r="L8" s="36"/>
      <c r="M8" s="36"/>
      <c r="N8" s="37"/>
      <c r="O8" s="36"/>
      <c r="P8" s="36"/>
      <c r="Q8" s="36"/>
      <c r="R8" s="46"/>
      <c r="S8" t="str">
        <f ca="1"/>
        <v>LAURA REBECA CORDOBA FERNANDEZ</v>
      </c>
      <c r="T8">
        <f ca="1"/>
        <v>0</v>
      </c>
      <c r="U8" t="e">
        <f ca="1"/>
        <v>#N/A</v>
      </c>
    </row>
    <row r="9" spans="1:21">
      <c r="A9" t="str">
        <v>VICTOR CHAVES MONTERO</v>
      </c>
      <c r="C9" t="e">
        <f ca="1"/>
        <v>#N/A</v>
      </c>
      <c r="E9" s="8"/>
      <c r="F9" s="49"/>
      <c r="G9" s="49"/>
      <c r="H9" s="32"/>
      <c r="I9" s="8"/>
      <c r="J9" s="36"/>
      <c r="K9" s="36"/>
      <c r="L9" s="36"/>
      <c r="M9" s="36"/>
      <c r="N9" s="37"/>
      <c r="O9" s="36"/>
      <c r="P9" s="36"/>
      <c r="Q9" s="36"/>
      <c r="R9" s="46"/>
      <c r="S9" t="str">
        <f ca="1"/>
        <v>VICTOR CHAVES MONTERO</v>
      </c>
      <c r="T9">
        <f ca="1"/>
        <v>0</v>
      </c>
      <c r="U9" t="e">
        <f ca="1"/>
        <v>#N/A</v>
      </c>
    </row>
    <row r="10" spans="1:21">
      <c r="A10" t="str">
        <v>MEYLIN ALEJANDRA ZUÑIGA NUÑEZ</v>
      </c>
      <c r="C10" t="e">
        <f ca="1"/>
        <v>#N/A</v>
      </c>
      <c r="E10" s="8"/>
      <c r="F10" s="49"/>
      <c r="G10" s="49"/>
      <c r="H10" s="32"/>
      <c r="I10" s="8"/>
      <c r="J10" s="36"/>
      <c r="K10" s="36"/>
      <c r="L10" s="36"/>
      <c r="M10" s="36"/>
      <c r="N10" s="37"/>
      <c r="O10" s="36"/>
      <c r="P10" s="36"/>
      <c r="Q10" s="36"/>
      <c r="R10" s="46"/>
      <c r="S10" t="str">
        <f ca="1"/>
        <v>MEYLIN ALEJANDRA ZUÑIGA NUÑEZ</v>
      </c>
      <c r="T10">
        <f ca="1"/>
        <v>0</v>
      </c>
      <c r="U10" t="e">
        <f ca="1"/>
        <v>#N/A</v>
      </c>
    </row>
    <row r="11" spans="1:21">
      <c r="A11" t="str">
        <v>RAFAEL VEGA ALVAREZ</v>
      </c>
      <c r="C11" t="e">
        <f ca="1"/>
        <v>#N/A</v>
      </c>
      <c r="E11" s="8"/>
      <c r="F11" s="49"/>
      <c r="G11" s="49"/>
      <c r="H11" s="32"/>
      <c r="I11" s="8"/>
      <c r="J11" s="36"/>
      <c r="K11" s="36"/>
      <c r="L11" s="36"/>
      <c r="M11" s="36"/>
      <c r="N11" s="37"/>
      <c r="O11" s="36"/>
      <c r="P11" s="36"/>
      <c r="Q11" s="36"/>
      <c r="R11" s="46"/>
      <c r="S11" t="str">
        <f ca="1"/>
        <v>RAFAEL VEGA ALVAREZ</v>
      </c>
      <c r="T11">
        <f ca="1"/>
        <v>0</v>
      </c>
      <c r="U11" t="e">
        <f ca="1"/>
        <v>#N/A</v>
      </c>
    </row>
    <row r="12" spans="1:21">
      <c r="A12" t="str">
        <v>JOSE QUESADA SOLIS</v>
      </c>
      <c r="C12" t="e">
        <f ca="1"/>
        <v>#N/A</v>
      </c>
      <c r="E12" s="8"/>
      <c r="F12" s="49"/>
      <c r="G12" s="49"/>
      <c r="H12" s="32"/>
      <c r="I12" s="8"/>
      <c r="J12" s="36"/>
      <c r="K12" s="36"/>
      <c r="L12" s="36"/>
      <c r="M12" s="36"/>
      <c r="N12" s="37"/>
      <c r="O12" s="36"/>
      <c r="P12" s="36"/>
      <c r="Q12" s="36"/>
      <c r="S12" t="str">
        <f ca="1"/>
        <v>JOSE QUESADA SOLIS</v>
      </c>
      <c r="T12">
        <f ca="1"/>
        <v>0</v>
      </c>
      <c r="U12" t="e">
        <f ca="1"/>
        <v>#N/A</v>
      </c>
    </row>
    <row r="13" spans="1:21" ht="14.45" customHeight="1">
      <c r="A13" t="str">
        <v>MARIA FERNANDA ARAYA ARGUEDAS</v>
      </c>
      <c r="C13" t="e">
        <f ca="1"/>
        <v>#N/A</v>
      </c>
      <c r="E13" s="8"/>
      <c r="F13" s="49"/>
      <c r="G13" s="49"/>
      <c r="H13" s="32"/>
      <c r="I13" s="8"/>
      <c r="J13" s="36"/>
      <c r="K13" s="36"/>
      <c r="L13" s="36"/>
      <c r="M13" s="36"/>
      <c r="N13" s="37"/>
      <c r="O13" s="36"/>
      <c r="P13" s="36"/>
      <c r="Q13" s="36"/>
      <c r="S13" t="str">
        <f ca="1"/>
        <v>MARIA FERNANDA ARAYA ARGUEDAS</v>
      </c>
      <c r="T13">
        <f ca="1"/>
        <v>0</v>
      </c>
      <c r="U13" t="e">
        <f ca="1"/>
        <v>#N/A</v>
      </c>
    </row>
    <row r="14" spans="1:21">
      <c r="A14" t="str">
        <v>ANDREY ALONSO PALACIOS ALVAREZ</v>
      </c>
      <c r="C14" t="e">
        <f ca="1"/>
        <v>#N/A</v>
      </c>
      <c r="E14" s="8"/>
      <c r="F14" s="49"/>
      <c r="G14" s="49"/>
      <c r="H14" s="32"/>
      <c r="I14" s="8"/>
      <c r="J14" s="36"/>
      <c r="K14" s="36"/>
      <c r="L14" s="36"/>
      <c r="M14" s="36"/>
      <c r="N14" s="37"/>
      <c r="O14" s="36"/>
      <c r="P14" s="36"/>
      <c r="Q14" s="36"/>
      <c r="S14" t="str">
        <f ca="1"/>
        <v>ANDREY ALONSO PALACIOS ALVAREZ</v>
      </c>
      <c r="T14">
        <f ca="1"/>
        <v>0</v>
      </c>
      <c r="U14" t="e">
        <f ca="1"/>
        <v>#N/A</v>
      </c>
    </row>
    <row r="15" spans="1:21">
      <c r="E15" s="8"/>
      <c r="F15" s="49"/>
      <c r="G15" s="49"/>
      <c r="H15" s="32"/>
      <c r="I15" s="8"/>
      <c r="J15" s="36"/>
      <c r="K15" s="36"/>
      <c r="L15" s="36"/>
      <c r="M15" s="36"/>
      <c r="N15" s="37"/>
      <c r="O15" s="36"/>
      <c r="P15" s="36"/>
      <c r="Q15" s="36"/>
      <c r="S15" t="str">
        <f ca="1"/>
        <v>Total</v>
      </c>
      <c r="T15" t="str">
        <f ca="1"/>
        <v xml:space="preserve"> </v>
      </c>
      <c r="U15" t="str">
        <f ca="1"/>
        <v>a</v>
      </c>
    </row>
    <row r="16" spans="1:21">
      <c r="E16" s="8"/>
      <c r="F16" s="49"/>
      <c r="G16" s="49"/>
      <c r="H16" s="32"/>
      <c r="I16" s="8"/>
      <c r="J16" s="36"/>
      <c r="K16" s="36"/>
      <c r="L16" s="36"/>
      <c r="M16" s="36"/>
      <c r="N16" s="37"/>
      <c r="O16" s="36"/>
      <c r="P16" s="36"/>
      <c r="Q16" s="36"/>
    </row>
    <row r="17" spans="5:17">
      <c r="E17" s="8"/>
      <c r="F17" s="49"/>
      <c r="G17" s="49"/>
      <c r="H17" s="32"/>
      <c r="I17" s="8"/>
      <c r="J17" s="36"/>
      <c r="K17" s="36"/>
      <c r="L17" s="36"/>
      <c r="M17" s="36"/>
      <c r="N17" s="37"/>
      <c r="O17" s="36"/>
      <c r="P17" s="36"/>
      <c r="Q17" s="36"/>
    </row>
    <row r="18" spans="5:17">
      <c r="E18" s="8"/>
      <c r="F18" s="49"/>
      <c r="G18" s="49"/>
      <c r="H18" s="32"/>
      <c r="I18" s="8"/>
      <c r="J18" s="36"/>
      <c r="K18" s="36"/>
      <c r="L18" s="36"/>
      <c r="M18" s="36"/>
      <c r="N18" s="37"/>
      <c r="O18" s="36"/>
      <c r="P18" s="36"/>
      <c r="Q18" s="36"/>
    </row>
    <row r="19" spans="5:17">
      <c r="E19" s="8"/>
      <c r="F19" s="49"/>
      <c r="G19" s="49"/>
      <c r="H19" s="32"/>
      <c r="I19" s="8"/>
      <c r="J19" s="36"/>
      <c r="K19" s="36"/>
      <c r="L19" s="36"/>
      <c r="M19" s="36"/>
      <c r="N19" s="37"/>
      <c r="O19" s="36"/>
      <c r="P19" s="36"/>
      <c r="Q19" s="36"/>
    </row>
    <row r="20" spans="5:17">
      <c r="E20" s="8"/>
      <c r="F20" s="49"/>
      <c r="G20" s="49"/>
      <c r="H20" s="32"/>
      <c r="I20" s="8"/>
      <c r="J20" s="36"/>
      <c r="K20" s="36"/>
      <c r="L20" s="36"/>
      <c r="M20" s="36"/>
      <c r="N20" s="37"/>
      <c r="O20" s="36"/>
      <c r="P20" s="36"/>
      <c r="Q20" s="36"/>
    </row>
    <row r="21" spans="5:17">
      <c r="E21" s="8"/>
      <c r="F21" s="49"/>
      <c r="G21" s="49"/>
      <c r="H21" s="32"/>
      <c r="I21" s="8"/>
      <c r="J21" s="36"/>
      <c r="K21" s="36"/>
      <c r="L21" s="36"/>
      <c r="M21" s="36"/>
      <c r="N21" s="37"/>
      <c r="O21" s="36"/>
      <c r="P21" s="36"/>
      <c r="Q21" s="36"/>
    </row>
    <row r="22" spans="5:17">
      <c r="E22" s="8"/>
      <c r="F22" s="49"/>
      <c r="G22" s="49"/>
      <c r="H22" s="32"/>
      <c r="I22" s="8"/>
      <c r="J22" s="36"/>
      <c r="K22" s="36"/>
      <c r="L22" s="36"/>
      <c r="M22" s="36"/>
      <c r="N22" s="37"/>
      <c r="O22" s="36"/>
      <c r="P22" s="36"/>
      <c r="Q22" s="36"/>
    </row>
    <row r="23" spans="5:17">
      <c r="E23" s="8"/>
      <c r="F23" s="49"/>
      <c r="G23" s="49"/>
      <c r="H23" s="32"/>
      <c r="I23" s="8"/>
      <c r="J23" s="36"/>
      <c r="K23" s="36"/>
      <c r="L23" s="36"/>
      <c r="M23" s="36"/>
      <c r="N23" s="37"/>
      <c r="O23" s="36"/>
      <c r="P23" s="36"/>
      <c r="Q23" s="36"/>
    </row>
    <row r="24" spans="5:17">
      <c r="E24" s="8"/>
      <c r="F24" s="49"/>
      <c r="G24" s="49"/>
      <c r="H24" s="32"/>
      <c r="I24" s="8"/>
      <c r="J24" s="36"/>
      <c r="K24" s="36"/>
      <c r="L24" s="36"/>
      <c r="M24" s="36"/>
      <c r="N24" s="37"/>
      <c r="O24" s="36"/>
      <c r="P24" s="36"/>
      <c r="Q24" s="36"/>
    </row>
    <row r="25" spans="5:17">
      <c r="E25" s="8"/>
      <c r="F25" s="49"/>
      <c r="G25" s="49"/>
      <c r="H25" s="32"/>
      <c r="I25" s="8"/>
      <c r="J25" s="36"/>
      <c r="K25" s="36"/>
      <c r="L25" s="36"/>
      <c r="M25" s="36"/>
      <c r="N25" s="37"/>
      <c r="O25" s="36"/>
      <c r="P25" s="36"/>
      <c r="Q25" s="36"/>
    </row>
    <row r="26" spans="5:17">
      <c r="E26" s="8"/>
      <c r="F26" s="49"/>
      <c r="G26" s="49"/>
      <c r="H26" s="32"/>
      <c r="I26" s="8"/>
      <c r="J26" s="36"/>
      <c r="K26" s="36"/>
      <c r="L26" s="36"/>
      <c r="M26" s="36"/>
      <c r="N26" s="37"/>
      <c r="O26" s="36"/>
      <c r="P26" s="36"/>
      <c r="Q26" s="36"/>
    </row>
    <row r="27" spans="5:17">
      <c r="E27" s="8"/>
      <c r="F27" s="49"/>
      <c r="G27" s="49"/>
      <c r="H27" s="32"/>
      <c r="I27" s="8"/>
      <c r="J27" s="36"/>
      <c r="K27" s="36"/>
      <c r="L27" s="36"/>
      <c r="M27" s="36"/>
      <c r="N27" s="37"/>
      <c r="O27" s="36"/>
      <c r="P27" s="36"/>
      <c r="Q27" s="36"/>
    </row>
    <row r="28" spans="5:17">
      <c r="E28" s="8"/>
      <c r="F28" s="49"/>
      <c r="G28" s="49"/>
      <c r="H28" s="32"/>
      <c r="I28" s="8"/>
      <c r="J28" s="36"/>
      <c r="K28" s="36"/>
      <c r="L28" s="36"/>
      <c r="M28" s="36"/>
      <c r="N28" s="37"/>
      <c r="O28" s="36"/>
      <c r="P28" s="36"/>
      <c r="Q28" s="36"/>
    </row>
    <row r="29" spans="5:17">
      <c r="E29" s="8"/>
      <c r="F29" s="49"/>
      <c r="G29" s="49"/>
      <c r="H29" s="32"/>
      <c r="I29" s="8"/>
      <c r="J29" s="36"/>
      <c r="K29" s="36"/>
      <c r="L29" s="36"/>
      <c r="M29" s="36"/>
      <c r="N29" s="37"/>
      <c r="O29" s="36"/>
      <c r="P29" s="36"/>
      <c r="Q29" s="36"/>
    </row>
    <row r="30" spans="5:17">
      <c r="E30" s="8"/>
      <c r="F30" s="49"/>
      <c r="G30" s="49"/>
      <c r="H30" s="32"/>
      <c r="I30" s="8"/>
      <c r="J30" s="36"/>
      <c r="K30" s="36"/>
      <c r="L30" s="36"/>
      <c r="M30" s="36"/>
      <c r="N30" s="37"/>
      <c r="O30" s="36"/>
      <c r="P30" s="36"/>
      <c r="Q30" s="36"/>
    </row>
    <row r="31" spans="5:17">
      <c r="E31" s="8"/>
      <c r="F31" s="49"/>
      <c r="G31" s="49"/>
      <c r="H31" s="32"/>
      <c r="I31" s="8"/>
      <c r="J31" s="36"/>
      <c r="K31" s="36"/>
      <c r="L31" s="36"/>
      <c r="M31" s="36"/>
      <c r="N31" s="37"/>
      <c r="O31" s="36"/>
      <c r="P31" s="36"/>
      <c r="Q31" s="36"/>
    </row>
    <row r="32" spans="5:17">
      <c r="E32" s="8"/>
      <c r="F32" s="49"/>
      <c r="G32" s="49"/>
      <c r="H32" s="32"/>
      <c r="I32" s="8"/>
      <c r="J32" s="36"/>
      <c r="K32" s="36"/>
      <c r="L32" s="36"/>
      <c r="M32" s="36"/>
      <c r="N32" s="37"/>
      <c r="O32" s="36"/>
      <c r="P32" s="36"/>
      <c r="Q32" s="36"/>
    </row>
    <row r="33" spans="5:17">
      <c r="E33" s="8"/>
      <c r="F33" s="49"/>
      <c r="G33" s="49"/>
      <c r="H33" s="32"/>
      <c r="I33" s="8"/>
      <c r="J33" s="36"/>
      <c r="K33" s="36"/>
      <c r="L33" s="36"/>
      <c r="M33" s="36"/>
      <c r="N33" s="37"/>
      <c r="O33" s="36"/>
      <c r="P33" s="36"/>
      <c r="Q33" s="36"/>
    </row>
    <row r="34" spans="5:17">
      <c r="E34" s="8"/>
      <c r="F34" s="49"/>
      <c r="G34" s="49"/>
      <c r="H34" s="32"/>
      <c r="I34" s="8"/>
      <c r="J34" s="36"/>
      <c r="K34" s="36"/>
      <c r="L34" s="36"/>
      <c r="M34" s="36"/>
      <c r="N34" s="37"/>
      <c r="O34" s="36"/>
      <c r="P34" s="36"/>
      <c r="Q34" s="36"/>
    </row>
    <row r="35" spans="5:17">
      <c r="E35" s="8"/>
      <c r="F35" s="49"/>
      <c r="G35" s="49"/>
      <c r="H35" s="32"/>
      <c r="I35" s="8"/>
      <c r="J35" s="36"/>
      <c r="K35" s="36"/>
      <c r="L35" s="36"/>
      <c r="M35" s="36"/>
      <c r="N35" s="37"/>
      <c r="O35" s="36"/>
      <c r="P35" s="36"/>
      <c r="Q35" s="36"/>
    </row>
    <row r="36" spans="5:17">
      <c r="E36" s="8"/>
      <c r="F36" s="49"/>
      <c r="G36" s="49"/>
      <c r="H36" s="32"/>
      <c r="I36" s="8"/>
      <c r="J36" s="36"/>
      <c r="K36" s="36"/>
      <c r="L36" s="36"/>
      <c r="M36" s="36"/>
      <c r="N36" s="37"/>
      <c r="O36" s="36"/>
      <c r="P36" s="36"/>
      <c r="Q36" s="36"/>
    </row>
    <row r="37" spans="5:17">
      <c r="E37" s="8"/>
      <c r="F37" s="49"/>
      <c r="G37" s="49"/>
      <c r="H37" s="32"/>
      <c r="I37" s="8"/>
      <c r="J37" s="36"/>
      <c r="K37" s="36"/>
      <c r="L37" s="36"/>
      <c r="M37" s="36"/>
      <c r="N37" s="37"/>
      <c r="O37" s="36"/>
      <c r="P37" s="36"/>
      <c r="Q37" s="36"/>
    </row>
    <row r="38" spans="5:17">
      <c r="E38" s="8"/>
      <c r="F38" s="49"/>
      <c r="G38" s="49"/>
      <c r="H38" s="32"/>
      <c r="I38" s="8"/>
      <c r="J38" s="36"/>
      <c r="K38" s="36"/>
      <c r="L38" s="36"/>
      <c r="M38" s="36"/>
      <c r="N38" s="37"/>
      <c r="O38" s="36"/>
      <c r="P38" s="36"/>
      <c r="Q38" s="36"/>
    </row>
    <row r="39" spans="5:17">
      <c r="E39" s="8"/>
      <c r="F39" s="49"/>
      <c r="G39" s="49"/>
      <c r="H39" s="32"/>
      <c r="I39" s="8"/>
      <c r="J39" s="36"/>
      <c r="K39" s="36"/>
      <c r="L39" s="36"/>
      <c r="M39" s="36"/>
      <c r="N39" s="37"/>
      <c r="O39" s="36"/>
      <c r="P39" s="36"/>
      <c r="Q39" s="36"/>
    </row>
    <row r="43" spans="5:17">
      <c r="Q43" s="6"/>
    </row>
    <row r="45" spans="5:17" s="6" customFormat="1">
      <c r="E45"/>
      <c r="F45"/>
      <c r="G45"/>
      <c r="H45"/>
      <c r="I45"/>
      <c r="J45" s="43"/>
      <c r="K45" s="43"/>
      <c r="L45" s="43"/>
      <c r="M45" s="43"/>
      <c r="N45" s="44"/>
      <c r="O45"/>
      <c r="P45"/>
      <c r="Q45"/>
    </row>
    <row r="47" spans="5:17">
      <c r="E47" s="6"/>
      <c r="F47" s="6"/>
      <c r="G47" s="6"/>
      <c r="H47" s="6"/>
      <c r="I47" s="6"/>
      <c r="J47" s="6"/>
      <c r="K47" s="6"/>
      <c r="L47" s="6"/>
      <c r="M47" s="6"/>
      <c r="N47" s="6"/>
      <c r="O47" s="6"/>
      <c r="P47" s="6"/>
    </row>
    <row r="48" spans="5:17">
      <c r="F48" s="41"/>
      <c r="G48" s="41"/>
      <c r="H48" s="12"/>
    </row>
    <row r="49" spans="6:8">
      <c r="F49" s="41"/>
      <c r="G49" s="41"/>
      <c r="H49" s="12"/>
    </row>
    <row r="50" spans="6:8">
      <c r="F50" s="41"/>
      <c r="G50" s="41"/>
      <c r="H50" s="12"/>
    </row>
    <row r="51" spans="6:8">
      <c r="F51" s="41"/>
      <c r="G51" s="41"/>
      <c r="H51" s="12"/>
    </row>
    <row r="52" spans="6:8">
      <c r="F52" s="41"/>
      <c r="G52" s="41"/>
      <c r="H52" s="12"/>
    </row>
    <row r="53" spans="6:8">
      <c r="F53" s="41"/>
      <c r="G53" s="41"/>
      <c r="H53" s="12"/>
    </row>
    <row r="54" spans="6:8">
      <c r="F54" s="41"/>
      <c r="G54" s="41"/>
      <c r="H54" s="12"/>
    </row>
    <row r="55" spans="6:8">
      <c r="F55" s="41"/>
      <c r="G55" s="41"/>
      <c r="H55" s="12"/>
    </row>
    <row r="56" spans="6:8">
      <c r="F56" s="41"/>
      <c r="G56" s="41"/>
      <c r="H56" s="12"/>
    </row>
    <row r="57" spans="6:8">
      <c r="F57" s="41"/>
      <c r="G57" s="41"/>
      <c r="H57" s="12"/>
    </row>
    <row r="58" spans="6:8">
      <c r="F58" s="41"/>
      <c r="G58" s="41"/>
      <c r="H58" s="12"/>
    </row>
    <row r="59" spans="6:8">
      <c r="F59" s="41"/>
      <c r="G59" s="41"/>
      <c r="H59" s="12"/>
    </row>
    <row r="60" spans="6:8">
      <c r="F60" s="41"/>
      <c r="G60" s="41"/>
      <c r="H60" s="12"/>
    </row>
    <row r="61" spans="6:8">
      <c r="F61" s="41"/>
      <c r="G61" s="41"/>
      <c r="H61" s="12"/>
    </row>
    <row r="62" spans="6:8">
      <c r="F62" s="41"/>
      <c r="G62" s="41"/>
      <c r="H62" s="12"/>
    </row>
    <row r="63" spans="6:8">
      <c r="F63" s="41"/>
      <c r="G63" s="41"/>
      <c r="H63" s="12"/>
    </row>
    <row r="64" spans="6:8">
      <c r="F64" s="41"/>
      <c r="G64" s="41"/>
      <c r="H64" s="12"/>
    </row>
    <row r="65" spans="6:8">
      <c r="F65" s="41"/>
      <c r="G65" s="41"/>
      <c r="H65" s="12"/>
    </row>
    <row r="66" spans="6:8">
      <c r="F66" s="41"/>
      <c r="G66" s="41"/>
      <c r="H66" s="12"/>
    </row>
    <row r="67" spans="6:8">
      <c r="F67" s="41"/>
      <c r="G67" s="41"/>
      <c r="H67" s="12"/>
    </row>
    <row r="68" spans="6:8">
      <c r="F68" s="41"/>
      <c r="G68" s="41"/>
      <c r="H68" s="12"/>
    </row>
    <row r="69" spans="6:8">
      <c r="F69" s="41"/>
      <c r="G69" s="41"/>
      <c r="H69" s="12"/>
    </row>
    <row r="70" spans="6:8">
      <c r="F70" s="41"/>
      <c r="G70" s="41"/>
      <c r="H70" s="12"/>
    </row>
    <row r="71" spans="6:8">
      <c r="F71" s="41"/>
      <c r="G71" s="41"/>
      <c r="H71" s="12"/>
    </row>
    <row r="72" spans="6:8">
      <c r="F72" s="41"/>
      <c r="G72" s="41"/>
      <c r="H72" s="12"/>
    </row>
    <row r="73" spans="6:8">
      <c r="F73" s="41"/>
      <c r="G73" s="41"/>
      <c r="H73" s="12"/>
    </row>
    <row r="74" spans="6:8">
      <c r="F74" s="41"/>
      <c r="G74" s="41"/>
      <c r="H74" s="12"/>
    </row>
    <row r="75" spans="6:8">
      <c r="F75" s="41"/>
      <c r="G75" s="41"/>
      <c r="H75" s="12"/>
    </row>
    <row r="76" spans="6:8">
      <c r="F76" s="41"/>
      <c r="G76" s="41"/>
      <c r="H76" s="12"/>
    </row>
    <row r="77" spans="6:8">
      <c r="F77" s="41"/>
      <c r="G77" s="41"/>
      <c r="H77" s="12"/>
    </row>
    <row r="78" spans="6:8">
      <c r="F78" s="41"/>
      <c r="G78" s="41"/>
      <c r="H78" s="12"/>
    </row>
    <row r="79" spans="6:8">
      <c r="F79" s="41"/>
      <c r="G79" s="41"/>
      <c r="H79" s="12"/>
    </row>
    <row r="80" spans="6:8">
      <c r="F80" s="41"/>
      <c r="G80" s="41"/>
      <c r="H80" s="12"/>
    </row>
    <row r="81" spans="6:8">
      <c r="F81" s="41"/>
      <c r="G81" s="41"/>
      <c r="H81" s="12"/>
    </row>
    <row r="82" spans="6:8">
      <c r="F82" s="41"/>
      <c r="G82" s="41"/>
      <c r="H82" s="12"/>
    </row>
    <row r="83" spans="6:8">
      <c r="F83" s="41"/>
      <c r="G83" s="41"/>
      <c r="H83" s="12"/>
    </row>
    <row r="84" spans="6:8">
      <c r="F84" s="41"/>
      <c r="G84" s="41"/>
      <c r="H84" s="12"/>
    </row>
    <row r="85" spans="6:8">
      <c r="F85" s="41"/>
      <c r="G85" s="41"/>
      <c r="H85" s="12"/>
    </row>
    <row r="86" spans="6:8">
      <c r="F86" s="41"/>
      <c r="G86" s="41"/>
      <c r="H86" s="12"/>
    </row>
    <row r="87" spans="6:8">
      <c r="F87" s="41"/>
      <c r="G87" s="41"/>
      <c r="H87" s="12"/>
    </row>
    <row r="88" spans="6:8">
      <c r="F88" s="41"/>
      <c r="G88" s="41"/>
      <c r="H88" s="12"/>
    </row>
    <row r="89" spans="6:8">
      <c r="F89" s="41"/>
      <c r="G89" s="41"/>
      <c r="H89" s="12"/>
    </row>
    <row r="90" spans="6:8">
      <c r="F90" s="41"/>
      <c r="G90" s="41"/>
      <c r="H90" s="12"/>
    </row>
    <row r="91" spans="6:8">
      <c r="F91" s="41"/>
      <c r="G91" s="41"/>
      <c r="H91" s="12"/>
    </row>
    <row r="92" spans="6:8">
      <c r="F92" s="41"/>
      <c r="G92" s="41"/>
      <c r="H92" s="12"/>
    </row>
    <row r="93" spans="6:8">
      <c r="F93" s="41"/>
      <c r="G93" s="41"/>
      <c r="H93" s="12"/>
    </row>
    <row r="94" spans="6:8">
      <c r="F94" s="41"/>
      <c r="G94" s="41"/>
      <c r="H94" s="12"/>
    </row>
    <row r="95" spans="6:8">
      <c r="F95" s="41"/>
      <c r="G95" s="41"/>
      <c r="H95" s="12"/>
    </row>
    <row r="96" spans="6:8">
      <c r="F96" s="41"/>
      <c r="G96" s="41"/>
      <c r="H96" s="12"/>
    </row>
    <row r="97" spans="6:8">
      <c r="F97" s="41"/>
      <c r="G97" s="41"/>
      <c r="H97" s="12"/>
    </row>
    <row r="98" spans="6:8">
      <c r="F98" s="41"/>
      <c r="G98" s="41"/>
      <c r="H98" s="12"/>
    </row>
    <row r="99" spans="6:8">
      <c r="F99" s="41"/>
      <c r="G99" s="41"/>
      <c r="H99" s="12"/>
    </row>
    <row r="100" spans="6:8">
      <c r="F100" s="41"/>
      <c r="G100" s="41"/>
      <c r="H100" s="12"/>
    </row>
    <row r="101" spans="6:8">
      <c r="F101" s="41"/>
      <c r="G101" s="41"/>
      <c r="H101" s="12"/>
    </row>
    <row r="102" spans="6:8">
      <c r="F102" s="41"/>
      <c r="G102" s="41"/>
      <c r="H102" s="12"/>
    </row>
    <row r="103" spans="6:8">
      <c r="F103" s="41"/>
      <c r="G103" s="41"/>
      <c r="H103" s="12"/>
    </row>
    <row r="104" spans="6:8">
      <c r="F104" s="41"/>
      <c r="G104" s="41"/>
      <c r="H104" s="12"/>
    </row>
    <row r="105" spans="6:8">
      <c r="F105" s="41"/>
      <c r="G105" s="41"/>
      <c r="H105" s="12"/>
    </row>
    <row r="106" spans="6:8">
      <c r="F106" s="41"/>
      <c r="G106" s="41"/>
      <c r="H106" s="12"/>
    </row>
    <row r="107" spans="6:8">
      <c r="F107" s="41"/>
      <c r="G107" s="41"/>
      <c r="H107" s="12"/>
    </row>
    <row r="108" spans="6:8">
      <c r="F108" s="41"/>
      <c r="G108" s="41"/>
      <c r="H108" s="12"/>
    </row>
    <row r="109" spans="6:8">
      <c r="F109" s="41"/>
      <c r="G109" s="41"/>
      <c r="H109" s="12"/>
    </row>
    <row r="110" spans="6:8">
      <c r="F110" s="41"/>
      <c r="G110" s="41"/>
      <c r="H110" s="12"/>
    </row>
    <row r="111" spans="6:8">
      <c r="F111" s="41"/>
      <c r="G111" s="41"/>
      <c r="H111" s="12"/>
    </row>
    <row r="112" spans="6:8">
      <c r="F112" s="41"/>
      <c r="G112" s="41"/>
      <c r="H112" s="12"/>
    </row>
    <row r="113" spans="6:8">
      <c r="F113" s="41"/>
      <c r="G113" s="41"/>
      <c r="H113" s="12"/>
    </row>
    <row r="114" spans="6:8">
      <c r="F114" s="41"/>
      <c r="G114" s="41"/>
      <c r="H114" s="12"/>
    </row>
    <row r="115" spans="6:8">
      <c r="F115" s="41"/>
      <c r="G115" s="41"/>
      <c r="H115" s="12"/>
    </row>
    <row r="116" spans="6:8">
      <c r="F116" s="41"/>
      <c r="G116" s="41"/>
      <c r="H116" s="12"/>
    </row>
    <row r="117" spans="6:8">
      <c r="F117" s="41"/>
      <c r="G117" s="41"/>
      <c r="H117" s="12"/>
    </row>
    <row r="118" spans="6:8">
      <c r="F118" s="41"/>
      <c r="G118" s="41"/>
      <c r="H118" s="12"/>
    </row>
    <row r="119" spans="6:8">
      <c r="F119" s="41"/>
      <c r="G119" s="41"/>
      <c r="H119" s="12"/>
    </row>
    <row r="120" spans="6:8">
      <c r="F120" s="41"/>
      <c r="G120" s="41"/>
      <c r="H120" s="12"/>
    </row>
    <row r="121" spans="6:8">
      <c r="F121" s="41"/>
      <c r="G121" s="41"/>
      <c r="H121" s="12"/>
    </row>
    <row r="122" spans="6:8">
      <c r="F122" s="41"/>
      <c r="G122" s="41"/>
      <c r="H122" s="12"/>
    </row>
    <row r="123" spans="6:8">
      <c r="F123" s="41"/>
      <c r="G123" s="41"/>
      <c r="H123" s="12"/>
    </row>
    <row r="124" spans="6:8">
      <c r="F124" s="41"/>
      <c r="G124" s="41"/>
      <c r="H124" s="12"/>
    </row>
    <row r="125" spans="6:8">
      <c r="F125" s="41"/>
      <c r="G125" s="41"/>
      <c r="H125" s="12"/>
    </row>
    <row r="126" spans="6:8">
      <c r="F126" s="41"/>
      <c r="G126" s="41"/>
      <c r="H126" s="12"/>
    </row>
    <row r="127" spans="6:8">
      <c r="F127" s="41"/>
      <c r="G127" s="41"/>
      <c r="H127" s="12"/>
    </row>
    <row r="128" spans="6:8">
      <c r="F128" s="41"/>
      <c r="G128" s="41"/>
      <c r="H128" s="12"/>
    </row>
    <row r="129" spans="6:8">
      <c r="F129" s="41"/>
      <c r="G129" s="41"/>
      <c r="H129" s="12"/>
    </row>
    <row r="130" spans="6:8">
      <c r="F130" s="41"/>
      <c r="G130" s="41"/>
      <c r="H130" s="12"/>
    </row>
    <row r="131" spans="6:8">
      <c r="F131" s="41"/>
      <c r="G131" s="41"/>
      <c r="H131" s="12"/>
    </row>
    <row r="132" spans="6:8">
      <c r="F132" s="41"/>
      <c r="G132" s="41"/>
      <c r="H132" s="12"/>
    </row>
    <row r="133" spans="6:8">
      <c r="F133" s="41"/>
      <c r="G133" s="41"/>
      <c r="H133" s="12"/>
    </row>
    <row r="134" spans="6:8">
      <c r="F134" s="41"/>
      <c r="G134" s="41"/>
      <c r="H134" s="12"/>
    </row>
    <row r="135" spans="6:8">
      <c r="F135" s="41"/>
      <c r="G135" s="41"/>
      <c r="H135" s="12"/>
    </row>
    <row r="136" spans="6:8">
      <c r="F136" s="41"/>
      <c r="G136" s="41"/>
      <c r="H136" s="12"/>
    </row>
    <row r="137" spans="6:8">
      <c r="F137" s="41"/>
      <c r="G137" s="41"/>
      <c r="H137" s="12"/>
    </row>
    <row r="138" spans="6:8">
      <c r="F138" s="41"/>
      <c r="G138" s="41"/>
      <c r="H138" s="12"/>
    </row>
    <row r="139" spans="6:8">
      <c r="F139" s="41"/>
      <c r="G139" s="41"/>
      <c r="H139" s="12"/>
    </row>
    <row r="140" spans="6:8">
      <c r="F140" s="41"/>
      <c r="G140" s="41"/>
      <c r="H140" s="12"/>
    </row>
    <row r="141" spans="6:8">
      <c r="F141" s="41"/>
      <c r="G141" s="41"/>
      <c r="H141" s="12"/>
    </row>
    <row r="142" spans="6:8">
      <c r="F142" s="41"/>
      <c r="G142" s="41"/>
      <c r="H142" s="12"/>
    </row>
    <row r="143" spans="6:8">
      <c r="F143" s="41"/>
      <c r="G143" s="41"/>
      <c r="H143" s="12"/>
    </row>
    <row r="144" spans="6:8">
      <c r="F144" s="41"/>
      <c r="G144" s="41"/>
      <c r="H144" s="12"/>
    </row>
    <row r="145" spans="6:8">
      <c r="F145" s="41"/>
      <c r="G145" s="41"/>
      <c r="H145" s="12"/>
    </row>
    <row r="146" spans="6:8">
      <c r="F146" s="41"/>
      <c r="G146" s="41"/>
      <c r="H146" s="12"/>
    </row>
    <row r="147" spans="6:8">
      <c r="F147" s="41"/>
      <c r="G147" s="41"/>
      <c r="H147" s="12"/>
    </row>
    <row r="148" spans="6:8">
      <c r="F148" s="41"/>
      <c r="G148" s="41"/>
      <c r="H148" s="12"/>
    </row>
    <row r="149" spans="6:8">
      <c r="F149" s="41"/>
      <c r="G149" s="41"/>
      <c r="H149" s="12"/>
    </row>
    <row r="150" spans="6:8">
      <c r="F150" s="41"/>
      <c r="G150" s="41"/>
      <c r="H150" s="12"/>
    </row>
    <row r="151" spans="6:8">
      <c r="F151" s="41"/>
      <c r="G151" s="41"/>
      <c r="H151" s="12"/>
    </row>
    <row r="152" spans="6:8">
      <c r="F152" s="41"/>
      <c r="G152" s="41"/>
      <c r="H152" s="12"/>
    </row>
    <row r="153" spans="6:8">
      <c r="F153" s="41"/>
      <c r="G153" s="41"/>
      <c r="H153" s="12"/>
    </row>
    <row r="154" spans="6:8">
      <c r="F154" s="41"/>
      <c r="G154" s="41"/>
      <c r="H154" s="12"/>
    </row>
    <row r="155" spans="6:8">
      <c r="F155" s="41"/>
      <c r="G155" s="41"/>
      <c r="H155" s="12"/>
    </row>
    <row r="156" spans="6:8">
      <c r="F156" s="41"/>
      <c r="G156" s="41"/>
      <c r="H156" s="12"/>
    </row>
    <row r="157" spans="6:8">
      <c r="F157" s="41"/>
      <c r="G157" s="41"/>
      <c r="H157" s="12"/>
    </row>
    <row r="158" spans="6:8">
      <c r="F158" s="41"/>
      <c r="G158" s="41"/>
      <c r="H158" s="12"/>
    </row>
    <row r="159" spans="6:8">
      <c r="F159" s="41"/>
      <c r="G159" s="41"/>
      <c r="H159" s="12"/>
    </row>
    <row r="160" spans="6:8">
      <c r="F160" s="41"/>
      <c r="G160" s="41"/>
      <c r="H160" s="12"/>
    </row>
    <row r="161" spans="6:8">
      <c r="F161" s="41"/>
      <c r="G161" s="41"/>
      <c r="H161" s="12"/>
    </row>
    <row r="162" spans="6:8">
      <c r="F162" s="41"/>
      <c r="G162" s="41"/>
      <c r="H162" s="12"/>
    </row>
    <row r="163" spans="6:8">
      <c r="F163" s="41"/>
      <c r="G163" s="41"/>
      <c r="H163" s="12"/>
    </row>
    <row r="164" spans="6:8">
      <c r="F164" s="41"/>
      <c r="G164" s="41"/>
      <c r="H164" s="12"/>
    </row>
    <row r="165" spans="6:8">
      <c r="F165" s="41"/>
      <c r="G165" s="41"/>
      <c r="H165" s="12"/>
    </row>
    <row r="166" spans="6:8">
      <c r="F166" s="41"/>
      <c r="G166" s="41"/>
      <c r="H166" s="12"/>
    </row>
    <row r="167" spans="6:8">
      <c r="F167" s="41"/>
      <c r="G167" s="41"/>
      <c r="H167" s="12"/>
    </row>
    <row r="168" spans="6:8">
      <c r="F168" s="41"/>
      <c r="G168" s="41"/>
      <c r="H168" s="12"/>
    </row>
    <row r="169" spans="6:8">
      <c r="F169" s="41"/>
      <c r="G169" s="41"/>
      <c r="H169" s="12"/>
    </row>
    <row r="170" spans="6:8">
      <c r="F170" s="41"/>
      <c r="G170" s="41"/>
      <c r="H170" s="12"/>
    </row>
    <row r="171" spans="6:8">
      <c r="F171" s="41"/>
      <c r="G171" s="41"/>
      <c r="H171" s="12"/>
    </row>
    <row r="172" spans="6:8">
      <c r="F172" s="41"/>
      <c r="G172" s="41"/>
      <c r="H172" s="12"/>
    </row>
    <row r="173" spans="6:8">
      <c r="F173" s="41"/>
      <c r="G173" s="41"/>
      <c r="H173" s="12"/>
    </row>
    <row r="174" spans="6:8">
      <c r="F174" s="41"/>
      <c r="G174" s="41"/>
      <c r="H174" s="12"/>
    </row>
    <row r="175" spans="6:8">
      <c r="F175" s="41"/>
      <c r="G175" s="41"/>
      <c r="H175" s="12"/>
    </row>
    <row r="176" spans="6:8">
      <c r="F176" s="41"/>
      <c r="G176" s="41"/>
      <c r="H176" s="12"/>
    </row>
    <row r="177" spans="6:8">
      <c r="F177" s="41"/>
      <c r="G177" s="41"/>
      <c r="H177" s="12"/>
    </row>
    <row r="178" spans="6:8">
      <c r="F178" s="41"/>
      <c r="G178" s="41"/>
      <c r="H178" s="12"/>
    </row>
    <row r="179" spans="6:8">
      <c r="F179" s="41"/>
      <c r="G179" s="41"/>
      <c r="H179" s="12"/>
    </row>
    <row r="180" spans="6:8">
      <c r="F180" s="41"/>
      <c r="G180" s="41"/>
      <c r="H180" s="12"/>
    </row>
    <row r="181" spans="6:8">
      <c r="F181" s="41"/>
      <c r="G181" s="41"/>
      <c r="H181" s="12"/>
    </row>
    <row r="182" spans="6:8">
      <c r="F182" s="41"/>
      <c r="G182" s="41"/>
      <c r="H182" s="12"/>
    </row>
    <row r="183" spans="6:8">
      <c r="F183" s="41"/>
      <c r="G183" s="41"/>
      <c r="H183" s="12"/>
    </row>
    <row r="184" spans="6:8">
      <c r="F184" s="41"/>
      <c r="G184" s="41"/>
      <c r="H184" s="12"/>
    </row>
    <row r="185" spans="6:8">
      <c r="F185" s="41"/>
      <c r="G185" s="41"/>
      <c r="H185" s="12"/>
    </row>
    <row r="186" spans="6:8">
      <c r="F186" s="41"/>
      <c r="G186" s="41"/>
      <c r="H186" s="12"/>
    </row>
    <row r="187" spans="6:8">
      <c r="F187" s="41"/>
      <c r="G187" s="41"/>
      <c r="H187" s="12"/>
    </row>
    <row r="188" spans="6:8">
      <c r="F188" s="41"/>
      <c r="G188" s="41"/>
      <c r="H188" s="12"/>
    </row>
    <row r="189" spans="6:8">
      <c r="F189" s="41"/>
      <c r="G189" s="41"/>
      <c r="H189" s="12"/>
    </row>
    <row r="190" spans="6:8">
      <c r="F190" s="41"/>
      <c r="G190" s="41"/>
      <c r="H190" s="12"/>
    </row>
    <row r="191" spans="6:8">
      <c r="F191" s="41"/>
      <c r="G191" s="41"/>
      <c r="H191" s="12"/>
    </row>
    <row r="192" spans="6:8">
      <c r="F192" s="41"/>
      <c r="G192" s="41"/>
      <c r="H192" s="12"/>
    </row>
    <row r="193" spans="6:8">
      <c r="F193" s="41"/>
      <c r="G193" s="41"/>
      <c r="H193" s="12"/>
    </row>
    <row r="194" spans="6:8">
      <c r="F194" s="41"/>
      <c r="G194" s="41"/>
      <c r="H194" s="12"/>
    </row>
    <row r="195" spans="6:8">
      <c r="F195" s="41"/>
      <c r="G195" s="41"/>
      <c r="H195" s="12"/>
    </row>
    <row r="196" spans="6:8">
      <c r="F196" s="41"/>
      <c r="G196" s="41"/>
      <c r="H196" s="12"/>
    </row>
    <row r="197" spans="6:8">
      <c r="F197" s="41"/>
      <c r="G197" s="41"/>
      <c r="H197" s="12"/>
    </row>
    <row r="198" spans="6:8">
      <c r="F198" s="41"/>
      <c r="G198" s="41"/>
      <c r="H198" s="12"/>
    </row>
    <row r="199" spans="6:8">
      <c r="F199" s="41"/>
      <c r="G199" s="41"/>
      <c r="H199" s="12"/>
    </row>
    <row r="200" spans="6:8">
      <c r="F200" s="41"/>
      <c r="G200" s="41"/>
      <c r="H200" s="12"/>
    </row>
    <row r="201" spans="6:8">
      <c r="F201" s="41"/>
      <c r="G201" s="41"/>
      <c r="H201" s="12"/>
    </row>
    <row r="202" spans="6:8">
      <c r="F202" s="41"/>
      <c r="G202" s="41"/>
      <c r="H202" s="12"/>
    </row>
    <row r="203" spans="6:8">
      <c r="F203" s="41"/>
      <c r="G203" s="41"/>
      <c r="H203" s="12"/>
    </row>
    <row r="204" spans="6:8">
      <c r="F204" s="41"/>
      <c r="G204" s="41"/>
      <c r="H204" s="12"/>
    </row>
    <row r="205" spans="6:8">
      <c r="F205" s="41"/>
      <c r="G205" s="41"/>
      <c r="H205" s="12"/>
    </row>
    <row r="206" spans="6:8">
      <c r="F206" s="41"/>
      <c r="G206" s="41"/>
      <c r="H206" s="12"/>
    </row>
    <row r="207" spans="6:8">
      <c r="F207" s="41"/>
      <c r="G207" s="41"/>
      <c r="H207" s="12"/>
    </row>
    <row r="208" spans="6:8">
      <c r="F208" s="41"/>
      <c r="G208" s="41"/>
      <c r="H208" s="12"/>
    </row>
    <row r="209" spans="6:8">
      <c r="F209" s="41"/>
      <c r="G209" s="41"/>
      <c r="H209" s="12"/>
    </row>
    <row r="210" spans="6:8">
      <c r="F210" s="41"/>
      <c r="G210" s="41"/>
      <c r="H210" s="12"/>
    </row>
    <row r="211" spans="6:8">
      <c r="F211" s="41"/>
      <c r="G211" s="41"/>
      <c r="H211" s="12"/>
    </row>
    <row r="212" spans="6:8">
      <c r="F212" s="41"/>
      <c r="G212" s="41"/>
      <c r="H212" s="12"/>
    </row>
    <row r="213" spans="6:8">
      <c r="F213" s="41"/>
      <c r="G213" s="41"/>
      <c r="H213" s="12"/>
    </row>
    <row r="214" spans="6:8">
      <c r="F214" s="41"/>
      <c r="G214" s="41"/>
      <c r="H214" s="12"/>
    </row>
    <row r="215" spans="6:8">
      <c r="F215" s="41"/>
      <c r="G215" s="41"/>
      <c r="H215" s="12"/>
    </row>
    <row r="216" spans="6:8">
      <c r="F216" s="41"/>
      <c r="G216" s="41"/>
      <c r="H216" s="12"/>
    </row>
    <row r="217" spans="6:8">
      <c r="F217" s="41"/>
      <c r="G217" s="41"/>
      <c r="H217" s="12"/>
    </row>
    <row r="218" spans="6:8">
      <c r="F218" s="41"/>
      <c r="G218" s="41"/>
      <c r="H218" s="12"/>
    </row>
    <row r="219" spans="6:8">
      <c r="F219" s="41"/>
      <c r="G219" s="41"/>
      <c r="H219" s="12"/>
    </row>
    <row r="220" spans="6:8">
      <c r="F220" s="41"/>
      <c r="G220" s="41"/>
      <c r="H220" s="12"/>
    </row>
    <row r="221" spans="6:8">
      <c r="F221" s="41"/>
      <c r="G221" s="41"/>
      <c r="H221" s="12"/>
    </row>
    <row r="222" spans="6:8">
      <c r="F222" s="41"/>
      <c r="G222" s="41"/>
      <c r="H222" s="12"/>
    </row>
    <row r="223" spans="6:8">
      <c r="F223" s="41"/>
      <c r="G223" s="41"/>
      <c r="H223" s="12"/>
    </row>
    <row r="224" spans="6:8">
      <c r="F224" s="41"/>
      <c r="G224" s="41"/>
      <c r="H224" s="12"/>
    </row>
    <row r="225" spans="6:8">
      <c r="F225" s="41"/>
      <c r="G225" s="41"/>
      <c r="H225" s="12"/>
    </row>
    <row r="226" spans="6:8">
      <c r="F226" s="41"/>
      <c r="G226" s="41"/>
      <c r="H226" s="12"/>
    </row>
    <row r="227" spans="6:8">
      <c r="F227" s="41"/>
      <c r="G227" s="41"/>
      <c r="H227" s="12"/>
    </row>
    <row r="228" spans="6:8">
      <c r="F228" s="41"/>
      <c r="G228" s="41"/>
      <c r="H228" s="12"/>
    </row>
    <row r="229" spans="6:8">
      <c r="F229" s="41"/>
      <c r="G229" s="41"/>
      <c r="H229" s="12"/>
    </row>
    <row r="230" spans="6:8">
      <c r="F230" s="41"/>
      <c r="G230" s="41"/>
      <c r="H230" s="12"/>
    </row>
    <row r="231" spans="6:8">
      <c r="F231" s="41"/>
      <c r="G231" s="41"/>
      <c r="H231" s="12"/>
    </row>
    <row r="232" spans="6:8">
      <c r="F232" s="41"/>
      <c r="G232" s="41"/>
      <c r="H232" s="12"/>
    </row>
    <row r="233" spans="6:8">
      <c r="F233" s="41"/>
      <c r="G233" s="41"/>
      <c r="H233" s="12"/>
    </row>
    <row r="234" spans="6:8">
      <c r="F234" s="41"/>
      <c r="G234" s="41"/>
      <c r="H234" s="12"/>
    </row>
    <row r="235" spans="6:8">
      <c r="F235" s="41"/>
      <c r="G235" s="41"/>
      <c r="H235" s="12"/>
    </row>
    <row r="236" spans="6:8">
      <c r="F236" s="41"/>
      <c r="G236" s="41"/>
      <c r="H236" s="12"/>
    </row>
    <row r="237" spans="6:8">
      <c r="F237" s="41"/>
      <c r="G237" s="41"/>
      <c r="H237" s="12"/>
    </row>
    <row r="238" spans="6:8">
      <c r="F238" s="41"/>
      <c r="G238" s="41"/>
      <c r="H238" s="12"/>
    </row>
    <row r="239" spans="6:8">
      <c r="F239" s="41"/>
      <c r="G239" s="41"/>
      <c r="H239" s="12"/>
    </row>
    <row r="240" spans="6:8">
      <c r="F240" s="41"/>
      <c r="G240" s="41"/>
      <c r="H240" s="12"/>
    </row>
    <row r="241" spans="6:8">
      <c r="F241" s="41"/>
      <c r="G241" s="41"/>
      <c r="H241" s="12"/>
    </row>
    <row r="242" spans="6:8">
      <c r="F242" s="41"/>
      <c r="G242" s="41"/>
      <c r="H242" s="12"/>
    </row>
    <row r="243" spans="6:8">
      <c r="F243" s="41"/>
      <c r="G243" s="41"/>
      <c r="H243" s="12"/>
    </row>
    <row r="244" spans="6:8">
      <c r="F244" s="41"/>
      <c r="G244" s="41"/>
      <c r="H244" s="12"/>
    </row>
    <row r="245" spans="6:8">
      <c r="F245" s="41"/>
      <c r="G245" s="41"/>
      <c r="H245" s="12"/>
    </row>
    <row r="246" spans="6:8">
      <c r="F246" s="41"/>
      <c r="G246" s="41"/>
      <c r="H246" s="12"/>
    </row>
    <row r="247" spans="6:8">
      <c r="F247" s="41"/>
      <c r="G247" s="41"/>
      <c r="H247" s="12"/>
    </row>
    <row r="248" spans="6:8">
      <c r="F248" s="41"/>
      <c r="G248" s="41"/>
      <c r="H248" s="12"/>
    </row>
    <row r="249" spans="6:8">
      <c r="F249" s="41"/>
      <c r="G249" s="41"/>
      <c r="H249" s="12"/>
    </row>
    <row r="250" spans="6:8">
      <c r="F250" s="41"/>
      <c r="G250" s="41"/>
      <c r="H250" s="12"/>
    </row>
    <row r="251" spans="6:8">
      <c r="F251" s="41"/>
      <c r="G251" s="41"/>
      <c r="H251" s="12"/>
    </row>
    <row r="252" spans="6:8">
      <c r="F252" s="41"/>
      <c r="G252" s="41"/>
      <c r="H252" s="12"/>
    </row>
    <row r="253" spans="6:8">
      <c r="F253" s="41"/>
      <c r="G253" s="41"/>
      <c r="H253" s="12"/>
    </row>
    <row r="254" spans="6:8">
      <c r="F254" s="41"/>
      <c r="G254" s="41"/>
      <c r="H254" s="12"/>
    </row>
    <row r="255" spans="6:8">
      <c r="F255" s="41"/>
      <c r="G255" s="41"/>
      <c r="H255" s="12"/>
    </row>
    <row r="256" spans="6:8">
      <c r="F256" s="41"/>
      <c r="G256" s="41"/>
      <c r="H256" s="12"/>
    </row>
    <row r="257" spans="6:8">
      <c r="F257" s="41"/>
      <c r="G257" s="41"/>
      <c r="H257" s="12"/>
    </row>
    <row r="258" spans="6:8">
      <c r="F258" s="41"/>
      <c r="G258" s="41"/>
      <c r="H258" s="12"/>
    </row>
    <row r="259" spans="6:8">
      <c r="F259" s="41"/>
      <c r="G259" s="41"/>
      <c r="H259" s="12"/>
    </row>
    <row r="260" spans="6:8">
      <c r="F260" s="41"/>
      <c r="G260" s="41"/>
      <c r="H260" s="12"/>
    </row>
    <row r="261" spans="6:8">
      <c r="F261" s="41"/>
      <c r="G261" s="41"/>
      <c r="H261" s="12"/>
    </row>
    <row r="262" spans="6:8">
      <c r="F262" s="41"/>
      <c r="G262" s="41"/>
      <c r="H262" s="12"/>
    </row>
    <row r="263" spans="6:8">
      <c r="F263" s="41"/>
      <c r="G263" s="41"/>
      <c r="H263" s="12"/>
    </row>
    <row r="264" spans="6:8">
      <c r="F264" s="41"/>
      <c r="G264" s="41"/>
      <c r="H264" s="12"/>
    </row>
    <row r="265" spans="6:8">
      <c r="F265" s="41"/>
      <c r="G265" s="41"/>
      <c r="H265" s="12"/>
    </row>
    <row r="266" spans="6:8">
      <c r="F266" s="41"/>
      <c r="G266" s="41"/>
      <c r="H266" s="12"/>
    </row>
    <row r="267" spans="6:8">
      <c r="F267" s="41"/>
      <c r="G267" s="41"/>
      <c r="H267" s="12"/>
    </row>
    <row r="268" spans="6:8">
      <c r="F268" s="41"/>
      <c r="G268" s="41"/>
      <c r="H268" s="12"/>
    </row>
    <row r="269" spans="6:8">
      <c r="F269" s="41"/>
      <c r="G269" s="41"/>
      <c r="H269" s="12"/>
    </row>
    <row r="270" spans="6:8">
      <c r="F270" s="41"/>
      <c r="G270" s="41"/>
      <c r="H270" s="12"/>
    </row>
    <row r="271" spans="6:8">
      <c r="F271" s="41"/>
      <c r="G271" s="41"/>
      <c r="H271" s="12"/>
    </row>
    <row r="272" spans="6:8">
      <c r="F272" s="41"/>
      <c r="G272" s="41"/>
      <c r="H272" s="12"/>
    </row>
    <row r="273" spans="6:8">
      <c r="F273" s="41"/>
      <c r="G273" s="41"/>
      <c r="H273" s="12"/>
    </row>
    <row r="274" spans="6:8">
      <c r="F274" s="41"/>
      <c r="G274" s="41"/>
      <c r="H274" s="12"/>
    </row>
    <row r="275" spans="6:8">
      <c r="F275" s="41"/>
      <c r="G275" s="41"/>
      <c r="H275" s="12"/>
    </row>
    <row r="276" spans="6:8">
      <c r="F276" s="41"/>
      <c r="G276" s="41"/>
      <c r="H276" s="12"/>
    </row>
    <row r="277" spans="6:8">
      <c r="F277" s="41"/>
      <c r="G277" s="41"/>
      <c r="H277" s="12"/>
    </row>
    <row r="278" spans="6:8">
      <c r="F278" s="41"/>
      <c r="G278" s="41"/>
      <c r="H278" s="12"/>
    </row>
    <row r="279" spans="6:8">
      <c r="F279" s="41"/>
      <c r="G279" s="41"/>
      <c r="H279" s="12"/>
    </row>
    <row r="280" spans="6:8">
      <c r="F280" s="41"/>
      <c r="G280" s="41"/>
      <c r="H280" s="12"/>
    </row>
    <row r="281" spans="6:8">
      <c r="F281" s="41"/>
      <c r="G281" s="41"/>
      <c r="H281" s="12"/>
    </row>
    <row r="282" spans="6:8">
      <c r="F282" s="41"/>
      <c r="G282" s="41"/>
      <c r="H282" s="12"/>
    </row>
    <row r="283" spans="6:8">
      <c r="F283" s="41"/>
      <c r="G283" s="41"/>
      <c r="H283" s="12"/>
    </row>
    <row r="284" spans="6:8">
      <c r="F284" s="41"/>
      <c r="G284" s="41"/>
      <c r="H284" s="12"/>
    </row>
    <row r="285" spans="6:8">
      <c r="F285" s="41"/>
      <c r="G285" s="41"/>
      <c r="H285" s="12"/>
    </row>
    <row r="286" spans="6:8">
      <c r="F286" s="41"/>
      <c r="G286" s="41"/>
      <c r="H286" s="12"/>
    </row>
    <row r="287" spans="6:8">
      <c r="F287" s="41"/>
      <c r="G287" s="41"/>
      <c r="H287" s="12"/>
    </row>
    <row r="288" spans="6:8">
      <c r="F288" s="41"/>
      <c r="G288" s="41"/>
      <c r="H288" s="12"/>
    </row>
    <row r="289" spans="6:8">
      <c r="F289" s="41"/>
      <c r="G289" s="41"/>
      <c r="H289" s="12"/>
    </row>
    <row r="290" spans="6:8">
      <c r="F290" s="41"/>
      <c r="G290" s="41"/>
      <c r="H290" s="12"/>
    </row>
    <row r="291" spans="6:8">
      <c r="F291" s="41"/>
      <c r="G291" s="41"/>
      <c r="H291" s="12"/>
    </row>
    <row r="292" spans="6:8">
      <c r="F292" s="41"/>
      <c r="G292" s="41"/>
      <c r="H292" s="12"/>
    </row>
    <row r="293" spans="6:8">
      <c r="F293" s="41"/>
      <c r="G293" s="41"/>
      <c r="H293" s="12"/>
    </row>
    <row r="294" spans="6:8">
      <c r="F294" s="41"/>
      <c r="G294" s="41"/>
      <c r="H294" s="12"/>
    </row>
    <row r="295" spans="6:8">
      <c r="F295" s="41"/>
      <c r="G295" s="41"/>
      <c r="H295" s="12"/>
    </row>
    <row r="296" spans="6:8">
      <c r="F296" s="41"/>
      <c r="G296" s="41"/>
      <c r="H296" s="12"/>
    </row>
    <row r="297" spans="6:8">
      <c r="F297" s="41"/>
      <c r="G297" s="41"/>
      <c r="H297" s="12"/>
    </row>
    <row r="298" spans="6:8">
      <c r="F298" s="41"/>
      <c r="G298" s="41"/>
      <c r="H298" s="12"/>
    </row>
    <row r="299" spans="6:8">
      <c r="F299" s="41"/>
      <c r="G299" s="41"/>
      <c r="H299" s="12"/>
    </row>
    <row r="300" spans="6:8">
      <c r="F300" s="41"/>
      <c r="G300" s="41"/>
      <c r="H300" s="12"/>
    </row>
    <row r="301" spans="6:8">
      <c r="F301" s="41"/>
      <c r="G301" s="41"/>
      <c r="H301" s="12"/>
    </row>
    <row r="302" spans="6:8">
      <c r="F302" s="41"/>
      <c r="G302" s="41"/>
      <c r="H302" s="12"/>
    </row>
    <row r="303" spans="6:8">
      <c r="F303" s="41"/>
      <c r="G303" s="41"/>
      <c r="H303" s="12"/>
    </row>
    <row r="304" spans="6:8">
      <c r="F304" s="41"/>
      <c r="G304" s="41"/>
      <c r="H304" s="12"/>
    </row>
    <row r="305" spans="6:8">
      <c r="F305" s="41"/>
      <c r="G305" s="41"/>
      <c r="H305" s="12"/>
    </row>
    <row r="306" spans="6:8">
      <c r="F306" s="41"/>
      <c r="G306" s="41"/>
      <c r="H306" s="12"/>
    </row>
    <row r="307" spans="6:8">
      <c r="F307" s="41"/>
      <c r="G307" s="41"/>
      <c r="H307" s="12"/>
    </row>
    <row r="308" spans="6:8">
      <c r="F308" s="41"/>
      <c r="G308" s="41"/>
      <c r="H308" s="12"/>
    </row>
    <row r="309" spans="6:8">
      <c r="F309" s="41"/>
      <c r="G309" s="41"/>
      <c r="H309" s="12"/>
    </row>
    <row r="310" spans="6:8">
      <c r="F310" s="41"/>
      <c r="G310" s="41"/>
      <c r="H310" s="12"/>
    </row>
    <row r="311" spans="6:8">
      <c r="F311" s="41"/>
      <c r="G311" s="41"/>
      <c r="H311" s="12"/>
    </row>
    <row r="312" spans="6:8">
      <c r="F312" s="41"/>
      <c r="G312" s="41"/>
      <c r="H312" s="12"/>
    </row>
    <row r="313" spans="6:8">
      <c r="F313" s="41"/>
      <c r="G313" s="41"/>
      <c r="H313" s="12"/>
    </row>
    <row r="314" spans="6:8">
      <c r="F314" s="41"/>
      <c r="G314" s="41"/>
      <c r="H314" s="12"/>
    </row>
    <row r="315" spans="6:8">
      <c r="F315" s="41"/>
      <c r="G315" s="41"/>
      <c r="H315" s="12"/>
    </row>
    <row r="316" spans="6:8">
      <c r="F316" s="41"/>
      <c r="G316" s="41"/>
      <c r="H316" s="12"/>
    </row>
    <row r="317" spans="6:8">
      <c r="F317" s="41"/>
      <c r="G317" s="41"/>
      <c r="H317" s="12"/>
    </row>
    <row r="318" spans="6:8">
      <c r="F318" s="41"/>
      <c r="G318" s="41"/>
      <c r="H318" s="12"/>
    </row>
    <row r="319" spans="6:8">
      <c r="F319" s="41"/>
      <c r="G319" s="41"/>
      <c r="H319" s="12"/>
    </row>
    <row r="320" spans="6:8">
      <c r="F320" s="41"/>
      <c r="G320" s="41"/>
      <c r="H320" s="12"/>
    </row>
    <row r="321" spans="6:8">
      <c r="F321" s="41"/>
      <c r="G321" s="41"/>
      <c r="H321" s="12"/>
    </row>
    <row r="322" spans="6:8">
      <c r="F322" s="41"/>
      <c r="G322" s="41"/>
      <c r="H322" s="12"/>
    </row>
    <row r="323" spans="6:8">
      <c r="F323" s="41"/>
      <c r="G323" s="41"/>
      <c r="H323" s="12"/>
    </row>
    <row r="324" spans="6:8">
      <c r="F324" s="41"/>
      <c r="G324" s="41"/>
      <c r="H324" s="12"/>
    </row>
    <row r="325" spans="6:8">
      <c r="F325" s="41"/>
      <c r="G325" s="41"/>
      <c r="H325" s="12"/>
    </row>
    <row r="326" spans="6:8">
      <c r="F326" s="41"/>
      <c r="G326" s="41"/>
      <c r="H326" s="12"/>
    </row>
    <row r="327" spans="6:8">
      <c r="F327" s="41"/>
      <c r="G327" s="41"/>
      <c r="H327" s="12"/>
    </row>
    <row r="328" spans="6:8">
      <c r="F328" s="41"/>
      <c r="G328" s="41"/>
      <c r="H328" s="12"/>
    </row>
    <row r="329" spans="6:8">
      <c r="F329" s="41"/>
      <c r="G329" s="41"/>
      <c r="H329" s="12"/>
    </row>
    <row r="330" spans="6:8">
      <c r="F330" s="41"/>
      <c r="G330" s="41"/>
      <c r="H330" s="12"/>
    </row>
    <row r="331" spans="6:8">
      <c r="F331" s="41"/>
      <c r="G331" s="41"/>
      <c r="H331" s="12"/>
    </row>
    <row r="332" spans="6:8">
      <c r="F332" s="41"/>
      <c r="G332" s="41"/>
      <c r="H332" s="12"/>
    </row>
    <row r="333" spans="6:8">
      <c r="F333" s="41"/>
      <c r="G333" s="41"/>
      <c r="H333" s="12"/>
    </row>
    <row r="334" spans="6:8">
      <c r="F334" s="41"/>
      <c r="G334" s="41"/>
      <c r="H334" s="12"/>
    </row>
    <row r="335" spans="6:8">
      <c r="F335" s="41"/>
      <c r="G335" s="41"/>
      <c r="H335" s="12"/>
    </row>
    <row r="336" spans="6:8">
      <c r="F336" s="41"/>
      <c r="G336" s="41"/>
      <c r="H336" s="12"/>
    </row>
    <row r="337" spans="6:8">
      <c r="F337" s="41"/>
      <c r="G337" s="41"/>
      <c r="H337" s="12"/>
    </row>
    <row r="338" spans="6:8">
      <c r="F338" s="41"/>
      <c r="G338" s="41"/>
      <c r="H338" s="12"/>
    </row>
    <row r="339" spans="6:8">
      <c r="F339" s="41"/>
      <c r="G339" s="41"/>
      <c r="H339" s="12"/>
    </row>
    <row r="340" spans="6:8">
      <c r="F340" s="41"/>
      <c r="G340" s="41"/>
      <c r="H340" s="12"/>
    </row>
    <row r="341" spans="6:8">
      <c r="F341" s="41"/>
      <c r="G341" s="41"/>
      <c r="H341" s="12"/>
    </row>
    <row r="342" spans="6:8">
      <c r="F342" s="41"/>
      <c r="G342" s="41"/>
      <c r="H342" s="12"/>
    </row>
    <row r="343" spans="6:8">
      <c r="F343" s="41"/>
      <c r="G343" s="41"/>
      <c r="H343" s="12"/>
    </row>
    <row r="344" spans="6:8">
      <c r="F344" s="41"/>
      <c r="G344" s="41"/>
      <c r="H344" s="12"/>
    </row>
    <row r="345" spans="6:8">
      <c r="F345" s="41"/>
      <c r="G345" s="41"/>
      <c r="H345" s="12"/>
    </row>
    <row r="346" spans="6:8">
      <c r="F346" s="41"/>
      <c r="G346" s="41"/>
      <c r="H346" s="12"/>
    </row>
    <row r="347" spans="6:8">
      <c r="F347" s="41"/>
      <c r="G347" s="41"/>
      <c r="H347" s="12"/>
    </row>
    <row r="348" spans="6:8">
      <c r="F348" s="41"/>
      <c r="G348" s="41"/>
      <c r="H348" s="12"/>
    </row>
    <row r="349" spans="6:8">
      <c r="F349" s="41"/>
      <c r="G349" s="41"/>
      <c r="H349" s="12"/>
    </row>
    <row r="350" spans="6:8">
      <c r="F350" s="41"/>
      <c r="G350" s="41"/>
      <c r="H350" s="12"/>
    </row>
    <row r="351" spans="6:8">
      <c r="F351" s="41"/>
      <c r="G351" s="41"/>
      <c r="H351" s="12"/>
    </row>
    <row r="352" spans="6:8">
      <c r="F352" s="41"/>
      <c r="G352" s="41"/>
      <c r="H352" s="12"/>
    </row>
    <row r="353" spans="6:8">
      <c r="F353" s="41"/>
      <c r="G353" s="41"/>
      <c r="H353" s="12"/>
    </row>
    <row r="354" spans="6:8">
      <c r="F354" s="41"/>
      <c r="G354" s="41"/>
      <c r="H354" s="12"/>
    </row>
    <row r="355" spans="6:8">
      <c r="F355" s="41"/>
      <c r="G355" s="41"/>
      <c r="H355" s="12"/>
    </row>
    <row r="356" spans="6:8">
      <c r="F356" s="41"/>
      <c r="G356" s="41"/>
      <c r="H356" s="12"/>
    </row>
    <row r="357" spans="6:8">
      <c r="F357" s="41"/>
      <c r="G357" s="41"/>
      <c r="H357" s="12"/>
    </row>
    <row r="358" spans="6:8">
      <c r="F358" s="41"/>
      <c r="G358" s="41"/>
      <c r="H358" s="12"/>
    </row>
    <row r="359" spans="6:8">
      <c r="F359" s="41"/>
      <c r="G359" s="41"/>
      <c r="H359" s="12"/>
    </row>
    <row r="360" spans="6:8">
      <c r="F360" s="41"/>
      <c r="G360" s="41"/>
      <c r="H360" s="12"/>
    </row>
    <row r="361" spans="6:8">
      <c r="F361" s="41"/>
      <c r="G361" s="41"/>
      <c r="H361" s="12"/>
    </row>
    <row r="362" spans="6:8">
      <c r="F362" s="41"/>
      <c r="G362" s="41"/>
      <c r="H362" s="12"/>
    </row>
    <row r="363" spans="6:8">
      <c r="F363" s="41"/>
      <c r="G363" s="41"/>
      <c r="H363" s="12"/>
    </row>
    <row r="364" spans="6:8">
      <c r="F364" s="41"/>
      <c r="G364" s="41"/>
      <c r="H364" s="12"/>
    </row>
    <row r="365" spans="6:8">
      <c r="F365" s="41"/>
      <c r="G365" s="41"/>
      <c r="H365" s="12"/>
    </row>
    <row r="366" spans="6:8">
      <c r="F366" s="41"/>
      <c r="G366" s="41"/>
      <c r="H366" s="12"/>
    </row>
    <row r="367" spans="6:8">
      <c r="F367" s="41"/>
      <c r="G367" s="41"/>
      <c r="H367" s="12"/>
    </row>
    <row r="368" spans="6:8">
      <c r="F368" s="41"/>
      <c r="G368" s="41"/>
      <c r="H368" s="12"/>
    </row>
    <row r="369" spans="6:8">
      <c r="F369" s="41"/>
      <c r="G369" s="41"/>
      <c r="H369" s="12"/>
    </row>
    <row r="370" spans="6:8">
      <c r="F370" s="41"/>
      <c r="G370" s="41"/>
      <c r="H370" s="12"/>
    </row>
    <row r="371" spans="6:8">
      <c r="F371" s="41"/>
      <c r="G371" s="41"/>
      <c r="H371" s="12"/>
    </row>
    <row r="372" spans="6:8">
      <c r="F372" s="41"/>
      <c r="G372" s="41"/>
      <c r="H372" s="12"/>
    </row>
    <row r="373" spans="6:8">
      <c r="F373" s="41"/>
      <c r="G373" s="41"/>
      <c r="H373" s="12"/>
    </row>
    <row r="374" spans="6:8">
      <c r="F374" s="41"/>
      <c r="G374" s="41"/>
      <c r="H374" s="12"/>
    </row>
    <row r="375" spans="6:8">
      <c r="F375" s="41"/>
      <c r="G375" s="41"/>
      <c r="H375" s="12"/>
    </row>
    <row r="376" spans="6:8">
      <c r="F376" s="41"/>
      <c r="G376" s="41"/>
      <c r="H376" s="12"/>
    </row>
    <row r="377" spans="6:8">
      <c r="F377" s="41"/>
      <c r="G377" s="41"/>
      <c r="H377" s="12"/>
    </row>
    <row r="378" spans="6:8">
      <c r="F378" s="41"/>
      <c r="G378" s="41"/>
      <c r="H378" s="12"/>
    </row>
    <row r="379" spans="6:8">
      <c r="F379" s="41"/>
      <c r="G379" s="41"/>
      <c r="H379" s="12"/>
    </row>
    <row r="380" spans="6:8">
      <c r="F380" s="41"/>
      <c r="G380" s="41"/>
      <c r="H380" s="12"/>
    </row>
    <row r="381" spans="6:8">
      <c r="F381" s="41"/>
      <c r="G381" s="41"/>
      <c r="H381" s="12"/>
    </row>
    <row r="382" spans="6:8">
      <c r="F382" s="41"/>
      <c r="G382" s="41"/>
      <c r="H382" s="12"/>
    </row>
    <row r="383" spans="6:8">
      <c r="F383" s="41"/>
      <c r="G383" s="41"/>
      <c r="H383" s="12"/>
    </row>
    <row r="384" spans="6:8">
      <c r="F384" s="41"/>
      <c r="G384" s="41"/>
      <c r="H384" s="12"/>
    </row>
    <row r="385" spans="6:8">
      <c r="F385" s="41"/>
      <c r="G385" s="41"/>
      <c r="H385" s="12"/>
    </row>
    <row r="386" spans="6:8">
      <c r="F386" s="41"/>
      <c r="G386" s="41"/>
      <c r="H386" s="12"/>
    </row>
    <row r="387" spans="6:8">
      <c r="F387" s="41"/>
      <c r="G387" s="41"/>
      <c r="H387" s="12"/>
    </row>
    <row r="388" spans="6:8">
      <c r="F388" s="41"/>
      <c r="G388" s="41"/>
      <c r="H388" s="12"/>
    </row>
    <row r="389" spans="6:8">
      <c r="F389" s="41"/>
      <c r="G389" s="41"/>
      <c r="H389" s="12"/>
    </row>
    <row r="390" spans="6:8">
      <c r="F390" s="41"/>
      <c r="G390" s="41"/>
      <c r="H390" s="12"/>
    </row>
    <row r="391" spans="6:8">
      <c r="F391" s="41"/>
      <c r="G391" s="41"/>
      <c r="H391" s="12"/>
    </row>
    <row r="392" spans="6:8">
      <c r="F392" s="41"/>
      <c r="G392" s="41"/>
      <c r="H392" s="12"/>
    </row>
    <row r="393" spans="6:8">
      <c r="F393" s="41"/>
      <c r="G393" s="41"/>
      <c r="H393" s="12"/>
    </row>
    <row r="394" spans="6:8">
      <c r="F394" s="41"/>
      <c r="G394" s="41"/>
      <c r="H394" s="12"/>
    </row>
    <row r="395" spans="6:8">
      <c r="F395" s="41"/>
      <c r="G395" s="41"/>
      <c r="H395" s="12"/>
    </row>
    <row r="396" spans="6:8">
      <c r="F396" s="41"/>
      <c r="G396" s="41"/>
      <c r="H396" s="12"/>
    </row>
    <row r="397" spans="6:8">
      <c r="F397" s="41"/>
      <c r="G397" s="41"/>
      <c r="H397" s="12"/>
    </row>
    <row r="398" spans="6:8">
      <c r="F398" s="41"/>
      <c r="G398" s="41"/>
      <c r="H398" s="12"/>
    </row>
    <row r="399" spans="6:8">
      <c r="F399" s="41"/>
      <c r="G399" s="41"/>
      <c r="H399" s="12"/>
    </row>
    <row r="400" spans="6:8">
      <c r="F400" s="41"/>
      <c r="G400" s="41"/>
      <c r="H400" s="12"/>
    </row>
    <row r="401" spans="6:8">
      <c r="F401" s="41"/>
      <c r="G401" s="41"/>
      <c r="H401" s="12"/>
    </row>
    <row r="402" spans="6:8">
      <c r="F402" s="41"/>
      <c r="G402" s="41"/>
      <c r="H402" s="12"/>
    </row>
    <row r="403" spans="6:8">
      <c r="F403" s="41"/>
      <c r="G403" s="41"/>
      <c r="H403" s="12"/>
    </row>
    <row r="404" spans="6:8">
      <c r="F404" s="41"/>
      <c r="G404" s="41"/>
      <c r="H404" s="12"/>
    </row>
    <row r="405" spans="6:8">
      <c r="F405" s="41"/>
      <c r="G405" s="41"/>
      <c r="H405" s="12"/>
    </row>
    <row r="406" spans="6:8">
      <c r="F406" s="41"/>
      <c r="G406" s="41"/>
      <c r="H406" s="12"/>
    </row>
    <row r="407" spans="6:8">
      <c r="F407" s="41"/>
      <c r="G407" s="41"/>
      <c r="H407" s="12"/>
    </row>
    <row r="408" spans="6:8">
      <c r="F408" s="41"/>
      <c r="G408" s="41"/>
      <c r="H408" s="12"/>
    </row>
    <row r="409" spans="6:8">
      <c r="F409" s="41"/>
      <c r="G409" s="41"/>
      <c r="H409" s="12"/>
    </row>
    <row r="410" spans="6:8">
      <c r="F410" s="41"/>
      <c r="G410" s="41"/>
      <c r="H410" s="12"/>
    </row>
    <row r="411" spans="6:8">
      <c r="F411" s="41"/>
      <c r="G411" s="41"/>
      <c r="H411" s="12"/>
    </row>
    <row r="412" spans="6:8">
      <c r="F412" s="41"/>
      <c r="G412" s="41"/>
      <c r="H412" s="12"/>
    </row>
    <row r="413" spans="6:8">
      <c r="F413" s="41"/>
      <c r="G413" s="41"/>
      <c r="H413" s="12"/>
    </row>
    <row r="414" spans="6:8">
      <c r="F414" s="41"/>
      <c r="G414" s="41"/>
      <c r="H414" s="12"/>
    </row>
    <row r="415" spans="6:8">
      <c r="F415" s="41"/>
      <c r="G415" s="41"/>
      <c r="H415" s="12"/>
    </row>
    <row r="416" spans="6:8">
      <c r="F416" s="41"/>
      <c r="G416" s="41"/>
      <c r="H416" s="12"/>
    </row>
    <row r="417" spans="6:8">
      <c r="F417" s="41"/>
      <c r="G417" s="41"/>
      <c r="H417" s="12"/>
    </row>
    <row r="418" spans="6:8">
      <c r="F418" s="41"/>
      <c r="G418" s="41"/>
      <c r="H418" s="12"/>
    </row>
    <row r="419" spans="6:8">
      <c r="F419" s="41"/>
      <c r="G419" s="41"/>
      <c r="H419" s="12"/>
    </row>
    <row r="420" spans="6:8">
      <c r="F420" s="41"/>
      <c r="G420" s="41"/>
      <c r="H420" s="12"/>
    </row>
    <row r="421" spans="6:8">
      <c r="F421" s="41"/>
      <c r="G421" s="41"/>
      <c r="H421" s="12"/>
    </row>
    <row r="422" spans="6:8">
      <c r="F422" s="41"/>
      <c r="G422" s="41"/>
      <c r="H422" s="12"/>
    </row>
    <row r="423" spans="6:8">
      <c r="F423" s="41"/>
      <c r="G423" s="41"/>
      <c r="H423" s="12"/>
    </row>
    <row r="424" spans="6:8">
      <c r="F424" s="41"/>
      <c r="G424" s="41"/>
      <c r="H424" s="12"/>
    </row>
    <row r="425" spans="6:8">
      <c r="F425" s="41"/>
      <c r="G425" s="41"/>
      <c r="H425" s="12"/>
    </row>
    <row r="426" spans="6:8">
      <c r="F426" s="41"/>
      <c r="G426" s="41"/>
      <c r="H426" s="12"/>
    </row>
    <row r="427" spans="6:8">
      <c r="F427" s="41"/>
      <c r="G427" s="41"/>
      <c r="H427" s="12"/>
    </row>
    <row r="428" spans="6:8">
      <c r="F428" s="41"/>
      <c r="G428" s="41"/>
      <c r="H428" s="12"/>
    </row>
    <row r="429" spans="6:8">
      <c r="F429" s="41"/>
      <c r="G429" s="41"/>
      <c r="H429" s="12"/>
    </row>
    <row r="430" spans="6:8">
      <c r="F430" s="41"/>
      <c r="G430" s="41"/>
      <c r="H430" s="12"/>
    </row>
    <row r="431" spans="6:8">
      <c r="F431" s="41"/>
      <c r="G431" s="41"/>
      <c r="H431" s="12"/>
    </row>
    <row r="432" spans="6:8">
      <c r="F432" s="41"/>
      <c r="G432" s="41"/>
      <c r="H432" s="12"/>
    </row>
    <row r="433" spans="6:8">
      <c r="F433" s="41"/>
      <c r="G433" s="41"/>
      <c r="H433" s="12"/>
    </row>
    <row r="434" spans="6:8">
      <c r="F434" s="41"/>
      <c r="G434" s="41"/>
      <c r="H434" s="12"/>
    </row>
    <row r="435" spans="6:8">
      <c r="F435" s="41"/>
      <c r="G435" s="41"/>
      <c r="H435" s="12"/>
    </row>
    <row r="436" spans="6:8">
      <c r="F436" s="41"/>
      <c r="G436" s="41"/>
      <c r="H436" s="12"/>
    </row>
    <row r="437" spans="6:8">
      <c r="F437" s="41"/>
      <c r="G437" s="41"/>
      <c r="H437" s="12"/>
    </row>
    <row r="438" spans="6:8">
      <c r="F438" s="41"/>
      <c r="G438" s="41"/>
      <c r="H438" s="12"/>
    </row>
    <row r="439" spans="6:8">
      <c r="F439" s="41"/>
      <c r="G439" s="41"/>
      <c r="H439" s="12"/>
    </row>
    <row r="440" spans="6:8">
      <c r="F440" s="41"/>
      <c r="G440" s="41"/>
      <c r="H440" s="12"/>
    </row>
    <row r="441" spans="6:8">
      <c r="F441" s="41"/>
      <c r="G441" s="41"/>
      <c r="H441" s="12"/>
    </row>
    <row r="442" spans="6:8">
      <c r="F442" s="41"/>
      <c r="G442" s="41"/>
      <c r="H442" s="12"/>
    </row>
    <row r="443" spans="6:8">
      <c r="F443" s="41"/>
      <c r="G443" s="41"/>
      <c r="H443" s="12"/>
    </row>
    <row r="444" spans="6:8">
      <c r="F444" s="41"/>
      <c r="G444" s="41"/>
      <c r="H444" s="12"/>
    </row>
    <row r="445" spans="6:8">
      <c r="F445" s="41"/>
      <c r="G445" s="41"/>
      <c r="H445" s="12"/>
    </row>
    <row r="446" spans="6:8">
      <c r="F446" s="41"/>
      <c r="G446" s="41"/>
      <c r="H446" s="12"/>
    </row>
    <row r="447" spans="6:8">
      <c r="F447" s="41"/>
      <c r="G447" s="41"/>
      <c r="H447" s="12"/>
    </row>
    <row r="448" spans="6:8">
      <c r="F448" s="41"/>
      <c r="G448" s="41"/>
      <c r="H448" s="12"/>
    </row>
    <row r="449" spans="6:8">
      <c r="F449" s="41"/>
      <c r="G449" s="41"/>
      <c r="H449" s="12"/>
    </row>
    <row r="450" spans="6:8">
      <c r="F450" s="41"/>
      <c r="G450" s="41"/>
      <c r="H450" s="12"/>
    </row>
    <row r="451" spans="6:8">
      <c r="F451" s="41"/>
      <c r="G451" s="41"/>
      <c r="H451" s="12"/>
    </row>
    <row r="452" spans="6:8">
      <c r="F452" s="41"/>
      <c r="G452" s="41"/>
      <c r="H452" s="12"/>
    </row>
    <row r="453" spans="6:8">
      <c r="F453" s="41"/>
      <c r="G453" s="41"/>
      <c r="H453" s="12"/>
    </row>
    <row r="454" spans="6:8">
      <c r="F454" s="41"/>
      <c r="G454" s="41"/>
      <c r="H454" s="12"/>
    </row>
    <row r="455" spans="6:8">
      <c r="F455" s="41"/>
      <c r="G455" s="41"/>
      <c r="H455" s="12"/>
    </row>
    <row r="456" spans="6:8">
      <c r="F456" s="41"/>
      <c r="G456" s="41"/>
      <c r="H456" s="12"/>
    </row>
    <row r="457" spans="6:8">
      <c r="F457" s="41"/>
      <c r="G457" s="41"/>
      <c r="H457" s="12"/>
    </row>
    <row r="458" spans="6:8">
      <c r="F458" s="41"/>
      <c r="G458" s="41"/>
      <c r="H458" s="12"/>
    </row>
    <row r="459" spans="6:8">
      <c r="F459" s="41"/>
      <c r="G459" s="41"/>
      <c r="H459" s="12"/>
    </row>
    <row r="460" spans="6:8">
      <c r="F460" s="41"/>
      <c r="G460" s="41"/>
      <c r="H460" s="12"/>
    </row>
    <row r="461" spans="6:8">
      <c r="F461" s="41"/>
      <c r="G461" s="41"/>
      <c r="H461" s="12"/>
    </row>
    <row r="462" spans="6:8">
      <c r="F462" s="41"/>
      <c r="G462" s="41"/>
      <c r="H462" s="12"/>
    </row>
    <row r="463" spans="6:8">
      <c r="F463" s="41"/>
      <c r="G463" s="41"/>
      <c r="H463" s="12"/>
    </row>
    <row r="464" spans="6:8">
      <c r="F464" s="41"/>
      <c r="G464" s="41"/>
      <c r="H464" s="12"/>
    </row>
    <row r="465" spans="6:8">
      <c r="F465" s="41"/>
      <c r="G465" s="41"/>
      <c r="H465" s="12"/>
    </row>
    <row r="466" spans="6:8">
      <c r="F466" s="41"/>
      <c r="G466" s="41"/>
      <c r="H466" s="12"/>
    </row>
    <row r="467" spans="6:8">
      <c r="F467" s="41"/>
      <c r="G467" s="41"/>
      <c r="H467" s="12"/>
    </row>
    <row r="468" spans="6:8">
      <c r="F468" s="41"/>
      <c r="G468" s="41"/>
      <c r="H468" s="12"/>
    </row>
    <row r="469" spans="6:8">
      <c r="F469" s="41"/>
      <c r="G469" s="41"/>
      <c r="H469" s="12"/>
    </row>
    <row r="470" spans="6:8">
      <c r="F470" s="41"/>
      <c r="G470" s="41"/>
      <c r="H470" s="12"/>
    </row>
    <row r="471" spans="6:8">
      <c r="F471" s="41"/>
      <c r="G471" s="41"/>
      <c r="H471" s="12"/>
    </row>
    <row r="472" spans="6:8">
      <c r="F472" s="41"/>
      <c r="G472" s="41"/>
      <c r="H472" s="12"/>
    </row>
    <row r="473" spans="6:8">
      <c r="F473" s="41"/>
      <c r="G473" s="41"/>
      <c r="H473" s="12"/>
    </row>
    <row r="474" spans="6:8">
      <c r="F474" s="41"/>
      <c r="G474" s="41"/>
      <c r="H474" s="12"/>
    </row>
    <row r="475" spans="6:8">
      <c r="F475" s="41"/>
      <c r="G475" s="41"/>
      <c r="H475" s="12"/>
    </row>
    <row r="476" spans="6:8">
      <c r="F476" s="41"/>
      <c r="G476" s="41"/>
      <c r="H476" s="12"/>
    </row>
    <row r="477" spans="6:8">
      <c r="F477" s="41"/>
      <c r="G477" s="41"/>
      <c r="H477" s="12"/>
    </row>
    <row r="478" spans="6:8">
      <c r="F478" s="41"/>
      <c r="G478" s="41"/>
      <c r="H478" s="12"/>
    </row>
    <row r="479" spans="6:8">
      <c r="F479" s="41"/>
      <c r="G479" s="41"/>
      <c r="H479" s="12"/>
    </row>
    <row r="480" spans="6:8">
      <c r="F480" s="41"/>
      <c r="G480" s="41"/>
      <c r="H480" s="12"/>
    </row>
    <row r="481" spans="6:8">
      <c r="F481" s="41"/>
      <c r="G481" s="41"/>
      <c r="H481" s="12"/>
    </row>
    <row r="482" spans="6:8">
      <c r="F482" s="41"/>
      <c r="G482" s="41"/>
      <c r="H482" s="12"/>
    </row>
    <row r="483" spans="6:8">
      <c r="F483" s="41"/>
      <c r="G483" s="41"/>
      <c r="H483" s="12"/>
    </row>
    <row r="484" spans="6:8">
      <c r="F484" s="41"/>
      <c r="G484" s="41"/>
      <c r="H484" s="12"/>
    </row>
    <row r="485" spans="6:8">
      <c r="F485" s="41"/>
      <c r="G485" s="41"/>
      <c r="H485" s="12"/>
    </row>
    <row r="486" spans="6:8">
      <c r="F486" s="41"/>
      <c r="G486" s="41"/>
      <c r="H486" s="12"/>
    </row>
    <row r="487" spans="6:8">
      <c r="F487" s="41"/>
      <c r="G487" s="41"/>
      <c r="H487" s="12"/>
    </row>
    <row r="488" spans="6:8">
      <c r="F488" s="41"/>
      <c r="G488" s="41"/>
      <c r="H488" s="12"/>
    </row>
    <row r="489" spans="6:8">
      <c r="F489" s="41"/>
      <c r="G489" s="41"/>
      <c r="H489" s="12"/>
    </row>
    <row r="490" spans="6:8">
      <c r="F490" s="41"/>
      <c r="G490" s="41"/>
      <c r="H490" s="12"/>
    </row>
    <row r="491" spans="6:8">
      <c r="F491" s="41"/>
      <c r="G491" s="41"/>
      <c r="H491" s="12"/>
    </row>
    <row r="492" spans="6:8">
      <c r="F492" s="41"/>
      <c r="G492" s="41"/>
      <c r="H492" s="12"/>
    </row>
    <row r="493" spans="6:8">
      <c r="F493" s="41"/>
      <c r="G493" s="41"/>
      <c r="H493" s="12"/>
    </row>
    <row r="494" spans="6:8">
      <c r="F494" s="41"/>
      <c r="G494" s="41"/>
      <c r="H494" s="12"/>
    </row>
    <row r="495" spans="6:8">
      <c r="F495" s="41"/>
      <c r="G495" s="41"/>
      <c r="H495" s="12"/>
    </row>
    <row r="496" spans="6:8">
      <c r="F496" s="41"/>
      <c r="G496" s="41"/>
      <c r="H496" s="12"/>
    </row>
    <row r="497" spans="6:8">
      <c r="F497" s="41"/>
      <c r="G497" s="41"/>
      <c r="H497" s="12"/>
    </row>
    <row r="498" spans="6:8">
      <c r="F498" s="41"/>
      <c r="G498" s="41"/>
      <c r="H498" s="12"/>
    </row>
    <row r="499" spans="6:8">
      <c r="F499" s="41"/>
      <c r="G499" s="41"/>
      <c r="H499" s="12"/>
    </row>
    <row r="500" spans="6:8">
      <c r="F500" s="41"/>
      <c r="G500" s="41"/>
      <c r="H500" s="12"/>
    </row>
    <row r="501" spans="6:8">
      <c r="F501" s="41"/>
      <c r="G501" s="41"/>
      <c r="H501" s="12"/>
    </row>
    <row r="502" spans="6:8">
      <c r="F502" s="41"/>
      <c r="G502" s="41"/>
      <c r="H502" s="12"/>
    </row>
    <row r="503" spans="6:8">
      <c r="F503" s="41"/>
      <c r="G503" s="41"/>
      <c r="H503" s="12"/>
    </row>
    <row r="504" spans="6:8">
      <c r="F504" s="41"/>
      <c r="G504" s="41"/>
      <c r="H504" s="12"/>
    </row>
    <row r="505" spans="6:8">
      <c r="F505" s="41"/>
      <c r="G505" s="41"/>
      <c r="H505" s="12"/>
    </row>
    <row r="506" spans="6:8">
      <c r="F506" s="41"/>
      <c r="G506" s="41"/>
      <c r="H506" s="12"/>
    </row>
    <row r="507" spans="6:8">
      <c r="F507" s="41"/>
      <c r="G507" s="41"/>
      <c r="H507" s="12"/>
    </row>
    <row r="508" spans="6:8">
      <c r="F508" s="41"/>
      <c r="G508" s="41"/>
      <c r="H508" s="12"/>
    </row>
    <row r="509" spans="6:8">
      <c r="F509" s="41"/>
      <c r="G509" s="41"/>
      <c r="H509" s="12"/>
    </row>
    <row r="510" spans="6:8">
      <c r="F510" s="41"/>
      <c r="G510" s="41"/>
      <c r="H510" s="12"/>
    </row>
    <row r="511" spans="6:8">
      <c r="F511" s="41"/>
      <c r="G511" s="41"/>
      <c r="H511" s="12"/>
    </row>
    <row r="512" spans="6:8">
      <c r="F512" s="41"/>
      <c r="G512" s="41"/>
      <c r="H512" s="12"/>
    </row>
    <row r="513" spans="6:8">
      <c r="F513" s="41"/>
      <c r="G513" s="41"/>
      <c r="H513" s="12"/>
    </row>
    <row r="514" spans="6:8">
      <c r="F514" s="41"/>
      <c r="G514" s="41"/>
      <c r="H514" s="12"/>
    </row>
    <row r="515" spans="6:8">
      <c r="F515" s="41"/>
      <c r="G515" s="41"/>
      <c r="H515" s="12"/>
    </row>
    <row r="516" spans="6:8">
      <c r="F516" s="41"/>
      <c r="G516" s="41"/>
      <c r="H516" s="12"/>
    </row>
    <row r="517" spans="6:8">
      <c r="F517" s="41"/>
      <c r="G517" s="41"/>
      <c r="H517" s="12"/>
    </row>
    <row r="518" spans="6:8">
      <c r="F518" s="41"/>
      <c r="G518" s="41"/>
      <c r="H518" s="12"/>
    </row>
    <row r="519" spans="6:8">
      <c r="F519" s="41"/>
      <c r="G519" s="41"/>
      <c r="H519" s="12"/>
    </row>
    <row r="520" spans="6:8">
      <c r="F520" s="41"/>
      <c r="G520" s="41"/>
      <c r="H520" s="12"/>
    </row>
    <row r="521" spans="6:8">
      <c r="F521" s="41"/>
      <c r="G521" s="41"/>
      <c r="H521" s="12"/>
    </row>
    <row r="522" spans="6:8">
      <c r="F522" s="41"/>
      <c r="G522" s="41"/>
      <c r="H522" s="12"/>
    </row>
    <row r="523" spans="6:8">
      <c r="F523" s="41"/>
      <c r="G523" s="41"/>
      <c r="H523" s="12"/>
    </row>
    <row r="524" spans="6:8">
      <c r="F524" s="41"/>
      <c r="G524" s="41"/>
      <c r="H524" s="12"/>
    </row>
    <row r="525" spans="6:8">
      <c r="F525" s="41"/>
      <c r="G525" s="41"/>
      <c r="H525" s="12"/>
    </row>
    <row r="526" spans="6:8">
      <c r="F526" s="41"/>
      <c r="G526" s="41"/>
      <c r="H526" s="12"/>
    </row>
    <row r="527" spans="6:8">
      <c r="F527" s="41"/>
      <c r="G527" s="41"/>
      <c r="H527" s="12"/>
    </row>
    <row r="528" spans="6:8">
      <c r="F528" s="41"/>
      <c r="G528" s="41"/>
      <c r="H528" s="12"/>
    </row>
    <row r="529" spans="6:8">
      <c r="F529" s="41"/>
      <c r="G529" s="41"/>
      <c r="H529" s="12"/>
    </row>
    <row r="530" spans="6:8">
      <c r="F530" s="41"/>
      <c r="G530" s="41"/>
      <c r="H530" s="12"/>
    </row>
    <row r="531" spans="6:8">
      <c r="F531" s="41"/>
      <c r="G531" s="41"/>
      <c r="H531" s="12"/>
    </row>
    <row r="532" spans="6:8">
      <c r="F532" s="41"/>
      <c r="G532" s="41"/>
      <c r="H532" s="12"/>
    </row>
    <row r="533" spans="6:8">
      <c r="F533" s="41"/>
      <c r="G533" s="41"/>
      <c r="H533" s="12"/>
    </row>
    <row r="534" spans="6:8">
      <c r="F534" s="41"/>
      <c r="G534" s="41"/>
      <c r="H534" s="12"/>
    </row>
    <row r="535" spans="6:8">
      <c r="F535" s="41"/>
      <c r="G535" s="41"/>
      <c r="H535" s="12"/>
    </row>
    <row r="536" spans="6:8">
      <c r="F536" s="41"/>
      <c r="G536" s="41"/>
      <c r="H536" s="12"/>
    </row>
    <row r="537" spans="6:8">
      <c r="F537" s="41"/>
      <c r="G537" s="41"/>
      <c r="H537" s="12"/>
    </row>
    <row r="538" spans="6:8">
      <c r="F538" s="41"/>
      <c r="G538" s="41"/>
      <c r="H538" s="12"/>
    </row>
    <row r="539" spans="6:8">
      <c r="F539" s="41"/>
      <c r="G539" s="41"/>
      <c r="H539" s="12"/>
    </row>
    <row r="540" spans="6:8">
      <c r="F540" s="41"/>
      <c r="G540" s="41"/>
      <c r="H540" s="12"/>
    </row>
    <row r="541" spans="6:8">
      <c r="F541" s="41"/>
      <c r="G541" s="41"/>
      <c r="H541" s="12"/>
    </row>
    <row r="542" spans="6:8">
      <c r="F542" s="41"/>
      <c r="G542" s="41"/>
      <c r="H542" s="12"/>
    </row>
    <row r="543" spans="6:8">
      <c r="F543" s="41"/>
      <c r="G543" s="41"/>
      <c r="H543" s="12"/>
    </row>
    <row r="544" spans="6:8">
      <c r="F544" s="41"/>
      <c r="G544" s="41"/>
      <c r="H544" s="12"/>
    </row>
    <row r="545" spans="6:8">
      <c r="F545" s="41"/>
      <c r="G545" s="41"/>
      <c r="H545" s="12"/>
    </row>
    <row r="546" spans="6:8">
      <c r="F546" s="41"/>
      <c r="G546" s="41"/>
      <c r="H546" s="12"/>
    </row>
    <row r="547" spans="6:8">
      <c r="F547" s="41"/>
      <c r="G547" s="41"/>
      <c r="H547" s="12"/>
    </row>
    <row r="548" spans="6:8">
      <c r="F548" s="41"/>
      <c r="G548" s="41"/>
      <c r="H548" s="12"/>
    </row>
    <row r="549" spans="6:8">
      <c r="F549" s="41"/>
      <c r="G549" s="41"/>
      <c r="H549" s="12"/>
    </row>
    <row r="550" spans="6:8">
      <c r="F550" s="41"/>
      <c r="G550" s="41"/>
      <c r="H550" s="12"/>
    </row>
    <row r="551" spans="6:8">
      <c r="F551" s="41"/>
      <c r="G551" s="41"/>
      <c r="H551" s="12"/>
    </row>
    <row r="552" spans="6:8">
      <c r="F552" s="41"/>
      <c r="G552" s="41"/>
      <c r="H552" s="12"/>
    </row>
    <row r="553" spans="6:8">
      <c r="F553" s="41"/>
      <c r="G553" s="41"/>
      <c r="H553" s="12"/>
    </row>
    <row r="554" spans="6:8">
      <c r="F554" s="41"/>
      <c r="G554" s="41"/>
      <c r="H554" s="12"/>
    </row>
    <row r="555" spans="6:8">
      <c r="F555" s="41"/>
      <c r="G555" s="41"/>
      <c r="H555" s="12"/>
    </row>
    <row r="556" spans="6:8">
      <c r="F556" s="41"/>
      <c r="G556" s="41"/>
      <c r="H556" s="12"/>
    </row>
    <row r="557" spans="6:8">
      <c r="F557" s="41"/>
      <c r="G557" s="41"/>
      <c r="H557" s="12"/>
    </row>
    <row r="558" spans="6:8">
      <c r="F558" s="41"/>
      <c r="G558" s="41"/>
      <c r="H558" s="12"/>
    </row>
    <row r="559" spans="6:8">
      <c r="F559" s="41"/>
      <c r="G559" s="41"/>
      <c r="H559" s="12"/>
    </row>
    <row r="560" spans="6:8">
      <c r="F560" s="41"/>
      <c r="G560" s="41"/>
      <c r="H560" s="12"/>
    </row>
    <row r="561" spans="6:8">
      <c r="F561" s="41"/>
      <c r="G561" s="41"/>
      <c r="H561" s="12"/>
    </row>
    <row r="562" spans="6:8">
      <c r="F562" s="41"/>
      <c r="G562" s="41"/>
      <c r="H562" s="12"/>
    </row>
    <row r="563" spans="6:8">
      <c r="F563" s="41"/>
      <c r="G563" s="41"/>
      <c r="H563" s="12"/>
    </row>
    <row r="564" spans="6:8">
      <c r="F564" s="41"/>
      <c r="G564" s="41"/>
      <c r="H564" s="12"/>
    </row>
    <row r="565" spans="6:8">
      <c r="F565" s="41"/>
      <c r="G565" s="41"/>
      <c r="H565" s="12"/>
    </row>
    <row r="566" spans="6:8">
      <c r="F566" s="41"/>
      <c r="G566" s="41"/>
      <c r="H566" s="12"/>
    </row>
    <row r="567" spans="6:8">
      <c r="F567" s="41"/>
      <c r="G567" s="41"/>
      <c r="H567" s="12"/>
    </row>
    <row r="568" spans="6:8">
      <c r="F568" s="41"/>
      <c r="G568" s="41"/>
      <c r="H568" s="12"/>
    </row>
    <row r="569" spans="6:8">
      <c r="F569" s="41"/>
      <c r="G569" s="41"/>
      <c r="H569" s="12"/>
    </row>
    <row r="570" spans="6:8">
      <c r="F570" s="41"/>
      <c r="G570" s="41"/>
      <c r="H570" s="12"/>
    </row>
    <row r="571" spans="6:8">
      <c r="F571" s="41"/>
      <c r="G571" s="41"/>
      <c r="H571" s="12"/>
    </row>
    <row r="572" spans="6:8">
      <c r="F572" s="41"/>
      <c r="G572" s="41"/>
      <c r="H572" s="12"/>
    </row>
    <row r="573" spans="6:8">
      <c r="F573" s="41"/>
      <c r="G573" s="41"/>
      <c r="H573" s="12"/>
    </row>
    <row r="574" spans="6:8">
      <c r="F574" s="41"/>
      <c r="G574" s="41"/>
      <c r="H574" s="12"/>
    </row>
    <row r="575" spans="6:8">
      <c r="F575" s="41"/>
      <c r="G575" s="41"/>
      <c r="H575" s="12"/>
    </row>
    <row r="576" spans="6:8">
      <c r="F576" s="41"/>
      <c r="G576" s="41"/>
      <c r="H576" s="12"/>
    </row>
    <row r="577" spans="6:8">
      <c r="F577" s="41"/>
      <c r="G577" s="41"/>
      <c r="H577" s="12"/>
    </row>
    <row r="578" spans="6:8">
      <c r="F578" s="41"/>
      <c r="G578" s="41"/>
      <c r="H578" s="12"/>
    </row>
    <row r="579" spans="6:8">
      <c r="F579" s="41"/>
      <c r="G579" s="41"/>
      <c r="H579" s="12"/>
    </row>
    <row r="580" spans="6:8">
      <c r="F580" s="41"/>
      <c r="G580" s="41"/>
      <c r="H580" s="12"/>
    </row>
    <row r="581" spans="6:8">
      <c r="F581" s="41"/>
      <c r="G581" s="41"/>
      <c r="H581" s="12"/>
    </row>
    <row r="582" spans="6:8">
      <c r="F582" s="41"/>
      <c r="G582" s="41"/>
      <c r="H582" s="12"/>
    </row>
    <row r="583" spans="6:8">
      <c r="F583" s="41"/>
      <c r="G583" s="41"/>
      <c r="H583" s="12"/>
    </row>
    <row r="584" spans="6:8">
      <c r="F584" s="41"/>
      <c r="G584" s="41"/>
      <c r="H584" s="12"/>
    </row>
    <row r="585" spans="6:8">
      <c r="F585" s="41"/>
      <c r="G585" s="41"/>
      <c r="H585" s="12"/>
    </row>
    <row r="586" spans="6:8">
      <c r="F586" s="41"/>
      <c r="G586" s="41"/>
      <c r="H586" s="12"/>
    </row>
    <row r="587" spans="6:8">
      <c r="F587" s="41"/>
      <c r="G587" s="41"/>
      <c r="H587" s="12"/>
    </row>
    <row r="588" spans="6:8">
      <c r="F588" s="41"/>
      <c r="G588" s="41"/>
      <c r="H588" s="12"/>
    </row>
    <row r="589" spans="6:8">
      <c r="F589" s="41"/>
      <c r="G589" s="41"/>
      <c r="H589" s="12"/>
    </row>
    <row r="590" spans="6:8">
      <c r="F590" s="41"/>
      <c r="G590" s="41"/>
      <c r="H590" s="12"/>
    </row>
    <row r="591" spans="6:8">
      <c r="F591" s="41"/>
      <c r="G591" s="41"/>
      <c r="H591" s="12"/>
    </row>
    <row r="592" spans="6:8">
      <c r="F592" s="41"/>
      <c r="G592" s="41"/>
      <c r="H592" s="12"/>
    </row>
    <row r="593" spans="6:8">
      <c r="F593" s="41"/>
      <c r="G593" s="41"/>
      <c r="H593" s="12"/>
    </row>
    <row r="594" spans="6:8">
      <c r="F594" s="41"/>
      <c r="G594" s="41"/>
      <c r="H594" s="12"/>
    </row>
    <row r="595" spans="6:8">
      <c r="F595" s="41"/>
      <c r="G595" s="41"/>
      <c r="H595" s="12"/>
    </row>
    <row r="596" spans="6:8">
      <c r="F596" s="41"/>
      <c r="G596" s="41"/>
      <c r="H596" s="12"/>
    </row>
    <row r="597" spans="6:8">
      <c r="F597" s="41"/>
      <c r="G597" s="41"/>
      <c r="H597" s="12"/>
    </row>
    <row r="598" spans="6:8">
      <c r="F598" s="41"/>
      <c r="G598" s="41"/>
      <c r="H598" s="12"/>
    </row>
    <row r="599" spans="6:8">
      <c r="F599" s="41"/>
      <c r="G599" s="41"/>
      <c r="H599" s="12"/>
    </row>
    <row r="600" spans="6:8">
      <c r="F600" s="41"/>
      <c r="G600" s="41"/>
      <c r="H600" s="12"/>
    </row>
    <row r="601" spans="6:8">
      <c r="F601" s="41"/>
      <c r="G601" s="41"/>
      <c r="H601" s="12"/>
    </row>
    <row r="602" spans="6:8">
      <c r="F602" s="41"/>
      <c r="G602" s="41"/>
      <c r="H602" s="12"/>
    </row>
    <row r="603" spans="6:8">
      <c r="F603" s="41"/>
      <c r="G603" s="41"/>
      <c r="H603" s="12"/>
    </row>
    <row r="604" spans="6:8">
      <c r="F604" s="41"/>
      <c r="G604" s="41"/>
      <c r="H604" s="12"/>
    </row>
    <row r="605" spans="6:8">
      <c r="F605" s="41"/>
      <c r="G605" s="41"/>
      <c r="H605" s="12"/>
    </row>
    <row r="606" spans="6:8">
      <c r="F606" s="41"/>
      <c r="G606" s="41"/>
      <c r="H606" s="12"/>
    </row>
    <row r="607" spans="6:8">
      <c r="F607" s="41"/>
      <c r="G607" s="41"/>
      <c r="H607" s="12"/>
    </row>
    <row r="608" spans="6:8">
      <c r="F608" s="41"/>
      <c r="G608" s="41"/>
      <c r="H608" s="12"/>
    </row>
    <row r="609" spans="6:8">
      <c r="F609" s="41"/>
      <c r="G609" s="41"/>
      <c r="H609" s="12"/>
    </row>
    <row r="610" spans="6:8">
      <c r="F610" s="41"/>
      <c r="G610" s="41"/>
      <c r="H610" s="12"/>
    </row>
    <row r="611" spans="6:8">
      <c r="F611" s="41"/>
      <c r="G611" s="41"/>
      <c r="H611" s="12"/>
    </row>
    <row r="612" spans="6:8">
      <c r="F612" s="41"/>
      <c r="G612" s="41"/>
      <c r="H612" s="12"/>
    </row>
    <row r="613" spans="6:8">
      <c r="F613" s="41"/>
      <c r="G613" s="41"/>
      <c r="H613" s="12"/>
    </row>
    <row r="614" spans="6:8">
      <c r="F614" s="41"/>
      <c r="G614" s="41"/>
      <c r="H614" s="12"/>
    </row>
    <row r="615" spans="6:8">
      <c r="F615" s="41"/>
      <c r="G615" s="41"/>
      <c r="H615" s="12"/>
    </row>
    <row r="616" spans="6:8">
      <c r="F616" s="41"/>
      <c r="G616" s="41"/>
      <c r="H616" s="12"/>
    </row>
    <row r="617" spans="6:8">
      <c r="F617" s="41"/>
      <c r="G617" s="41"/>
      <c r="H617" s="12"/>
    </row>
    <row r="618" spans="6:8">
      <c r="F618" s="41"/>
      <c r="G618" s="41"/>
      <c r="H618" s="12"/>
    </row>
    <row r="619" spans="6:8">
      <c r="F619" s="41"/>
      <c r="G619" s="41"/>
      <c r="H619" s="12"/>
    </row>
    <row r="620" spans="6:8">
      <c r="F620" s="41"/>
      <c r="G620" s="41"/>
      <c r="H620" s="12"/>
    </row>
    <row r="621" spans="6:8">
      <c r="F621" s="41"/>
      <c r="G621" s="41"/>
      <c r="H621" s="12"/>
    </row>
    <row r="622" spans="6:8">
      <c r="F622" s="41"/>
      <c r="G622" s="41"/>
      <c r="H622" s="12"/>
    </row>
    <row r="623" spans="6:8">
      <c r="F623" s="41"/>
      <c r="G623" s="41"/>
      <c r="H623" s="12"/>
    </row>
    <row r="624" spans="6:8">
      <c r="F624" s="41"/>
      <c r="G624" s="41"/>
      <c r="H624" s="12"/>
    </row>
    <row r="625" spans="6:8">
      <c r="F625" s="41"/>
      <c r="G625" s="41"/>
      <c r="H625" s="12"/>
    </row>
    <row r="626" spans="6:8">
      <c r="F626" s="41"/>
      <c r="G626" s="41"/>
      <c r="H626" s="12"/>
    </row>
    <row r="627" spans="6:8">
      <c r="F627" s="41"/>
      <c r="G627" s="41"/>
      <c r="H627" s="12"/>
    </row>
    <row r="628" spans="6:8">
      <c r="F628" s="41"/>
      <c r="G628" s="41"/>
      <c r="H628" s="12"/>
    </row>
    <row r="629" spans="6:8">
      <c r="F629" s="41"/>
      <c r="G629" s="41"/>
      <c r="H629" s="12"/>
    </row>
    <row r="630" spans="6:8">
      <c r="F630" s="41"/>
      <c r="G630" s="41"/>
      <c r="H630" s="12"/>
    </row>
    <row r="631" spans="6:8">
      <c r="F631" s="41"/>
      <c r="G631" s="41"/>
      <c r="H631" s="12"/>
    </row>
    <row r="632" spans="6:8">
      <c r="F632" s="41"/>
      <c r="G632" s="41"/>
      <c r="H632" s="12"/>
    </row>
    <row r="633" spans="6:8">
      <c r="F633" s="41"/>
      <c r="G633" s="41"/>
      <c r="H633" s="12"/>
    </row>
    <row r="634" spans="6:8">
      <c r="F634" s="41"/>
      <c r="G634" s="41"/>
      <c r="H634" s="12"/>
    </row>
    <row r="635" spans="6:8">
      <c r="F635" s="41"/>
      <c r="G635" s="41"/>
      <c r="H635" s="12"/>
    </row>
    <row r="636" spans="6:8">
      <c r="F636" s="41"/>
      <c r="G636" s="41"/>
      <c r="H636" s="12"/>
    </row>
    <row r="637" spans="6:8">
      <c r="F637" s="41"/>
      <c r="G637" s="41"/>
      <c r="H637" s="12"/>
    </row>
    <row r="638" spans="6:8">
      <c r="F638" s="41"/>
      <c r="G638" s="41"/>
      <c r="H638" s="12"/>
    </row>
    <row r="639" spans="6:8">
      <c r="F639" s="41"/>
      <c r="G639" s="41"/>
      <c r="H639" s="12"/>
    </row>
    <row r="640" spans="6:8">
      <c r="F640" s="41"/>
      <c r="G640" s="41"/>
      <c r="H640" s="12"/>
    </row>
    <row r="641" spans="6:8">
      <c r="F641" s="41"/>
      <c r="G641" s="41"/>
      <c r="H641" s="12"/>
    </row>
    <row r="642" spans="6:8">
      <c r="F642" s="41"/>
      <c r="G642" s="41"/>
      <c r="H642" s="12"/>
    </row>
    <row r="643" spans="6:8">
      <c r="F643" s="41"/>
      <c r="G643" s="41"/>
      <c r="H643" s="12"/>
    </row>
    <row r="644" spans="6:8">
      <c r="F644" s="41"/>
      <c r="G644" s="41"/>
      <c r="H644" s="12"/>
    </row>
    <row r="645" spans="6:8">
      <c r="F645" s="41"/>
      <c r="G645" s="41"/>
      <c r="H645" s="12"/>
    </row>
    <row r="646" spans="6:8">
      <c r="F646" s="41"/>
      <c r="G646" s="41"/>
      <c r="H646" s="12"/>
    </row>
    <row r="647" spans="6:8">
      <c r="F647" s="41"/>
      <c r="G647" s="41"/>
      <c r="H647" s="12"/>
    </row>
    <row r="648" spans="6:8">
      <c r="F648" s="41"/>
      <c r="G648" s="41"/>
      <c r="H648" s="12"/>
    </row>
    <row r="649" spans="6:8">
      <c r="F649" s="41"/>
      <c r="G649" s="41"/>
      <c r="H649" s="12"/>
    </row>
    <row r="650" spans="6:8">
      <c r="F650" s="41"/>
      <c r="G650" s="41"/>
      <c r="H650" s="12"/>
    </row>
    <row r="651" spans="6:8">
      <c r="F651" s="41"/>
      <c r="G651" s="41"/>
      <c r="H651" s="12"/>
    </row>
    <row r="652" spans="6:8">
      <c r="F652" s="41"/>
      <c r="G652" s="41"/>
      <c r="H652" s="12"/>
    </row>
    <row r="653" spans="6:8">
      <c r="F653" s="41"/>
      <c r="G653" s="41"/>
      <c r="H653" s="12"/>
    </row>
    <row r="654" spans="6:8">
      <c r="F654" s="41"/>
      <c r="G654" s="41"/>
      <c r="H654" s="12"/>
    </row>
    <row r="655" spans="6:8">
      <c r="F655" s="41"/>
      <c r="G655" s="41"/>
      <c r="H655" s="12"/>
    </row>
    <row r="656" spans="6:8">
      <c r="F656" s="41"/>
      <c r="G656" s="41"/>
      <c r="H656" s="12"/>
    </row>
    <row r="657" spans="6:8">
      <c r="F657" s="41"/>
      <c r="G657" s="41"/>
      <c r="H657" s="12"/>
    </row>
    <row r="658" spans="6:8">
      <c r="F658" s="41"/>
      <c r="G658" s="41"/>
      <c r="H658" s="12"/>
    </row>
    <row r="659" spans="6:8">
      <c r="F659" s="41"/>
      <c r="G659" s="41"/>
      <c r="H659" s="12"/>
    </row>
    <row r="660" spans="6:8">
      <c r="F660" s="41"/>
      <c r="G660" s="41"/>
      <c r="H660" s="12"/>
    </row>
    <row r="661" spans="6:8">
      <c r="F661" s="41"/>
      <c r="G661" s="41"/>
      <c r="H661" s="12"/>
    </row>
    <row r="662" spans="6:8">
      <c r="F662" s="41"/>
      <c r="G662" s="41"/>
      <c r="H662" s="12"/>
    </row>
    <row r="663" spans="6:8">
      <c r="F663" s="41"/>
      <c r="G663" s="41"/>
      <c r="H663" s="12"/>
    </row>
    <row r="664" spans="6:8">
      <c r="F664" s="41"/>
      <c r="G664" s="41"/>
      <c r="H664" s="12"/>
    </row>
    <row r="665" spans="6:8">
      <c r="F665" s="41"/>
      <c r="G665" s="41"/>
      <c r="H665" s="12"/>
    </row>
    <row r="666" spans="6:8">
      <c r="F666" s="41"/>
      <c r="G666" s="41"/>
      <c r="H666" s="12"/>
    </row>
    <row r="667" spans="6:8">
      <c r="F667" s="41"/>
      <c r="G667" s="41"/>
      <c r="H667" s="12"/>
    </row>
    <row r="668" spans="6:8">
      <c r="F668" s="41"/>
      <c r="G668" s="41"/>
      <c r="H668" s="12"/>
    </row>
    <row r="669" spans="6:8">
      <c r="F669" s="41"/>
      <c r="G669" s="41"/>
      <c r="H669" s="12"/>
    </row>
    <row r="670" spans="6:8">
      <c r="F670" s="41"/>
      <c r="G670" s="41"/>
      <c r="H670" s="12"/>
    </row>
    <row r="671" spans="6:8">
      <c r="F671" s="41"/>
      <c r="G671" s="41"/>
      <c r="H671" s="12"/>
    </row>
    <row r="672" spans="6:8">
      <c r="F672" s="41"/>
      <c r="G672" s="41"/>
      <c r="H672" s="12"/>
    </row>
    <row r="673" spans="6:8">
      <c r="F673" s="41"/>
      <c r="G673" s="41"/>
      <c r="H673" s="12"/>
    </row>
    <row r="674" spans="6:8">
      <c r="F674" s="41"/>
      <c r="G674" s="41"/>
      <c r="H674" s="12"/>
    </row>
    <row r="675" spans="6:8">
      <c r="F675" s="41"/>
      <c r="G675" s="41"/>
      <c r="H675" s="12"/>
    </row>
    <row r="676" spans="6:8">
      <c r="F676" s="41"/>
      <c r="G676" s="41"/>
      <c r="H676" s="12"/>
    </row>
    <row r="677" spans="6:8">
      <c r="F677" s="41"/>
      <c r="G677" s="41"/>
      <c r="H677" s="12"/>
    </row>
    <row r="678" spans="6:8">
      <c r="F678" s="41"/>
      <c r="G678" s="41"/>
      <c r="H678" s="12"/>
    </row>
    <row r="679" spans="6:8">
      <c r="F679" s="41"/>
      <c r="G679" s="41"/>
      <c r="H679" s="12"/>
    </row>
    <row r="680" spans="6:8">
      <c r="F680" s="41"/>
      <c r="G680" s="41"/>
      <c r="H680" s="12"/>
    </row>
    <row r="681" spans="6:8">
      <c r="F681" s="41"/>
      <c r="G681" s="41"/>
      <c r="H681" s="12"/>
    </row>
    <row r="682" spans="6:8">
      <c r="F682" s="41"/>
      <c r="G682" s="41"/>
      <c r="H682" s="12"/>
    </row>
    <row r="683" spans="6:8">
      <c r="F683" s="41"/>
      <c r="G683" s="41"/>
      <c r="H683" s="12"/>
    </row>
    <row r="684" spans="6:8">
      <c r="F684" s="41"/>
      <c r="G684" s="41"/>
      <c r="H684" s="12"/>
    </row>
    <row r="685" spans="6:8">
      <c r="F685" s="41"/>
      <c r="G685" s="41"/>
      <c r="H685" s="12"/>
    </row>
    <row r="686" spans="6:8">
      <c r="F686" s="41"/>
      <c r="G686" s="41"/>
      <c r="H686" s="12"/>
    </row>
    <row r="687" spans="6:8">
      <c r="F687" s="41"/>
      <c r="G687" s="41"/>
      <c r="H687" s="12"/>
    </row>
    <row r="688" spans="6:8">
      <c r="F688" s="41"/>
      <c r="G688" s="41"/>
      <c r="H688" s="12"/>
    </row>
    <row r="689" spans="6:8">
      <c r="F689" s="41"/>
      <c r="G689" s="41"/>
      <c r="H689" s="12"/>
    </row>
    <row r="690" spans="6:8">
      <c r="F690" s="41"/>
      <c r="G690" s="41"/>
      <c r="H690" s="12"/>
    </row>
    <row r="691" spans="6:8">
      <c r="F691" s="41"/>
      <c r="G691" s="41"/>
      <c r="H691" s="12"/>
    </row>
    <row r="692" spans="6:8">
      <c r="F692" s="41"/>
      <c r="G692" s="41"/>
      <c r="H692" s="12"/>
    </row>
    <row r="693" spans="6:8">
      <c r="F693" s="41"/>
      <c r="G693" s="41"/>
      <c r="H693" s="12"/>
    </row>
    <row r="694" spans="6:8">
      <c r="F694" s="41"/>
      <c r="G694" s="41"/>
      <c r="H694" s="12"/>
    </row>
    <row r="695" spans="6:8">
      <c r="F695" s="41"/>
      <c r="G695" s="41"/>
      <c r="H695" s="12"/>
    </row>
    <row r="696" spans="6:8">
      <c r="F696" s="41"/>
      <c r="G696" s="41"/>
      <c r="H696" s="12"/>
    </row>
    <row r="697" spans="6:8">
      <c r="F697" s="41"/>
      <c r="G697" s="41"/>
      <c r="H697" s="12"/>
    </row>
    <row r="698" spans="6:8">
      <c r="F698" s="41"/>
      <c r="G698" s="41"/>
      <c r="H698" s="12"/>
    </row>
    <row r="699" spans="6:8">
      <c r="F699" s="41"/>
      <c r="G699" s="41"/>
      <c r="H699" s="12"/>
    </row>
    <row r="700" spans="6:8">
      <c r="F700" s="41"/>
      <c r="G700" s="41"/>
      <c r="H700" s="12"/>
    </row>
    <row r="701" spans="6:8">
      <c r="F701" s="41"/>
      <c r="G701" s="41"/>
      <c r="H701" s="12"/>
    </row>
    <row r="702" spans="6:8">
      <c r="F702" s="41"/>
      <c r="G702" s="41"/>
      <c r="H702" s="12"/>
    </row>
    <row r="703" spans="6:8">
      <c r="F703" s="41"/>
      <c r="G703" s="41"/>
      <c r="H703" s="12"/>
    </row>
    <row r="704" spans="6:8">
      <c r="F704" s="41"/>
      <c r="G704" s="41"/>
      <c r="H704" s="12"/>
    </row>
    <row r="705" spans="6:8">
      <c r="F705" s="41"/>
      <c r="G705" s="41"/>
      <c r="H705" s="12"/>
    </row>
    <row r="706" spans="6:8">
      <c r="F706" s="41"/>
      <c r="G706" s="41"/>
      <c r="H706" s="12"/>
    </row>
    <row r="707" spans="6:8">
      <c r="F707" s="41"/>
      <c r="G707" s="41"/>
      <c r="H707" s="12"/>
    </row>
    <row r="708" spans="6:8">
      <c r="F708" s="41"/>
      <c r="G708" s="41"/>
      <c r="H708" s="12"/>
    </row>
    <row r="709" spans="6:8">
      <c r="F709" s="41"/>
      <c r="G709" s="41"/>
      <c r="H709" s="12"/>
    </row>
    <row r="710" spans="6:8">
      <c r="F710" s="41"/>
      <c r="G710" s="41"/>
      <c r="H710" s="12"/>
    </row>
    <row r="711" spans="6:8">
      <c r="F711" s="41"/>
      <c r="G711" s="41"/>
      <c r="H711" s="12"/>
    </row>
    <row r="712" spans="6:8">
      <c r="F712" s="41"/>
      <c r="G712" s="41"/>
      <c r="H712" s="12"/>
    </row>
    <row r="713" spans="6:8">
      <c r="F713" s="41"/>
      <c r="G713" s="41"/>
      <c r="H713" s="12"/>
    </row>
    <row r="714" spans="6:8">
      <c r="F714" s="41"/>
      <c r="G714" s="41"/>
      <c r="H714" s="12"/>
    </row>
    <row r="715" spans="6:8">
      <c r="F715" s="41"/>
      <c r="G715" s="41"/>
      <c r="H715" s="12"/>
    </row>
    <row r="716" spans="6:8">
      <c r="F716" s="41"/>
      <c r="G716" s="41"/>
      <c r="H716" s="12"/>
    </row>
    <row r="717" spans="6:8">
      <c r="F717" s="41"/>
      <c r="G717" s="41"/>
      <c r="H717" s="12"/>
    </row>
    <row r="718" spans="6:8">
      <c r="F718" s="41"/>
      <c r="G718" s="41"/>
      <c r="H718" s="12"/>
    </row>
    <row r="719" spans="6:8">
      <c r="F719" s="41"/>
      <c r="G719" s="41"/>
      <c r="H719" s="12"/>
    </row>
    <row r="720" spans="6:8">
      <c r="F720" s="41"/>
      <c r="G720" s="41"/>
      <c r="H720" s="12"/>
    </row>
    <row r="721" spans="6:8">
      <c r="F721" s="41"/>
      <c r="G721" s="41"/>
      <c r="H721" s="12"/>
    </row>
    <row r="722" spans="6:8">
      <c r="F722" s="41"/>
      <c r="G722" s="41"/>
      <c r="H722" s="12"/>
    </row>
    <row r="723" spans="6:8">
      <c r="F723" s="41"/>
      <c r="G723" s="41"/>
      <c r="H723" s="12"/>
    </row>
    <row r="724" spans="6:8">
      <c r="F724" s="41"/>
      <c r="G724" s="41"/>
      <c r="H724" s="12"/>
    </row>
    <row r="725" spans="6:8">
      <c r="F725" s="41"/>
      <c r="G725" s="41"/>
      <c r="H725" s="12"/>
    </row>
    <row r="726" spans="6:8">
      <c r="F726" s="41"/>
      <c r="G726" s="41"/>
      <c r="H726" s="12"/>
    </row>
    <row r="727" spans="6:8">
      <c r="F727" s="41"/>
      <c r="G727" s="41"/>
      <c r="H727" s="12"/>
    </row>
    <row r="728" spans="6:8">
      <c r="F728" s="41"/>
      <c r="G728" s="41"/>
      <c r="H728" s="12"/>
    </row>
    <row r="729" spans="6:8">
      <c r="F729" s="41"/>
      <c r="G729" s="41"/>
      <c r="H729" s="12"/>
    </row>
    <row r="730" spans="6:8">
      <c r="F730" s="41"/>
      <c r="G730" s="41"/>
      <c r="H730" s="12"/>
    </row>
    <row r="731" spans="6:8">
      <c r="F731" s="41"/>
      <c r="G731" s="41"/>
      <c r="H731" s="12"/>
    </row>
    <row r="732" spans="6:8">
      <c r="F732" s="41"/>
      <c r="G732" s="41"/>
      <c r="H732" s="12"/>
    </row>
    <row r="733" spans="6:8">
      <c r="F733" s="41"/>
      <c r="G733" s="41"/>
      <c r="H733" s="12"/>
    </row>
    <row r="734" spans="6:8">
      <c r="F734" s="41"/>
      <c r="G734" s="41"/>
      <c r="H734" s="12"/>
    </row>
    <row r="735" spans="6:8">
      <c r="F735" s="41"/>
      <c r="G735" s="41"/>
      <c r="H735" s="12"/>
    </row>
    <row r="736" spans="6:8">
      <c r="F736" s="41"/>
      <c r="G736" s="41"/>
      <c r="H736" s="12"/>
    </row>
    <row r="737" spans="6:8">
      <c r="F737" s="41"/>
      <c r="G737" s="41"/>
      <c r="H737" s="12"/>
    </row>
    <row r="738" spans="6:8">
      <c r="F738" s="41"/>
      <c r="G738" s="41"/>
      <c r="H738" s="12"/>
    </row>
    <row r="739" spans="6:8">
      <c r="F739" s="41"/>
      <c r="G739" s="41"/>
      <c r="H739" s="12"/>
    </row>
    <row r="740" spans="6:8">
      <c r="F740" s="41"/>
      <c r="G740" s="41"/>
      <c r="H740" s="12"/>
    </row>
    <row r="741" spans="6:8">
      <c r="F741" s="41"/>
      <c r="G741" s="41"/>
      <c r="H741" s="12"/>
    </row>
    <row r="742" spans="6:8">
      <c r="F742" s="41"/>
      <c r="G742" s="41"/>
      <c r="H742" s="12"/>
    </row>
    <row r="743" spans="6:8">
      <c r="F743" s="41"/>
      <c r="G743" s="41"/>
      <c r="H743" s="12"/>
    </row>
    <row r="744" spans="6:8">
      <c r="F744" s="41"/>
      <c r="G744" s="41"/>
      <c r="H744" s="12"/>
    </row>
    <row r="745" spans="6:8">
      <c r="F745" s="41"/>
      <c r="G745" s="41"/>
      <c r="H745" s="12"/>
    </row>
    <row r="746" spans="6:8">
      <c r="F746" s="41"/>
      <c r="G746" s="41"/>
      <c r="H746" s="12"/>
    </row>
    <row r="747" spans="6:8">
      <c r="F747" s="41"/>
      <c r="G747" s="41"/>
      <c r="H747" s="12"/>
    </row>
    <row r="748" spans="6:8">
      <c r="F748" s="41"/>
      <c r="G748" s="41"/>
      <c r="H748" s="12"/>
    </row>
    <row r="749" spans="6:8">
      <c r="F749" s="41"/>
      <c r="G749" s="41"/>
      <c r="H749" s="12"/>
    </row>
    <row r="750" spans="6:8">
      <c r="F750" s="41"/>
      <c r="G750" s="41"/>
      <c r="H750" s="12"/>
    </row>
    <row r="751" spans="6:8">
      <c r="F751" s="41"/>
      <c r="G751" s="41"/>
      <c r="H751" s="12"/>
    </row>
    <row r="752" spans="6:8">
      <c r="F752" s="41"/>
      <c r="G752" s="41"/>
      <c r="H752" s="12"/>
    </row>
    <row r="753" spans="6:8">
      <c r="F753" s="41"/>
      <c r="G753" s="41"/>
      <c r="H753" s="12"/>
    </row>
    <row r="754" spans="6:8">
      <c r="F754" s="41"/>
      <c r="G754" s="41"/>
      <c r="H754" s="12"/>
    </row>
    <row r="755" spans="6:8">
      <c r="F755" s="41"/>
      <c r="G755" s="41"/>
      <c r="H755" s="12"/>
    </row>
    <row r="756" spans="6:8">
      <c r="F756" s="41"/>
      <c r="G756" s="41"/>
      <c r="H756" s="12"/>
    </row>
    <row r="757" spans="6:8">
      <c r="F757" s="41"/>
      <c r="G757" s="41"/>
      <c r="H757" s="12"/>
    </row>
    <row r="758" spans="6:8">
      <c r="F758" s="41"/>
      <c r="G758" s="41"/>
      <c r="H758" s="12"/>
    </row>
    <row r="759" spans="6:8">
      <c r="F759" s="41"/>
      <c r="G759" s="41"/>
      <c r="H759" s="12"/>
    </row>
    <row r="760" spans="6:8">
      <c r="F760" s="41"/>
      <c r="G760" s="41"/>
      <c r="H760" s="12"/>
    </row>
    <row r="761" spans="6:8">
      <c r="F761" s="41"/>
      <c r="G761" s="41"/>
      <c r="H761" s="12"/>
    </row>
    <row r="762" spans="6:8">
      <c r="F762" s="41"/>
      <c r="G762" s="41"/>
      <c r="H762" s="12"/>
    </row>
    <row r="763" spans="6:8">
      <c r="F763" s="41"/>
      <c r="G763" s="41"/>
      <c r="H763" s="12"/>
    </row>
    <row r="764" spans="6:8">
      <c r="F764" s="41"/>
      <c r="G764" s="41"/>
      <c r="H764" s="12"/>
    </row>
    <row r="765" spans="6:8">
      <c r="F765" s="41"/>
      <c r="G765" s="41"/>
      <c r="H765" s="12"/>
    </row>
    <row r="766" spans="6:8">
      <c r="F766" s="41"/>
      <c r="G766" s="41"/>
      <c r="H766" s="12"/>
    </row>
    <row r="767" spans="6:8">
      <c r="F767" s="41"/>
      <c r="G767" s="41"/>
      <c r="H767" s="12"/>
    </row>
    <row r="768" spans="6:8">
      <c r="F768" s="41"/>
      <c r="G768" s="41"/>
      <c r="H768" s="12"/>
    </row>
    <row r="769" spans="6:8">
      <c r="F769" s="41"/>
      <c r="G769" s="41"/>
      <c r="H769" s="12"/>
    </row>
    <row r="770" spans="6:8">
      <c r="F770" s="41"/>
      <c r="G770" s="41"/>
      <c r="H770" s="12"/>
    </row>
    <row r="771" spans="6:8">
      <c r="F771" s="41"/>
      <c r="G771" s="41"/>
      <c r="H771" s="12"/>
    </row>
    <row r="772" spans="6:8">
      <c r="F772" s="41"/>
      <c r="G772" s="41"/>
      <c r="H772" s="12"/>
    </row>
    <row r="773" spans="6:8">
      <c r="F773" s="41"/>
      <c r="G773" s="41"/>
      <c r="H773" s="12"/>
    </row>
    <row r="774" spans="6:8">
      <c r="F774" s="41"/>
      <c r="G774" s="41"/>
      <c r="H774" s="12"/>
    </row>
    <row r="775" spans="6:8">
      <c r="F775" s="41"/>
      <c r="G775" s="41"/>
      <c r="H775" s="12"/>
    </row>
    <row r="776" spans="6:8">
      <c r="F776" s="41"/>
      <c r="G776" s="41"/>
      <c r="H776" s="12"/>
    </row>
    <row r="777" spans="6:8">
      <c r="F777" s="41"/>
      <c r="G777" s="41"/>
      <c r="H777" s="12"/>
    </row>
    <row r="778" spans="6:8">
      <c r="F778" s="41"/>
      <c r="G778" s="41"/>
      <c r="H778" s="12"/>
    </row>
    <row r="779" spans="6:8">
      <c r="F779" s="41"/>
      <c r="G779" s="41"/>
      <c r="H779" s="12"/>
    </row>
    <row r="780" spans="6:8">
      <c r="F780" s="41"/>
      <c r="G780" s="41"/>
      <c r="H780" s="12"/>
    </row>
    <row r="781" spans="6:8">
      <c r="F781" s="41"/>
      <c r="G781" s="41"/>
      <c r="H781" s="12"/>
    </row>
    <row r="782" spans="6:8">
      <c r="F782" s="41"/>
      <c r="G782" s="41"/>
      <c r="H782" s="12"/>
    </row>
    <row r="783" spans="6:8">
      <c r="F783" s="41"/>
      <c r="G783" s="41"/>
      <c r="H783" s="12"/>
    </row>
    <row r="784" spans="6:8">
      <c r="F784" s="41"/>
      <c r="G784" s="41"/>
      <c r="H784" s="12"/>
    </row>
    <row r="785" spans="6:8">
      <c r="F785" s="41"/>
      <c r="G785" s="41"/>
      <c r="H785" s="12"/>
    </row>
    <row r="786" spans="6:8">
      <c r="F786" s="41"/>
      <c r="G786" s="41"/>
      <c r="H786" s="12"/>
    </row>
    <row r="787" spans="6:8">
      <c r="F787" s="41"/>
      <c r="G787" s="41"/>
      <c r="H787" s="12"/>
    </row>
    <row r="788" spans="6:8">
      <c r="F788" s="41"/>
      <c r="G788" s="41"/>
      <c r="H788" s="12"/>
    </row>
    <row r="789" spans="6:8">
      <c r="F789" s="41"/>
      <c r="G789" s="41"/>
      <c r="H789" s="12"/>
    </row>
    <row r="790" spans="6:8">
      <c r="F790" s="41"/>
      <c r="G790" s="41"/>
      <c r="H790" s="12"/>
    </row>
    <row r="791" spans="6:8">
      <c r="F791" s="41"/>
      <c r="G791" s="41"/>
      <c r="H791" s="12"/>
    </row>
    <row r="792" spans="6:8">
      <c r="F792" s="41"/>
      <c r="G792" s="41"/>
      <c r="H792" s="12"/>
    </row>
    <row r="793" spans="6:8">
      <c r="F793" s="41"/>
      <c r="G793" s="41"/>
      <c r="H793" s="12"/>
    </row>
    <row r="794" spans="6:8">
      <c r="F794" s="41"/>
      <c r="G794" s="41"/>
      <c r="H794" s="12"/>
    </row>
    <row r="795" spans="6:8">
      <c r="F795" s="41"/>
      <c r="G795" s="41"/>
      <c r="H795" s="12"/>
    </row>
    <row r="796" spans="6:8">
      <c r="F796" s="41"/>
      <c r="G796" s="41"/>
      <c r="H796" s="12"/>
    </row>
    <row r="797" spans="6:8">
      <c r="F797" s="41"/>
      <c r="G797" s="41"/>
      <c r="H797" s="12"/>
    </row>
    <row r="798" spans="6:8">
      <c r="F798" s="41"/>
      <c r="G798" s="41"/>
      <c r="H798" s="12"/>
    </row>
    <row r="799" spans="6:8">
      <c r="F799" s="41"/>
      <c r="G799" s="41"/>
      <c r="H799" s="12"/>
    </row>
    <row r="800" spans="6:8">
      <c r="F800" s="41"/>
      <c r="G800" s="41"/>
      <c r="H800" s="12"/>
    </row>
    <row r="801" spans="6:8">
      <c r="F801" s="41"/>
      <c r="G801" s="41"/>
      <c r="H801" s="12"/>
    </row>
    <row r="802" spans="6:8">
      <c r="F802" s="41"/>
      <c r="G802" s="41"/>
      <c r="H802" s="12"/>
    </row>
    <row r="803" spans="6:8">
      <c r="F803" s="41"/>
      <c r="G803" s="41"/>
      <c r="H803" s="12"/>
    </row>
    <row r="804" spans="6:8">
      <c r="F804" s="41"/>
      <c r="G804" s="41"/>
      <c r="H804" s="12"/>
    </row>
    <row r="805" spans="6:8">
      <c r="F805" s="41"/>
      <c r="G805" s="41"/>
      <c r="H805" s="12"/>
    </row>
    <row r="806" spans="6:8">
      <c r="F806" s="41"/>
      <c r="G806" s="41"/>
      <c r="H806" s="12"/>
    </row>
    <row r="807" spans="6:8">
      <c r="F807" s="41"/>
      <c r="G807" s="41"/>
      <c r="H807" s="12"/>
    </row>
    <row r="808" spans="6:8">
      <c r="F808" s="41"/>
      <c r="G808" s="41"/>
      <c r="H808" s="12"/>
    </row>
    <row r="809" spans="6:8">
      <c r="F809" s="41"/>
      <c r="G809" s="41"/>
      <c r="H809" s="12"/>
    </row>
    <row r="810" spans="6:8">
      <c r="F810" s="41"/>
      <c r="G810" s="41"/>
      <c r="H810" s="12"/>
    </row>
    <row r="811" spans="6:8">
      <c r="F811" s="41"/>
      <c r="G811" s="41"/>
      <c r="H811" s="12"/>
    </row>
    <row r="812" spans="6:8">
      <c r="F812" s="41"/>
      <c r="G812" s="41"/>
      <c r="H812" s="12"/>
    </row>
    <row r="813" spans="6:8">
      <c r="F813" s="41"/>
      <c r="G813" s="41"/>
      <c r="H813" s="12"/>
    </row>
    <row r="814" spans="6:8">
      <c r="F814" s="41"/>
      <c r="G814" s="41"/>
      <c r="H814" s="12"/>
    </row>
    <row r="815" spans="6:8">
      <c r="F815" s="41"/>
      <c r="G815" s="41"/>
      <c r="H815" s="12"/>
    </row>
    <row r="816" spans="6:8">
      <c r="F816" s="41"/>
      <c r="G816" s="41"/>
      <c r="H816" s="12"/>
    </row>
    <row r="817" spans="6:8">
      <c r="F817" s="41"/>
      <c r="G817" s="41"/>
      <c r="H817" s="12"/>
    </row>
    <row r="818" spans="6:8">
      <c r="F818" s="41"/>
      <c r="G818" s="41"/>
      <c r="H818" s="12"/>
    </row>
    <row r="819" spans="6:8">
      <c r="F819" s="41"/>
      <c r="G819" s="41"/>
      <c r="H819" s="12"/>
    </row>
    <row r="820" spans="6:8">
      <c r="F820" s="41"/>
      <c r="G820" s="41"/>
      <c r="H820" s="12"/>
    </row>
    <row r="821" spans="6:8">
      <c r="F821" s="41"/>
      <c r="G821" s="41"/>
      <c r="H821" s="12"/>
    </row>
    <row r="822" spans="6:8">
      <c r="F822" s="41"/>
      <c r="G822" s="41"/>
      <c r="H822" s="12"/>
    </row>
    <row r="823" spans="6:8">
      <c r="F823" s="41"/>
      <c r="G823" s="41"/>
      <c r="H823" s="12"/>
    </row>
    <row r="824" spans="6:8">
      <c r="F824" s="41"/>
      <c r="G824" s="41"/>
      <c r="H824" s="12"/>
    </row>
    <row r="825" spans="6:8">
      <c r="F825" s="41"/>
      <c r="G825" s="41"/>
      <c r="H825" s="12"/>
    </row>
    <row r="826" spans="6:8">
      <c r="F826" s="41"/>
      <c r="G826" s="41"/>
      <c r="H826" s="12"/>
    </row>
    <row r="827" spans="6:8">
      <c r="F827" s="41"/>
      <c r="G827" s="41"/>
      <c r="H827" s="12"/>
    </row>
    <row r="828" spans="6:8">
      <c r="F828" s="41"/>
      <c r="G828" s="41"/>
      <c r="H828" s="12"/>
    </row>
    <row r="829" spans="6:8">
      <c r="F829" s="41"/>
      <c r="G829" s="41"/>
      <c r="H829" s="12"/>
    </row>
    <row r="830" spans="6:8">
      <c r="F830" s="41"/>
      <c r="G830" s="41"/>
      <c r="H830" s="12"/>
    </row>
    <row r="831" spans="6:8">
      <c r="F831" s="41"/>
      <c r="G831" s="41"/>
      <c r="H831" s="12"/>
    </row>
    <row r="832" spans="6:8">
      <c r="F832" s="41"/>
      <c r="G832" s="41"/>
      <c r="H832" s="12"/>
    </row>
    <row r="833" spans="6:8">
      <c r="F833" s="41"/>
      <c r="G833" s="41"/>
      <c r="H833" s="12"/>
    </row>
    <row r="834" spans="6:8">
      <c r="F834" s="41"/>
      <c r="G834" s="41"/>
      <c r="H834" s="12"/>
    </row>
    <row r="835" spans="6:8">
      <c r="F835" s="41"/>
      <c r="G835" s="41"/>
      <c r="H835" s="12"/>
    </row>
    <row r="836" spans="6:8">
      <c r="F836" s="41"/>
      <c r="G836" s="41"/>
      <c r="H836" s="12"/>
    </row>
    <row r="837" spans="6:8">
      <c r="F837" s="41"/>
      <c r="G837" s="41"/>
      <c r="H837" s="12"/>
    </row>
    <row r="838" spans="6:8">
      <c r="F838" s="41"/>
      <c r="G838" s="41"/>
      <c r="H838" s="12"/>
    </row>
    <row r="839" spans="6:8">
      <c r="F839" s="41"/>
      <c r="G839" s="41"/>
      <c r="H839" s="12"/>
    </row>
    <row r="840" spans="6:8">
      <c r="F840" s="41"/>
      <c r="G840" s="41"/>
      <c r="H840" s="12"/>
    </row>
    <row r="841" spans="6:8">
      <c r="F841" s="41"/>
      <c r="G841" s="41"/>
      <c r="H841" s="12"/>
    </row>
    <row r="842" spans="6:8">
      <c r="F842" s="41"/>
      <c r="G842" s="41"/>
      <c r="H842" s="12"/>
    </row>
    <row r="843" spans="6:8">
      <c r="F843" s="41"/>
      <c r="G843" s="41"/>
      <c r="H843" s="12"/>
    </row>
    <row r="844" spans="6:8">
      <c r="F844" s="41"/>
      <c r="G844" s="41"/>
      <c r="H844" s="12"/>
    </row>
    <row r="845" spans="6:8">
      <c r="F845" s="41"/>
      <c r="G845" s="41"/>
      <c r="H845" s="12"/>
    </row>
    <row r="846" spans="6:8">
      <c r="F846" s="41"/>
      <c r="G846" s="41"/>
      <c r="H846" s="12"/>
    </row>
    <row r="847" spans="6:8">
      <c r="F847" s="41"/>
      <c r="G847" s="41"/>
      <c r="H847" s="12"/>
    </row>
    <row r="848" spans="6:8">
      <c r="F848" s="41"/>
      <c r="G848" s="41"/>
      <c r="H848" s="12"/>
    </row>
    <row r="849" spans="6:8">
      <c r="F849" s="41"/>
      <c r="G849" s="41"/>
      <c r="H849" s="12"/>
    </row>
    <row r="850" spans="6:8">
      <c r="F850" s="41"/>
      <c r="G850" s="41"/>
      <c r="H850" s="12"/>
    </row>
    <row r="851" spans="6:8">
      <c r="F851" s="41"/>
      <c r="G851" s="41"/>
      <c r="H851" s="12"/>
    </row>
    <row r="852" spans="6:8">
      <c r="F852" s="41"/>
      <c r="G852" s="41"/>
      <c r="H852" s="12"/>
    </row>
    <row r="853" spans="6:8">
      <c r="F853" s="41"/>
      <c r="G853" s="41"/>
      <c r="H853" s="12"/>
    </row>
    <row r="854" spans="6:8">
      <c r="F854" s="41"/>
      <c r="G854" s="41"/>
      <c r="H854" s="12"/>
    </row>
    <row r="855" spans="6:8">
      <c r="F855" s="41"/>
      <c r="G855" s="41"/>
      <c r="H855" s="12"/>
    </row>
    <row r="856" spans="6:8">
      <c r="F856" s="41"/>
      <c r="G856" s="41"/>
      <c r="H856" s="12"/>
    </row>
    <row r="857" spans="6:8">
      <c r="F857" s="41"/>
      <c r="G857" s="41"/>
      <c r="H857" s="12"/>
    </row>
    <row r="858" spans="6:8">
      <c r="F858" s="41"/>
      <c r="G858" s="41"/>
      <c r="H858" s="12"/>
    </row>
    <row r="859" spans="6:8">
      <c r="F859" s="41"/>
      <c r="G859" s="41"/>
      <c r="H859" s="12"/>
    </row>
    <row r="860" spans="6:8">
      <c r="F860" s="41"/>
      <c r="G860" s="41"/>
      <c r="H860" s="12"/>
    </row>
    <row r="861" spans="6:8">
      <c r="F861" s="41"/>
      <c r="G861" s="41"/>
      <c r="H861" s="12"/>
    </row>
    <row r="862" spans="6:8">
      <c r="F862" s="41"/>
      <c r="G862" s="41"/>
      <c r="H862" s="12"/>
    </row>
    <row r="863" spans="6:8">
      <c r="F863" s="41"/>
      <c r="G863" s="41"/>
      <c r="H863" s="12"/>
    </row>
    <row r="864" spans="6:8">
      <c r="F864" s="41"/>
      <c r="G864" s="41"/>
      <c r="H864" s="12"/>
    </row>
    <row r="865" spans="6:8">
      <c r="F865" s="41"/>
      <c r="G865" s="41"/>
      <c r="H865" s="12"/>
    </row>
    <row r="866" spans="6:8">
      <c r="F866" s="41"/>
      <c r="G866" s="41"/>
      <c r="H866" s="12"/>
    </row>
    <row r="867" spans="6:8">
      <c r="F867" s="41"/>
      <c r="G867" s="41"/>
      <c r="H867" s="12"/>
    </row>
    <row r="868" spans="6:8">
      <c r="F868" s="41"/>
      <c r="G868" s="41"/>
      <c r="H868" s="12"/>
    </row>
    <row r="869" spans="6:8">
      <c r="F869" s="41"/>
      <c r="G869" s="41"/>
      <c r="H869" s="12"/>
    </row>
    <row r="870" spans="6:8">
      <c r="F870" s="41"/>
      <c r="G870" s="41"/>
      <c r="H870" s="12"/>
    </row>
    <row r="871" spans="6:8">
      <c r="F871" s="41"/>
      <c r="G871" s="41"/>
      <c r="H871" s="12"/>
    </row>
    <row r="872" spans="6:8">
      <c r="F872" s="41"/>
      <c r="G872" s="41"/>
      <c r="H872" s="12"/>
    </row>
    <row r="873" spans="6:8">
      <c r="F873" s="41"/>
      <c r="G873" s="41"/>
      <c r="H873" s="12"/>
    </row>
    <row r="874" spans="6:8">
      <c r="F874" s="41"/>
      <c r="G874" s="41"/>
      <c r="H874" s="12"/>
    </row>
    <row r="875" spans="6:8">
      <c r="F875" s="41"/>
      <c r="G875" s="41"/>
      <c r="H875" s="12"/>
    </row>
    <row r="876" spans="6:8">
      <c r="F876" s="41"/>
      <c r="G876" s="41"/>
      <c r="H876" s="12"/>
    </row>
    <row r="877" spans="6:8">
      <c r="F877" s="41"/>
      <c r="G877" s="41"/>
      <c r="H877" s="12"/>
    </row>
    <row r="878" spans="6:8">
      <c r="F878" s="41"/>
      <c r="G878" s="41"/>
      <c r="H878" s="12"/>
    </row>
    <row r="879" spans="6:8">
      <c r="F879" s="41"/>
      <c r="G879" s="41"/>
      <c r="H879" s="12"/>
    </row>
    <row r="880" spans="6:8">
      <c r="F880" s="41"/>
      <c r="G880" s="41"/>
      <c r="H880" s="12"/>
    </row>
    <row r="881" spans="6:8">
      <c r="F881" s="41"/>
      <c r="G881" s="41"/>
      <c r="H881" s="12"/>
    </row>
    <row r="882" spans="6:8">
      <c r="F882" s="41"/>
      <c r="G882" s="41"/>
      <c r="H882" s="12"/>
    </row>
    <row r="883" spans="6:8">
      <c r="F883" s="41"/>
      <c r="G883" s="41"/>
      <c r="H883" s="12"/>
    </row>
    <row r="884" spans="6:8">
      <c r="F884" s="41"/>
      <c r="G884" s="41"/>
      <c r="H884" s="12"/>
    </row>
    <row r="885" spans="6:8">
      <c r="F885" s="41"/>
      <c r="G885" s="41"/>
      <c r="H885" s="12"/>
    </row>
    <row r="886" spans="6:8">
      <c r="F886" s="41"/>
      <c r="G886" s="41"/>
      <c r="H886" s="12"/>
    </row>
    <row r="887" spans="6:8">
      <c r="F887" s="41"/>
      <c r="G887" s="41"/>
      <c r="H887" s="12"/>
    </row>
    <row r="888" spans="6:8">
      <c r="F888" s="41"/>
      <c r="G888" s="41"/>
      <c r="H888" s="12"/>
    </row>
    <row r="889" spans="6:8">
      <c r="F889" s="41"/>
      <c r="G889" s="41"/>
      <c r="H889" s="12"/>
    </row>
    <row r="890" spans="6:8">
      <c r="F890" s="41"/>
      <c r="G890" s="41"/>
      <c r="H890" s="12"/>
    </row>
    <row r="891" spans="6:8">
      <c r="F891" s="41"/>
      <c r="G891" s="41"/>
      <c r="H891" s="12"/>
    </row>
    <row r="892" spans="6:8">
      <c r="F892" s="41"/>
      <c r="G892" s="41"/>
      <c r="H892" s="12"/>
    </row>
    <row r="893" spans="6:8">
      <c r="F893" s="41"/>
      <c r="G893" s="41"/>
      <c r="H893" s="12"/>
    </row>
    <row r="894" spans="6:8">
      <c r="F894" s="41"/>
      <c r="G894" s="41"/>
      <c r="H894" s="12"/>
    </row>
    <row r="895" spans="6:8">
      <c r="F895" s="41"/>
      <c r="G895" s="41"/>
      <c r="H895" s="12"/>
    </row>
    <row r="896" spans="6:8">
      <c r="F896" s="41"/>
      <c r="G896" s="41"/>
      <c r="H896" s="12"/>
    </row>
    <row r="897" spans="6:8">
      <c r="F897" s="41"/>
      <c r="G897" s="41"/>
      <c r="H897" s="12"/>
    </row>
    <row r="898" spans="6:8">
      <c r="F898" s="41"/>
      <c r="G898" s="41"/>
      <c r="H898" s="12"/>
    </row>
    <row r="899" spans="6:8">
      <c r="F899" s="41"/>
      <c r="G899" s="41"/>
      <c r="H899" s="12"/>
    </row>
    <row r="900" spans="6:8">
      <c r="F900" s="41"/>
      <c r="G900" s="41"/>
      <c r="H900" s="12"/>
    </row>
    <row r="901" spans="6:8">
      <c r="F901" s="41"/>
      <c r="G901" s="41"/>
      <c r="H901" s="12"/>
    </row>
    <row r="902" spans="6:8">
      <c r="F902" s="41"/>
      <c r="G902" s="41"/>
      <c r="H902" s="12"/>
    </row>
    <row r="903" spans="6:8">
      <c r="F903" s="41"/>
      <c r="G903" s="41"/>
      <c r="H903" s="12"/>
    </row>
    <row r="904" spans="6:8">
      <c r="F904" s="41"/>
      <c r="G904" s="41"/>
      <c r="H904" s="12"/>
    </row>
    <row r="905" spans="6:8">
      <c r="F905" s="41"/>
      <c r="G905" s="41"/>
      <c r="H905" s="12"/>
    </row>
    <row r="906" spans="6:8">
      <c r="F906" s="41"/>
      <c r="G906" s="41"/>
      <c r="H906" s="12"/>
    </row>
    <row r="907" spans="6:8">
      <c r="F907" s="41"/>
      <c r="G907" s="41"/>
      <c r="H907" s="12"/>
    </row>
    <row r="908" spans="6:8">
      <c r="F908" s="41"/>
      <c r="G908" s="41"/>
      <c r="H908" s="12"/>
    </row>
    <row r="909" spans="6:8">
      <c r="F909" s="41"/>
      <c r="G909" s="41"/>
      <c r="H909" s="12"/>
    </row>
    <row r="910" spans="6:8">
      <c r="F910" s="41"/>
      <c r="G910" s="41"/>
      <c r="H910" s="12"/>
    </row>
    <row r="911" spans="6:8">
      <c r="F911" s="41"/>
      <c r="G911" s="41"/>
      <c r="H911" s="12"/>
    </row>
    <row r="912" spans="6:8">
      <c r="F912" s="41"/>
      <c r="G912" s="41"/>
      <c r="H912" s="12"/>
    </row>
    <row r="913" spans="6:8">
      <c r="F913" s="41"/>
      <c r="G913" s="41"/>
      <c r="H913" s="12"/>
    </row>
    <row r="914" spans="6:8">
      <c r="F914" s="41"/>
      <c r="G914" s="41"/>
      <c r="H914" s="12"/>
    </row>
    <row r="915" spans="6:8">
      <c r="F915" s="41"/>
      <c r="G915" s="41"/>
      <c r="H915" s="12"/>
    </row>
    <row r="916" spans="6:8">
      <c r="F916" s="41"/>
      <c r="G916" s="41"/>
      <c r="H916" s="12"/>
    </row>
    <row r="917" spans="6:8">
      <c r="F917" s="41"/>
      <c r="G917" s="41"/>
      <c r="H917" s="12"/>
    </row>
    <row r="918" spans="6:8">
      <c r="F918" s="41"/>
      <c r="G918" s="41"/>
      <c r="H918" s="12"/>
    </row>
    <row r="919" spans="6:8">
      <c r="F919" s="41"/>
      <c r="G919" s="41"/>
      <c r="H919" s="12"/>
    </row>
    <row r="920" spans="6:8">
      <c r="F920" s="41"/>
      <c r="G920" s="41"/>
      <c r="H920" s="12"/>
    </row>
    <row r="921" spans="6:8">
      <c r="F921" s="41"/>
      <c r="G921" s="41"/>
      <c r="H921" s="12"/>
    </row>
    <row r="922" spans="6:8">
      <c r="F922" s="41"/>
      <c r="G922" s="41"/>
      <c r="H922" s="12"/>
    </row>
    <row r="923" spans="6:8">
      <c r="F923" s="41"/>
      <c r="G923" s="41"/>
      <c r="H923" s="12"/>
    </row>
    <row r="924" spans="6:8">
      <c r="F924" s="41"/>
      <c r="G924" s="41"/>
      <c r="H924" s="12"/>
    </row>
    <row r="925" spans="6:8">
      <c r="F925" s="41"/>
      <c r="G925" s="41"/>
      <c r="H925" s="12"/>
    </row>
    <row r="926" spans="6:8">
      <c r="F926" s="41"/>
      <c r="G926" s="41"/>
      <c r="H926" s="12"/>
    </row>
    <row r="927" spans="6:8">
      <c r="F927" s="41"/>
      <c r="G927" s="41"/>
      <c r="H927" s="12"/>
    </row>
    <row r="928" spans="6:8">
      <c r="F928" s="41"/>
      <c r="G928" s="41"/>
      <c r="H928" s="12"/>
    </row>
    <row r="929" spans="6:8">
      <c r="F929" s="41"/>
      <c r="G929" s="41"/>
      <c r="H929" s="12"/>
    </row>
    <row r="930" spans="6:8">
      <c r="F930" s="41"/>
      <c r="G930" s="41"/>
      <c r="H930" s="12"/>
    </row>
    <row r="931" spans="6:8">
      <c r="F931" s="41"/>
      <c r="G931" s="41"/>
      <c r="H931" s="12"/>
    </row>
    <row r="932" spans="6:8">
      <c r="F932" s="41"/>
      <c r="G932" s="41"/>
      <c r="H932" s="12"/>
    </row>
    <row r="933" spans="6:8">
      <c r="F933" s="41"/>
      <c r="G933" s="41"/>
      <c r="H933" s="12"/>
    </row>
    <row r="934" spans="6:8">
      <c r="F934" s="41"/>
      <c r="G934" s="41"/>
      <c r="H934" s="12"/>
    </row>
    <row r="935" spans="6:8">
      <c r="F935" s="41"/>
      <c r="G935" s="41"/>
      <c r="H935" s="12"/>
    </row>
    <row r="936" spans="6:8">
      <c r="F936" s="41"/>
      <c r="G936" s="41"/>
      <c r="H936" s="12"/>
    </row>
    <row r="937" spans="6:8">
      <c r="F937" s="41"/>
      <c r="G937" s="41"/>
      <c r="H937" s="12"/>
    </row>
    <row r="938" spans="6:8">
      <c r="F938" s="41"/>
      <c r="G938" s="41"/>
      <c r="H938" s="12"/>
    </row>
    <row r="939" spans="6:8">
      <c r="F939" s="41"/>
      <c r="G939" s="41"/>
      <c r="H939" s="12"/>
    </row>
    <row r="940" spans="6:8">
      <c r="F940" s="41"/>
      <c r="G940" s="41"/>
      <c r="H940" s="12"/>
    </row>
    <row r="941" spans="6:8">
      <c r="F941" s="41"/>
      <c r="G941" s="41"/>
      <c r="H941" s="12"/>
    </row>
    <row r="942" spans="6:8">
      <c r="F942" s="41"/>
      <c r="G942" s="41"/>
      <c r="H942" s="12"/>
    </row>
    <row r="943" spans="6:8">
      <c r="F943" s="41"/>
      <c r="G943" s="41"/>
      <c r="H943" s="12"/>
    </row>
    <row r="944" spans="6:8">
      <c r="F944" s="41"/>
      <c r="G944" s="41"/>
      <c r="H944" s="12"/>
    </row>
    <row r="945" spans="6:8">
      <c r="F945" s="41"/>
      <c r="G945" s="41"/>
      <c r="H945" s="12"/>
    </row>
    <row r="946" spans="6:8">
      <c r="F946" s="41"/>
      <c r="G946" s="41"/>
      <c r="H946" s="12"/>
    </row>
    <row r="947" spans="6:8">
      <c r="F947" s="41"/>
      <c r="G947" s="41"/>
      <c r="H947" s="12"/>
    </row>
    <row r="948" spans="6:8">
      <c r="F948" s="41"/>
      <c r="G948" s="41"/>
      <c r="H948" s="12"/>
    </row>
    <row r="949" spans="6:8">
      <c r="F949" s="41"/>
      <c r="G949" s="41"/>
      <c r="H949" s="12"/>
    </row>
    <row r="950" spans="6:8">
      <c r="F950" s="41"/>
      <c r="G950" s="41"/>
      <c r="H950" s="12"/>
    </row>
    <row r="951" spans="6:8">
      <c r="F951" s="41"/>
      <c r="G951" s="41"/>
      <c r="H951" s="12"/>
    </row>
    <row r="952" spans="6:8">
      <c r="F952" s="41"/>
      <c r="G952" s="41"/>
      <c r="H952" s="12"/>
    </row>
    <row r="953" spans="6:8">
      <c r="F953" s="41"/>
      <c r="G953" s="41"/>
      <c r="H953" s="12"/>
    </row>
    <row r="954" spans="6:8">
      <c r="F954" s="41"/>
      <c r="G954" s="41"/>
      <c r="H954" s="12"/>
    </row>
    <row r="955" spans="6:8">
      <c r="F955" s="41"/>
      <c r="G955" s="41"/>
      <c r="H955" s="12"/>
    </row>
    <row r="956" spans="6:8">
      <c r="F956" s="41"/>
      <c r="G956" s="41"/>
      <c r="H956" s="12"/>
    </row>
    <row r="957" spans="6:8">
      <c r="F957" s="41"/>
      <c r="G957" s="41"/>
      <c r="H957" s="12"/>
    </row>
    <row r="958" spans="6:8">
      <c r="F958" s="41"/>
      <c r="G958" s="41"/>
      <c r="H958" s="12"/>
    </row>
    <row r="959" spans="6:8">
      <c r="F959" s="41"/>
      <c r="G959" s="41"/>
      <c r="H959" s="12"/>
    </row>
    <row r="960" spans="6:8">
      <c r="F960" s="41"/>
      <c r="G960" s="41"/>
      <c r="H960" s="12"/>
    </row>
    <row r="961" spans="6:8">
      <c r="F961" s="41"/>
      <c r="G961" s="41"/>
      <c r="H961" s="12"/>
    </row>
    <row r="962" spans="6:8">
      <c r="F962" s="41"/>
      <c r="G962" s="41"/>
      <c r="H962" s="12"/>
    </row>
    <row r="963" spans="6:8">
      <c r="F963" s="41"/>
      <c r="G963" s="41"/>
      <c r="H963" s="12"/>
    </row>
    <row r="964" spans="6:8">
      <c r="F964" s="41"/>
      <c r="G964" s="41"/>
      <c r="H964" s="12"/>
    </row>
    <row r="965" spans="6:8">
      <c r="F965" s="41"/>
      <c r="G965" s="41"/>
      <c r="H965" s="12"/>
    </row>
    <row r="966" spans="6:8">
      <c r="F966" s="41"/>
      <c r="G966" s="41"/>
      <c r="H966" s="12"/>
    </row>
    <row r="967" spans="6:8">
      <c r="F967" s="41"/>
      <c r="G967" s="41"/>
      <c r="H967" s="12"/>
    </row>
    <row r="968" spans="6:8">
      <c r="F968" s="41"/>
      <c r="G968" s="41"/>
      <c r="H968" s="12"/>
    </row>
    <row r="969" spans="6:8">
      <c r="F969" s="41"/>
      <c r="G969" s="41"/>
      <c r="H969" s="12"/>
    </row>
    <row r="970" spans="6:8">
      <c r="F970" s="41"/>
      <c r="G970" s="41"/>
      <c r="H970" s="12"/>
    </row>
    <row r="971" spans="6:8">
      <c r="F971" s="41"/>
      <c r="G971" s="41"/>
      <c r="H971" s="12"/>
    </row>
    <row r="972" spans="6:8">
      <c r="F972" s="41"/>
      <c r="G972" s="41"/>
      <c r="H972" s="12"/>
    </row>
    <row r="973" spans="6:8">
      <c r="F973" s="41"/>
      <c r="G973" s="41"/>
      <c r="H973" s="12"/>
    </row>
    <row r="974" spans="6:8">
      <c r="F974" s="41"/>
      <c r="G974" s="41"/>
      <c r="H974" s="12"/>
    </row>
    <row r="975" spans="6:8">
      <c r="F975" s="41"/>
      <c r="G975" s="41"/>
      <c r="H975" s="12"/>
    </row>
    <row r="976" spans="6:8">
      <c r="F976" s="41"/>
      <c r="G976" s="41"/>
      <c r="H976" s="12"/>
    </row>
    <row r="977" spans="6:8">
      <c r="F977" s="41"/>
      <c r="G977" s="41"/>
      <c r="H977" s="12"/>
    </row>
    <row r="978" spans="6:8">
      <c r="F978" s="41"/>
      <c r="G978" s="41"/>
      <c r="H978" s="12"/>
    </row>
    <row r="979" spans="6:8">
      <c r="F979" s="41"/>
      <c r="G979" s="41"/>
      <c r="H979" s="12"/>
    </row>
    <row r="980" spans="6:8">
      <c r="F980" s="41"/>
      <c r="G980" s="41"/>
      <c r="H980" s="12"/>
    </row>
    <row r="981" spans="6:8">
      <c r="F981" s="41"/>
      <c r="G981" s="41"/>
      <c r="H981" s="12"/>
    </row>
    <row r="982" spans="6:8">
      <c r="F982" s="41"/>
      <c r="G982" s="41"/>
      <c r="H982" s="12"/>
    </row>
    <row r="983" spans="6:8">
      <c r="F983" s="41"/>
      <c r="G983" s="41"/>
      <c r="H983" s="12"/>
    </row>
    <row r="984" spans="6:8">
      <c r="F984" s="41"/>
      <c r="G984" s="41"/>
      <c r="H984" s="12"/>
    </row>
    <row r="985" spans="6:8">
      <c r="F985" s="41"/>
      <c r="G985" s="41"/>
      <c r="H985" s="12"/>
    </row>
    <row r="986" spans="6:8">
      <c r="F986" s="41"/>
      <c r="G986" s="41"/>
      <c r="H986" s="12"/>
    </row>
    <row r="987" spans="6:8">
      <c r="F987" s="41"/>
      <c r="G987" s="41"/>
      <c r="H987" s="12"/>
    </row>
    <row r="988" spans="6:8">
      <c r="F988" s="41"/>
      <c r="G988" s="41"/>
      <c r="H988" s="12"/>
    </row>
    <row r="989" spans="6:8">
      <c r="F989" s="41"/>
      <c r="G989" s="41"/>
      <c r="H989" s="12"/>
    </row>
    <row r="990" spans="6:8">
      <c r="F990" s="41"/>
      <c r="G990" s="41"/>
      <c r="H990" s="12"/>
    </row>
    <row r="991" spans="6:8">
      <c r="F991" s="41"/>
      <c r="G991" s="41"/>
      <c r="H991" s="12"/>
    </row>
    <row r="992" spans="6:8">
      <c r="F992" s="41"/>
      <c r="G992" s="41"/>
      <c r="H992" s="12"/>
    </row>
    <row r="993" spans="1:8">
      <c r="F993" s="41"/>
      <c r="G993" s="41"/>
      <c r="H993" s="12"/>
    </row>
    <row r="994" spans="1:8">
      <c r="F994" s="41"/>
      <c r="G994" s="41"/>
      <c r="H994" s="12"/>
    </row>
    <row r="995" spans="1:8">
      <c r="F995" s="41"/>
      <c r="G995" s="41"/>
      <c r="H995" s="12"/>
    </row>
    <row r="996" spans="1:8">
      <c r="F996" s="41"/>
      <c r="G996" s="41"/>
      <c r="H996" s="12"/>
    </row>
    <row r="997" spans="1:8">
      <c r="F997" s="41"/>
      <c r="G997" s="41"/>
      <c r="H997" s="12"/>
    </row>
    <row r="998" spans="1:8">
      <c r="F998" s="41"/>
      <c r="G998" s="41"/>
      <c r="H998" s="12"/>
    </row>
    <row r="999" spans="1:8">
      <c r="F999" s="41"/>
      <c r="G999" s="41"/>
      <c r="H999" s="12"/>
    </row>
    <row r="1000" spans="1:8">
      <c r="A1000" s="42" t="s">
        <v>3861</v>
      </c>
      <c r="B1000" s="42" t="s">
        <v>5490</v>
      </c>
      <c r="C1000" t="s">
        <v>5491</v>
      </c>
      <c r="D1000" t="e">
        <f>#REF!</f>
        <v>#REF!</v>
      </c>
      <c r="F1000" s="41"/>
      <c r="G1000" s="41"/>
      <c r="H1000" s="12"/>
    </row>
    <row r="1001" spans="1:8">
      <c r="F1001" s="41"/>
      <c r="G1001" s="41"/>
      <c r="H1001" s="12"/>
    </row>
    <row r="1002" spans="1:8">
      <c r="F1002" s="41"/>
      <c r="G1002" s="41"/>
      <c r="H1002" s="12"/>
    </row>
  </sheetData>
  <mergeCells count="12">
    <mergeCell ref="P3:P4"/>
    <mergeCell ref="Q3:Q4"/>
    <mergeCell ref="O3:O4"/>
    <mergeCell ref="N3:N4"/>
    <mergeCell ref="E3:E4"/>
    <mergeCell ref="F3:F4"/>
    <mergeCell ref="G3:G4"/>
    <mergeCell ref="H3:H4"/>
    <mergeCell ref="J3:J4"/>
    <mergeCell ref="K3:K4"/>
    <mergeCell ref="L3:L4"/>
    <mergeCell ref="M3:M4"/>
  </mergeCells>
  <conditionalFormatting sqref="E7:H13 J48:N1002 E48:H1002 E14:E47 F7:H39 J7:N13">
    <cfRule type="expression" dxfId="60" priority="9">
      <formula>#REF!&lt;&gt;""</formula>
    </cfRule>
    <cfRule type="expression" dxfId="59" priority="10">
      <formula>#REF!="Total"</formula>
    </cfRule>
  </conditionalFormatting>
  <conditionalFormatting sqref="O7:P39">
    <cfRule type="expression" dxfId="58" priority="5">
      <formula>#REF!&lt;&gt;""</formula>
    </cfRule>
    <cfRule type="expression" dxfId="57" priority="6">
      <formula>#REF!="Total"</formula>
    </cfRule>
  </conditionalFormatting>
  <conditionalFormatting sqref="Q7:Q39">
    <cfRule type="expression" dxfId="56" priority="1">
      <formula>#REF!&lt;&gt;""</formula>
    </cfRule>
    <cfRule type="expression" dxfId="55" priority="2">
      <formula>#REF!="Total"</formula>
    </cfRule>
  </conditionalFormatting>
  <dataValidations count="1">
    <dataValidation type="list" allowBlank="1" showInputMessage="1" showErrorMessage="1" sqref="E1" xr:uid="{51E0CFBA-DC65-4D44-B974-991F44657CE3}">
      <formula1>_xlfn.ANCHORARRAY(A1)</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85166D-80E5-45E7-A433-08988697DD99}">
  <sheetPr codeName="Hoja14"/>
  <dimension ref="A1:Z305"/>
  <sheetViews>
    <sheetView workbookViewId="0">
      <selection activeCell="S23" sqref="S23"/>
    </sheetView>
  </sheetViews>
  <sheetFormatPr defaultColWidth="11.42578125" defaultRowHeight="15"/>
  <cols>
    <col min="1" max="1" width="3" customWidth="1"/>
    <col min="2" max="2" width="11.5703125" customWidth="1"/>
    <col min="3" max="3" width="11.28515625" customWidth="1"/>
    <col min="4" max="4" width="10.140625" customWidth="1"/>
    <col min="5" max="5" width="1.7109375" customWidth="1"/>
    <col min="6" max="6" width="9.7109375" customWidth="1"/>
    <col min="7" max="12" width="11.5703125" customWidth="1"/>
    <col min="15" max="15" width="1.7109375" customWidth="1"/>
    <col min="18" max="18" width="4.7109375" customWidth="1"/>
    <col min="23" max="23" width="15.7109375" customWidth="1"/>
    <col min="26" max="26" width="23.5703125" customWidth="1"/>
  </cols>
  <sheetData>
    <row r="1" spans="1:26">
      <c r="B1" cm="1">
        <f t="array" ref="B1">COUNTA(_xlfn.UNIQUE(_xlfn._xlws.FILTER(Tabla_Consulta_desde_Proyectos10[Usunombre],Tabla_Consulta_desde_Proyectos10[PRYRAhoras]&lt;&gt;"")))</f>
        <v>14</v>
      </c>
    </row>
    <row r="2" spans="1:26">
      <c r="K2" s="46">
        <f>J5-D5</f>
        <v>0</v>
      </c>
      <c r="M2" s="2" t="e" cm="1" vm="1">
        <f t="array" aca="1" ref="M2" ca="1">" Horas adicionales de "&amp;_xlfn.UNIQUE(_xlfn._xlws.FILTER(Tabla_Consulta_desde_Proyectos10[Usunombre],Tabla_Consulta_desde_Proyectos10[PRYRAhoras]&lt;&gt;""))</f>
        <v>#VALUE!</v>
      </c>
    </row>
    <row r="3" spans="1:26">
      <c r="B3" s="41"/>
      <c r="C3" s="72" t="s">
        <v>4055</v>
      </c>
      <c r="D3" s="72" t="s">
        <v>5232</v>
      </c>
      <c r="F3" s="68" t="s">
        <v>5233</v>
      </c>
      <c r="G3" s="68" t="s">
        <v>5485</v>
      </c>
      <c r="H3" s="68" t="s">
        <v>5489</v>
      </c>
      <c r="I3" s="68" t="s">
        <v>5487</v>
      </c>
      <c r="J3" s="70" t="s">
        <v>3861</v>
      </c>
      <c r="K3" s="75" t="s">
        <v>6105</v>
      </c>
      <c r="M3" s="72" t="s">
        <v>4055</v>
      </c>
      <c r="N3" s="72" t="s">
        <v>5232</v>
      </c>
      <c r="P3" s="68" t="s">
        <v>3893</v>
      </c>
      <c r="Q3" s="75" t="s">
        <v>6418</v>
      </c>
      <c r="S3" s="72" t="s">
        <v>4055</v>
      </c>
      <c r="T3" s="72" t="s">
        <v>6421</v>
      </c>
    </row>
    <row r="4" spans="1:26">
      <c r="B4" s="41"/>
      <c r="C4" s="72"/>
      <c r="D4" s="72"/>
      <c r="F4" s="68"/>
      <c r="G4" s="68"/>
      <c r="H4" s="68"/>
      <c r="I4" s="68"/>
      <c r="J4" s="70"/>
      <c r="K4" s="76"/>
      <c r="M4" s="72"/>
      <c r="N4" s="72"/>
      <c r="P4" s="68"/>
      <c r="Q4" s="76"/>
      <c r="S4" s="72"/>
      <c r="T4" s="72"/>
    </row>
    <row r="5" spans="1:26">
      <c r="B5" s="41"/>
      <c r="C5" s="47" t="s">
        <v>3861</v>
      </c>
      <c r="D5" s="32">
        <f>SUM(_xlfn.ANCHORARRAY(D7))</f>
        <v>0</v>
      </c>
      <c r="F5" s="36">
        <f t="shared" ref="F5:K5" si="0">SUM(_xlfn.ANCHORARRAY(F7))</f>
        <v>0</v>
      </c>
      <c r="G5" s="36">
        <f t="shared" si="0"/>
        <v>0</v>
      </c>
      <c r="H5" s="36">
        <f t="shared" si="0"/>
        <v>0</v>
      </c>
      <c r="I5" s="36">
        <f t="shared" si="0"/>
        <v>0</v>
      </c>
      <c r="J5" s="37">
        <f t="shared" si="0"/>
        <v>0</v>
      </c>
      <c r="K5" s="37" t="e">
        <f t="shared" si="0"/>
        <v>#VALUE!</v>
      </c>
      <c r="M5" s="47" t="s">
        <v>3861</v>
      </c>
      <c r="N5" s="37" t="e">
        <f>SUM(_xlfn.ANCHORARRAY(N7))</f>
        <v>#VALUE!</v>
      </c>
      <c r="O5" s="2"/>
      <c r="P5" s="37" t="e">
        <f>SUM(_xlfn.ANCHORARRAY(P7))</f>
        <v>#VALUE!</v>
      </c>
      <c r="Q5" s="37" t="e">
        <f>SUM(_xlfn.ANCHORARRAY(Q7))</f>
        <v>#VALUE!</v>
      </c>
      <c r="S5" s="47" t="s">
        <v>3861</v>
      </c>
      <c r="T5" s="37">
        <f>SUMIFS(Horas!N:N,Horas!B:B,"151-LIC.CA-23")</f>
        <v>0</v>
      </c>
    </row>
    <row r="6" spans="1:26">
      <c r="B6" s="41"/>
      <c r="C6" s="51"/>
      <c r="D6" s="51"/>
      <c r="F6" s="52"/>
      <c r="G6" s="52"/>
      <c r="H6" s="52"/>
      <c r="I6" s="52"/>
      <c r="J6" s="53"/>
      <c r="K6" s="38"/>
    </row>
    <row r="7" spans="1:26">
      <c r="A7" cm="1">
        <f t="array" ref="A7:A36">_xlfn.SEQUENCE(Control!F4-Control!F3+1)-1</f>
        <v>0</v>
      </c>
      <c r="B7" s="12" t="str" cm="1">
        <f t="array" ref="B7">IFERROR(IF(COUNTIFS('Fechas Mes'!U:U,_xlfn.ANCHORARRAY(C7))=1,"F",WEEKDAY(_xlfn.ANCHORARRAY(C7),2)),"")</f>
        <v/>
      </c>
      <c r="C7" s="49" t="str" cm="1">
        <f t="array" ref="C7">IF(B1&lt;&gt;1,"",Control!$F$3+_xlfn.ANCHORARRAY('Hrs Extras Fact'!A7))</f>
        <v/>
      </c>
      <c r="D7" s="32" t="str" cm="1">
        <f t="array" ref="D7">VLOOKUP(_xlfn.ANCHORARRAY(B7),'Fechas Mes'!W:X,2,FALSE)</f>
        <v>Total</v>
      </c>
      <c r="F7" s="36" cm="1">
        <f t="array" ref="F7">IF(_xlfn.ANCHORARRAY($C$7)&lt;&gt;"Total",SUMIFS(Horas!$N:$N,Horas!$L:$L,_xlfn.ANCHORARRAY($C$7),Horas!$AD:$AD,F$3),SUMIFS(Horas!$N:$N,Horas!$AD:$AD,F$3))</f>
        <v>0</v>
      </c>
      <c r="G7" s="36" cm="1">
        <f t="array" ref="G7">IF(_xlfn.ANCHORARRAY($C$7)&lt;&gt;"Total",SUMIFS(Horas!$N:$N,Horas!$L:$L,_xlfn.ANCHORARRAY($C$7),Horas!$AD:$AD,G$3),SUMIFS(Horas!$N:$N,Horas!$AD:$AD,G$3))</f>
        <v>0</v>
      </c>
      <c r="H7" s="36" cm="1">
        <f t="array" ref="H7">IF(_xlfn.ANCHORARRAY($C$7)&lt;&gt;"Total",SUMIFS(Horas!$N:$N,Horas!$L:$L,_xlfn.ANCHORARRAY($C$7),Horas!$AD:$AD,H$3),SUMIFS(Horas!$N:$N,Horas!$AD:$AD,H$3))</f>
        <v>0</v>
      </c>
      <c r="I7" s="36" cm="1">
        <f t="array" ref="I7">IF(_xlfn.ANCHORARRAY($C$7)&lt;&gt;"Total",SUMIFS(Horas!$N:$N,Horas!$L:$L,_xlfn.ANCHORARRAY($C$7),Horas!$AD:$AD,I$3),SUMIFS(Horas!$N:$N,Horas!$AD:$AD,I$3))</f>
        <v>0</v>
      </c>
      <c r="J7" s="37" cm="1">
        <f t="array" ref="J7">IF(_xlfn.ANCHORARRAY(C7)&lt;&gt;"Total",SUMIFS(Horas!$N:$N,Horas!$L:$L,_xlfn.ANCHORARRAY($C$7)),SUM(Horas!$N:$N))</f>
        <v>0</v>
      </c>
      <c r="K7" s="37" t="e" cm="1">
        <f t="array" ref="K7">IF(_xlfn.ANCHORARRAY(F7)-_xlfn.ANCHORARRAY(D7)&lt;0,0,_xlfn.ANCHORARRAY(F7)-_xlfn.ANCHORARRAY(D7))</f>
        <v>#VALUE!</v>
      </c>
      <c r="M7" s="49" t="e" cm="1">
        <f t="array" ref="M7">_xlfn._xlws.FILTER(_xlfn.ANCHORARRAY(C7),_xlfn.ANCHORARRAY($K$7)&gt;0)</f>
        <v>#VALUE!</v>
      </c>
      <c r="N7" s="32" t="e" cm="1">
        <f t="array" ref="N7">_xlfn._xlws.FILTER(_xlfn.ANCHORARRAY(D7),_xlfn.ANCHORARRAY($K$7)&gt;0)</f>
        <v>#VALUE!</v>
      </c>
      <c r="P7" s="36" t="e" cm="1">
        <f t="array" ref="P7">_xlfn._xlws.FILTER(_xlfn.ANCHORARRAY(F7),_xlfn.ANCHORARRAY($K$7)&gt;0)</f>
        <v>#VALUE!</v>
      </c>
      <c r="Q7" s="37" t="e" cm="1">
        <f t="array" ref="Q7">_xlfn._xlws.FILTER(_xlfn.ANCHORARRAY(K7),_xlfn.ANCHORARRAY($K$7)&gt;0)</f>
        <v>#VALUE!</v>
      </c>
      <c r="S7" s="49" t="e" cm="1" vm="2">
        <f t="array" ref="S7">_xlfn._xlws.FILTER(Horas!L:L,(Horas!B:B="151-LIC.CA-23")*(Horas!N:N&gt;0))</f>
        <v>#VALUE!</v>
      </c>
      <c r="T7" s="36" cm="1">
        <f t="array" ref="T7">SUMIFS(Horas!N:N,Horas!L:L,_xlfn.ANCHORARRAY(S7),Horas!B:B,"151-LIC.CA-23")</f>
        <v>0</v>
      </c>
      <c r="V7" s="13" t="s">
        <v>4055</v>
      </c>
      <c r="W7" s="13" t="s">
        <v>6426</v>
      </c>
      <c r="X7" s="13" t="s">
        <v>6423</v>
      </c>
      <c r="Y7" s="13" t="s">
        <v>6424</v>
      </c>
      <c r="Z7" s="13" t="s">
        <v>6429</v>
      </c>
    </row>
    <row r="8" spans="1:26">
      <c r="A8">
        <v>1</v>
      </c>
      <c r="B8" s="12"/>
      <c r="C8" s="49"/>
      <c r="D8" s="32"/>
      <c r="F8" s="36"/>
      <c r="G8" s="36"/>
      <c r="H8" s="36"/>
      <c r="I8" s="36"/>
      <c r="J8" s="37"/>
      <c r="K8" s="37"/>
      <c r="M8" s="49"/>
      <c r="N8" s="32"/>
      <c r="P8" s="36"/>
      <c r="Q8" s="37"/>
      <c r="S8" s="49"/>
      <c r="T8" s="36"/>
      <c r="V8" s="45">
        <v>45183</v>
      </c>
      <c r="W8" s="36">
        <v>0</v>
      </c>
      <c r="X8" s="36">
        <v>0</v>
      </c>
      <c r="Y8" s="36">
        <v>20.5</v>
      </c>
      <c r="Z8" s="8" t="s">
        <v>6422</v>
      </c>
    </row>
    <row r="9" spans="1:26">
      <c r="A9">
        <v>2</v>
      </c>
      <c r="B9" s="12"/>
      <c r="C9" s="49"/>
      <c r="D9" s="32"/>
      <c r="F9" s="36"/>
      <c r="G9" s="36"/>
      <c r="H9" s="36"/>
      <c r="I9" s="36"/>
      <c r="J9" s="37"/>
      <c r="K9" s="37"/>
      <c r="M9" s="49"/>
      <c r="N9" s="32"/>
      <c r="P9" s="36"/>
      <c r="Q9" s="37"/>
      <c r="S9" s="49"/>
      <c r="T9" s="36"/>
      <c r="V9" s="45">
        <v>45191</v>
      </c>
      <c r="W9" s="36">
        <v>0</v>
      </c>
      <c r="X9" s="36">
        <v>4</v>
      </c>
      <c r="Y9" s="36">
        <f>Y8-X9</f>
        <v>16.5</v>
      </c>
      <c r="Z9" s="8" t="s">
        <v>6425</v>
      </c>
    </row>
    <row r="10" spans="1:26">
      <c r="A10">
        <v>3</v>
      </c>
      <c r="B10" s="12"/>
      <c r="C10" s="49"/>
      <c r="D10" s="32"/>
      <c r="F10" s="36"/>
      <c r="G10" s="36"/>
      <c r="H10" s="36"/>
      <c r="I10" s="36"/>
      <c r="J10" s="37"/>
      <c r="K10" s="37"/>
      <c r="M10" s="49"/>
      <c r="N10" s="32"/>
      <c r="P10" s="36"/>
      <c r="Q10" s="37"/>
      <c r="S10" s="49"/>
      <c r="T10" s="36"/>
      <c r="V10" s="45">
        <v>45208</v>
      </c>
      <c r="W10" s="36">
        <v>3</v>
      </c>
      <c r="X10" s="36">
        <v>0</v>
      </c>
      <c r="Y10" s="36">
        <f>Y9+W10-X10</f>
        <v>19.5</v>
      </c>
      <c r="Z10" s="8" t="s">
        <v>6427</v>
      </c>
    </row>
    <row r="11" spans="1:26">
      <c r="A11">
        <v>4</v>
      </c>
      <c r="B11" s="12"/>
      <c r="C11" s="49"/>
      <c r="D11" s="32"/>
      <c r="F11" s="36"/>
      <c r="G11" s="36"/>
      <c r="H11" s="36"/>
      <c r="I11" s="36"/>
      <c r="J11" s="37"/>
      <c r="K11" s="37"/>
      <c r="M11" s="49"/>
      <c r="N11" s="32"/>
      <c r="P11" s="36"/>
      <c r="Q11" s="37"/>
      <c r="S11" s="49"/>
      <c r="T11" s="36"/>
      <c r="V11" s="45">
        <v>45212</v>
      </c>
      <c r="W11" s="36">
        <v>1</v>
      </c>
      <c r="X11" s="36">
        <v>0</v>
      </c>
      <c r="Y11" s="36">
        <f>Y10+W11-X11</f>
        <v>20.5</v>
      </c>
      <c r="Z11" s="8" t="s">
        <v>6428</v>
      </c>
    </row>
    <row r="12" spans="1:26">
      <c r="A12">
        <v>5</v>
      </c>
      <c r="B12" s="12"/>
      <c r="C12" s="49"/>
      <c r="D12" s="32"/>
      <c r="F12" s="36"/>
      <c r="G12" s="36"/>
      <c r="H12" s="36"/>
      <c r="I12" s="36"/>
      <c r="J12" s="37"/>
      <c r="K12" s="37"/>
      <c r="M12" s="49"/>
      <c r="N12" s="32"/>
      <c r="P12" s="36"/>
      <c r="Q12" s="37"/>
      <c r="S12" s="49"/>
      <c r="T12" s="36"/>
    </row>
    <row r="13" spans="1:26">
      <c r="A13">
        <v>6</v>
      </c>
      <c r="B13" s="12"/>
      <c r="C13" s="49"/>
      <c r="D13" s="32"/>
      <c r="F13" s="36"/>
      <c r="G13" s="36"/>
      <c r="H13" s="36"/>
      <c r="I13" s="36"/>
      <c r="J13" s="37"/>
      <c r="K13" s="37"/>
      <c r="M13" s="49"/>
      <c r="N13" s="32"/>
      <c r="P13" s="36"/>
      <c r="Q13" s="37"/>
      <c r="S13" s="49"/>
      <c r="T13" s="36"/>
    </row>
    <row r="14" spans="1:26">
      <c r="A14">
        <v>7</v>
      </c>
      <c r="B14" s="12"/>
      <c r="C14" s="49"/>
      <c r="D14" s="32"/>
      <c r="F14" s="36"/>
      <c r="G14" s="36"/>
      <c r="H14" s="36"/>
      <c r="I14" s="36"/>
      <c r="J14" s="37"/>
      <c r="K14" s="37"/>
      <c r="M14" s="49"/>
      <c r="N14" s="32"/>
      <c r="P14" s="36"/>
      <c r="Q14" s="37"/>
      <c r="S14" s="49"/>
      <c r="T14" s="36"/>
    </row>
    <row r="15" spans="1:26">
      <c r="A15">
        <v>8</v>
      </c>
      <c r="B15" s="12"/>
      <c r="C15" s="49"/>
      <c r="D15" s="32"/>
      <c r="F15" s="36"/>
      <c r="G15" s="36"/>
      <c r="H15" s="36"/>
      <c r="I15" s="36"/>
      <c r="J15" s="37"/>
      <c r="K15" s="37"/>
      <c r="M15" s="49"/>
      <c r="N15" s="32"/>
      <c r="P15" s="36"/>
      <c r="Q15" s="37"/>
      <c r="S15" s="49"/>
      <c r="T15" s="36"/>
    </row>
    <row r="16" spans="1:26">
      <c r="A16">
        <v>9</v>
      </c>
      <c r="B16" s="12"/>
      <c r="C16" s="49"/>
      <c r="D16" s="32"/>
      <c r="F16" s="36"/>
      <c r="G16" s="36"/>
      <c r="H16" s="36"/>
      <c r="I16" s="36"/>
      <c r="J16" s="37"/>
      <c r="K16" s="37"/>
      <c r="M16" s="49"/>
      <c r="N16" s="32"/>
      <c r="P16" s="36"/>
      <c r="Q16" s="37"/>
      <c r="S16" s="49"/>
      <c r="T16" s="36"/>
    </row>
    <row r="17" spans="1:20">
      <c r="A17">
        <v>10</v>
      </c>
      <c r="B17" s="12"/>
      <c r="C17" s="49"/>
      <c r="D17" s="32"/>
      <c r="F17" s="36"/>
      <c r="G17" s="36"/>
      <c r="H17" s="36"/>
      <c r="I17" s="36"/>
      <c r="J17" s="37"/>
      <c r="K17" s="37"/>
      <c r="M17" s="49"/>
      <c r="N17" s="32"/>
      <c r="P17" s="36"/>
      <c r="Q17" s="37"/>
      <c r="S17" s="49"/>
      <c r="T17" s="36"/>
    </row>
    <row r="18" spans="1:20">
      <c r="A18">
        <v>11</v>
      </c>
      <c r="B18" s="12"/>
      <c r="C18" s="49"/>
      <c r="D18" s="32"/>
      <c r="F18" s="36"/>
      <c r="G18" s="36"/>
      <c r="H18" s="36"/>
      <c r="I18" s="36"/>
      <c r="J18" s="37"/>
      <c r="K18" s="37"/>
      <c r="M18" s="49"/>
      <c r="N18" s="32"/>
      <c r="P18" s="36"/>
      <c r="Q18" s="37"/>
      <c r="S18" s="49"/>
      <c r="T18" s="36"/>
    </row>
    <row r="19" spans="1:20">
      <c r="A19">
        <v>12</v>
      </c>
      <c r="B19" s="12"/>
      <c r="C19" s="49"/>
      <c r="D19" s="32"/>
      <c r="F19" s="36"/>
      <c r="G19" s="36"/>
      <c r="H19" s="36"/>
      <c r="I19" s="36"/>
      <c r="J19" s="37"/>
      <c r="K19" s="37"/>
      <c r="M19" s="49"/>
      <c r="N19" s="32"/>
      <c r="P19" s="36"/>
      <c r="Q19" s="37"/>
      <c r="S19" s="49"/>
      <c r="T19" s="36"/>
    </row>
    <row r="20" spans="1:20">
      <c r="A20">
        <v>13</v>
      </c>
      <c r="B20" s="12"/>
      <c r="C20" s="49"/>
      <c r="D20" s="32"/>
      <c r="F20" s="36"/>
      <c r="G20" s="36"/>
      <c r="H20" s="36"/>
      <c r="I20" s="36"/>
      <c r="J20" s="37"/>
      <c r="K20" s="37"/>
      <c r="M20" s="49"/>
      <c r="N20" s="32"/>
      <c r="P20" s="36"/>
      <c r="Q20" s="37"/>
      <c r="S20" s="49"/>
      <c r="T20" s="36"/>
    </row>
    <row r="21" spans="1:20">
      <c r="A21">
        <v>14</v>
      </c>
      <c r="B21" s="12"/>
      <c r="C21" s="49"/>
      <c r="D21" s="32"/>
      <c r="F21" s="36"/>
      <c r="G21" s="36"/>
      <c r="H21" s="36"/>
      <c r="I21" s="36"/>
      <c r="J21" s="37"/>
      <c r="K21" s="37"/>
      <c r="M21" s="49"/>
      <c r="N21" s="32"/>
      <c r="P21" s="36"/>
      <c r="Q21" s="37"/>
    </row>
    <row r="22" spans="1:20">
      <c r="A22">
        <v>15</v>
      </c>
      <c r="B22" s="12"/>
      <c r="C22" s="49"/>
      <c r="D22" s="32"/>
      <c r="F22" s="36"/>
      <c r="G22" s="36"/>
      <c r="H22" s="36"/>
      <c r="I22" s="36"/>
      <c r="J22" s="37"/>
      <c r="K22" s="37"/>
      <c r="M22" s="49"/>
      <c r="N22" s="32"/>
      <c r="P22" s="36"/>
      <c r="Q22" s="37"/>
    </row>
    <row r="23" spans="1:20">
      <c r="A23">
        <v>16</v>
      </c>
      <c r="B23" s="12"/>
      <c r="C23" s="49"/>
      <c r="D23" s="32"/>
      <c r="F23" s="36"/>
      <c r="G23" s="36"/>
      <c r="H23" s="36"/>
      <c r="I23" s="36"/>
      <c r="J23" s="37"/>
      <c r="K23" s="37"/>
      <c r="M23" s="49"/>
      <c r="N23" s="32"/>
      <c r="P23" s="36"/>
      <c r="Q23" s="37"/>
    </row>
    <row r="24" spans="1:20">
      <c r="A24">
        <v>17</v>
      </c>
      <c r="B24" s="12"/>
      <c r="C24" s="49"/>
      <c r="D24" s="32"/>
      <c r="F24" s="36"/>
      <c r="G24" s="36"/>
      <c r="H24" s="36"/>
      <c r="I24" s="36"/>
      <c r="J24" s="37"/>
      <c r="K24" s="37"/>
      <c r="M24" s="49"/>
      <c r="N24" s="32"/>
      <c r="P24" s="36"/>
      <c r="Q24" s="37"/>
    </row>
    <row r="25" spans="1:20">
      <c r="A25">
        <v>18</v>
      </c>
      <c r="B25" s="12"/>
      <c r="C25" s="49"/>
      <c r="D25" s="32"/>
      <c r="F25" s="36"/>
      <c r="G25" s="36"/>
      <c r="H25" s="36"/>
      <c r="I25" s="36"/>
      <c r="J25" s="37"/>
      <c r="K25" s="37"/>
      <c r="M25" s="49"/>
      <c r="N25" s="32"/>
      <c r="P25" s="36"/>
      <c r="Q25" s="37"/>
    </row>
    <row r="26" spans="1:20">
      <c r="A26">
        <v>19</v>
      </c>
      <c r="B26" s="12"/>
      <c r="C26" s="49"/>
      <c r="D26" s="32"/>
      <c r="F26" s="36"/>
      <c r="G26" s="36"/>
      <c r="H26" s="36"/>
      <c r="I26" s="36"/>
      <c r="J26" s="37"/>
      <c r="K26" s="37"/>
      <c r="M26" s="49"/>
      <c r="N26" s="32"/>
      <c r="P26" s="36"/>
      <c r="Q26" s="37"/>
    </row>
    <row r="27" spans="1:20">
      <c r="A27">
        <v>20</v>
      </c>
      <c r="B27" s="12"/>
      <c r="C27" s="49"/>
      <c r="D27" s="32"/>
      <c r="F27" s="36"/>
      <c r="G27" s="36"/>
      <c r="H27" s="36"/>
      <c r="I27" s="36"/>
      <c r="J27" s="37"/>
      <c r="K27" s="37"/>
      <c r="M27" s="49"/>
      <c r="N27" s="32"/>
      <c r="P27" s="36"/>
      <c r="Q27" s="37"/>
    </row>
    <row r="28" spans="1:20">
      <c r="A28">
        <v>21</v>
      </c>
      <c r="B28" s="12"/>
      <c r="C28" s="49"/>
      <c r="D28" s="32"/>
      <c r="F28" s="36"/>
      <c r="G28" s="36"/>
      <c r="H28" s="36"/>
      <c r="I28" s="36"/>
      <c r="J28" s="37"/>
      <c r="K28" s="37"/>
      <c r="M28" s="49"/>
      <c r="N28" s="32"/>
      <c r="P28" s="36"/>
      <c r="Q28" s="37"/>
    </row>
    <row r="29" spans="1:20">
      <c r="A29">
        <v>22</v>
      </c>
      <c r="B29" s="12"/>
      <c r="C29" s="49"/>
      <c r="D29" s="32"/>
      <c r="F29" s="36"/>
      <c r="G29" s="36"/>
      <c r="H29" s="36"/>
      <c r="I29" s="36"/>
      <c r="J29" s="37"/>
      <c r="K29" s="37"/>
      <c r="M29" s="49"/>
      <c r="N29" s="32"/>
      <c r="P29" s="36"/>
      <c r="Q29" s="37"/>
    </row>
    <row r="30" spans="1:20">
      <c r="A30">
        <v>23</v>
      </c>
      <c r="B30" s="12"/>
      <c r="C30" s="49"/>
      <c r="D30" s="32"/>
      <c r="F30" s="36"/>
      <c r="G30" s="36"/>
      <c r="H30" s="36"/>
      <c r="I30" s="36"/>
      <c r="J30" s="37"/>
      <c r="K30" s="37"/>
      <c r="M30" s="49"/>
      <c r="N30" s="32"/>
      <c r="P30" s="36"/>
      <c r="Q30" s="37"/>
    </row>
    <row r="31" spans="1:20">
      <c r="A31">
        <v>24</v>
      </c>
      <c r="B31" s="12"/>
      <c r="C31" s="49"/>
      <c r="D31" s="32"/>
      <c r="F31" s="36"/>
      <c r="G31" s="36"/>
      <c r="H31" s="36"/>
      <c r="I31" s="36"/>
      <c r="J31" s="37"/>
      <c r="K31" s="37"/>
      <c r="M31" s="49"/>
      <c r="N31" s="32"/>
      <c r="P31" s="36"/>
      <c r="Q31" s="37"/>
    </row>
    <row r="32" spans="1:20">
      <c r="A32">
        <v>25</v>
      </c>
      <c r="B32" s="12"/>
      <c r="C32" s="49"/>
      <c r="D32" s="32"/>
      <c r="F32" s="36"/>
      <c r="G32" s="36"/>
      <c r="H32" s="36"/>
      <c r="I32" s="36"/>
      <c r="J32" s="37"/>
      <c r="K32" s="37"/>
      <c r="M32" s="49"/>
      <c r="N32" s="32"/>
      <c r="P32" s="36"/>
      <c r="Q32" s="37"/>
    </row>
    <row r="33" spans="1:17">
      <c r="A33">
        <v>26</v>
      </c>
      <c r="B33" s="12"/>
      <c r="C33" s="49"/>
      <c r="D33" s="32"/>
      <c r="F33" s="36"/>
      <c r="G33" s="36"/>
      <c r="H33" s="36"/>
      <c r="I33" s="36"/>
      <c r="J33" s="37"/>
      <c r="K33" s="37"/>
      <c r="M33" s="49"/>
      <c r="N33" s="32"/>
      <c r="P33" s="36"/>
      <c r="Q33" s="37"/>
    </row>
    <row r="34" spans="1:17">
      <c r="A34">
        <v>27</v>
      </c>
      <c r="B34" s="12"/>
      <c r="C34" s="49"/>
      <c r="D34" s="32"/>
      <c r="F34" s="36"/>
      <c r="G34" s="36"/>
      <c r="H34" s="36"/>
      <c r="I34" s="36"/>
      <c r="J34" s="37"/>
      <c r="K34" s="37"/>
      <c r="M34" s="49"/>
      <c r="N34" s="32"/>
      <c r="P34" s="36"/>
      <c r="Q34" s="37"/>
    </row>
    <row r="35" spans="1:17">
      <c r="A35">
        <v>28</v>
      </c>
      <c r="B35" s="12"/>
      <c r="C35" s="49"/>
      <c r="D35" s="32"/>
      <c r="F35" s="36"/>
      <c r="G35" s="36"/>
      <c r="H35" s="36"/>
      <c r="I35" s="36"/>
      <c r="J35" s="37"/>
      <c r="K35" s="37"/>
      <c r="M35" s="49"/>
      <c r="N35" s="32"/>
      <c r="P35" s="36"/>
      <c r="Q35" s="37"/>
    </row>
    <row r="36" spans="1:17">
      <c r="A36">
        <v>29</v>
      </c>
      <c r="B36" s="12"/>
      <c r="C36" s="49"/>
      <c r="D36" s="32"/>
      <c r="F36" s="36"/>
      <c r="G36" s="36"/>
      <c r="H36" s="36"/>
      <c r="I36" s="36"/>
      <c r="J36" s="37"/>
      <c r="K36" s="37"/>
      <c r="M36" s="49"/>
      <c r="N36" s="32"/>
      <c r="P36" s="36"/>
      <c r="Q36" s="37"/>
    </row>
    <row r="37" spans="1:17">
      <c r="B37" s="12"/>
      <c r="C37" s="49"/>
      <c r="D37" s="32"/>
      <c r="F37" s="36"/>
      <c r="G37" s="36"/>
      <c r="H37" s="36"/>
      <c r="I37" s="36"/>
      <c r="J37" s="37"/>
      <c r="K37" s="37"/>
      <c r="M37" s="49"/>
      <c r="N37" s="32"/>
      <c r="P37" s="36"/>
      <c r="Q37" s="37"/>
    </row>
    <row r="38" spans="1:17">
      <c r="B38" s="12"/>
      <c r="C38" s="49"/>
      <c r="D38" s="32"/>
      <c r="F38" s="36"/>
      <c r="G38" s="36"/>
      <c r="H38" s="36"/>
      <c r="I38" s="36"/>
      <c r="J38" s="37"/>
      <c r="K38" s="37"/>
      <c r="M38" s="49"/>
      <c r="N38" s="32"/>
      <c r="P38" s="36"/>
      <c r="Q38" s="37"/>
    </row>
    <row r="39" spans="1:17">
      <c r="B39" s="12"/>
      <c r="C39" s="49"/>
      <c r="D39" s="32"/>
      <c r="F39" s="36"/>
      <c r="G39" s="36"/>
      <c r="H39" s="36"/>
      <c r="I39" s="36"/>
      <c r="J39" s="37"/>
      <c r="K39" s="37"/>
      <c r="M39" s="49"/>
      <c r="N39" s="32"/>
      <c r="P39" s="36"/>
      <c r="Q39" s="37"/>
    </row>
    <row r="40" spans="1:17">
      <c r="B40" s="12"/>
      <c r="C40" s="49"/>
      <c r="D40" s="32"/>
      <c r="F40" s="36"/>
      <c r="G40" s="36"/>
      <c r="H40" s="36"/>
      <c r="I40" s="36"/>
      <c r="J40" s="37"/>
      <c r="K40" s="37"/>
      <c r="M40" s="49"/>
      <c r="N40" s="32"/>
      <c r="P40" s="36"/>
      <c r="Q40" s="37"/>
    </row>
    <row r="41" spans="1:17">
      <c r="B41" s="12"/>
      <c r="C41" s="49"/>
      <c r="D41" s="32"/>
      <c r="F41" s="36"/>
      <c r="G41" s="36"/>
      <c r="H41" s="36"/>
      <c r="I41" s="36"/>
      <c r="J41" s="37"/>
      <c r="K41" s="37"/>
      <c r="M41" s="49"/>
      <c r="N41" s="32"/>
      <c r="P41" s="36"/>
      <c r="Q41" s="37"/>
    </row>
    <row r="42" spans="1:17">
      <c r="B42" s="12"/>
      <c r="C42" s="49"/>
      <c r="D42" s="32"/>
      <c r="F42" s="36"/>
      <c r="G42" s="36"/>
      <c r="H42" s="36"/>
      <c r="I42" s="36"/>
      <c r="J42" s="37"/>
      <c r="K42" s="37"/>
      <c r="M42" s="49"/>
      <c r="N42" s="32"/>
      <c r="P42" s="36"/>
      <c r="Q42" s="37"/>
    </row>
    <row r="43" spans="1:17">
      <c r="B43" s="12"/>
      <c r="C43" s="49"/>
      <c r="D43" s="32"/>
      <c r="F43" s="36"/>
      <c r="G43" s="36"/>
      <c r="H43" s="36"/>
      <c r="I43" s="36"/>
      <c r="J43" s="37"/>
      <c r="K43" s="37"/>
      <c r="M43" s="49"/>
      <c r="N43" s="32"/>
      <c r="P43" s="36"/>
      <c r="Q43" s="37"/>
    </row>
    <row r="44" spans="1:17">
      <c r="B44" s="12"/>
      <c r="C44" s="49"/>
      <c r="D44" s="32"/>
      <c r="F44" s="36"/>
      <c r="G44" s="36"/>
      <c r="H44" s="36"/>
      <c r="I44" s="36"/>
      <c r="J44" s="37"/>
      <c r="K44" s="37"/>
      <c r="M44" s="49"/>
      <c r="N44" s="32"/>
      <c r="P44" s="36"/>
      <c r="Q44" s="37"/>
    </row>
    <row r="45" spans="1:17">
      <c r="B45" s="12"/>
      <c r="C45" s="49"/>
      <c r="D45" s="32"/>
      <c r="F45" s="36"/>
      <c r="G45" s="36"/>
      <c r="H45" s="36"/>
      <c r="I45" s="36"/>
      <c r="J45" s="37"/>
      <c r="K45" s="37"/>
      <c r="M45" s="49"/>
      <c r="N45" s="32"/>
      <c r="P45" s="36"/>
      <c r="Q45" s="37"/>
    </row>
    <row r="46" spans="1:17">
      <c r="B46" s="12"/>
      <c r="C46" s="49"/>
      <c r="D46" s="32"/>
      <c r="F46" s="36"/>
      <c r="G46" s="36"/>
      <c r="H46" s="36"/>
      <c r="I46" s="36"/>
      <c r="J46" s="37"/>
      <c r="K46" s="37"/>
      <c r="M46" s="49"/>
      <c r="N46" s="32"/>
      <c r="P46" s="36"/>
      <c r="Q46" s="37"/>
    </row>
    <row r="47" spans="1:17">
      <c r="B47" s="12"/>
      <c r="C47" s="49"/>
      <c r="D47" s="32"/>
      <c r="F47" s="36"/>
      <c r="G47" s="36"/>
      <c r="H47" s="36"/>
      <c r="I47" s="36"/>
      <c r="J47" s="37"/>
      <c r="K47" s="37"/>
      <c r="M47" s="49"/>
      <c r="N47" s="32"/>
      <c r="P47" s="36"/>
      <c r="Q47" s="37"/>
    </row>
    <row r="48" spans="1:17">
      <c r="B48" s="12"/>
      <c r="C48" s="49"/>
      <c r="D48" s="32"/>
      <c r="F48" s="36"/>
      <c r="G48" s="66"/>
      <c r="H48" s="36"/>
      <c r="I48" s="36"/>
      <c r="J48" s="37"/>
      <c r="K48" s="37"/>
      <c r="M48" s="49"/>
      <c r="N48" s="32"/>
      <c r="P48" s="36"/>
      <c r="Q48" s="37"/>
    </row>
    <row r="49" spans="2:17">
      <c r="B49" s="12"/>
      <c r="C49" s="49"/>
      <c r="D49" s="32"/>
      <c r="F49" s="36"/>
      <c r="G49" s="36"/>
      <c r="H49" s="36"/>
      <c r="I49" s="36"/>
      <c r="J49" s="37"/>
      <c r="K49" s="37"/>
      <c r="M49" s="49"/>
      <c r="N49" s="32"/>
      <c r="P49" s="36"/>
      <c r="Q49" s="37"/>
    </row>
    <row r="50" spans="2:17">
      <c r="B50" s="12"/>
      <c r="C50" s="49"/>
      <c r="D50" s="32"/>
      <c r="F50" s="36"/>
      <c r="G50" s="36"/>
      <c r="H50" s="36"/>
      <c r="I50" s="36"/>
      <c r="J50" s="37"/>
      <c r="K50" s="37"/>
      <c r="M50" s="49"/>
      <c r="N50" s="32"/>
      <c r="P50" s="36"/>
      <c r="Q50" s="37"/>
    </row>
    <row r="51" spans="2:17">
      <c r="B51" s="12"/>
      <c r="C51" s="49"/>
      <c r="D51" s="32"/>
      <c r="F51" s="36"/>
      <c r="G51" s="36"/>
      <c r="H51" s="36"/>
      <c r="I51" s="36"/>
      <c r="J51" s="37"/>
      <c r="K51" s="37"/>
      <c r="M51" s="49"/>
      <c r="N51" s="32"/>
      <c r="P51" s="36"/>
      <c r="Q51" s="37"/>
    </row>
    <row r="52" spans="2:17">
      <c r="B52" s="12"/>
      <c r="C52" s="49"/>
      <c r="D52" s="32"/>
      <c r="F52" s="36"/>
      <c r="G52" s="36"/>
      <c r="H52" s="36"/>
      <c r="I52" s="36"/>
      <c r="J52" s="37"/>
      <c r="K52" s="37"/>
      <c r="M52" s="49"/>
      <c r="N52" s="32"/>
      <c r="P52" s="36"/>
      <c r="Q52" s="37"/>
    </row>
    <row r="53" spans="2:17">
      <c r="B53" s="12"/>
      <c r="C53" s="49"/>
      <c r="D53" s="32"/>
      <c r="F53" s="36"/>
      <c r="G53" s="36"/>
      <c r="H53" s="36"/>
      <c r="I53" s="36"/>
      <c r="J53" s="37"/>
      <c r="K53" s="37"/>
      <c r="M53" s="49"/>
      <c r="N53" s="32"/>
      <c r="P53" s="36"/>
      <c r="Q53" s="37"/>
    </row>
    <row r="54" spans="2:17">
      <c r="B54" s="12"/>
      <c r="C54" s="49"/>
      <c r="D54" s="32"/>
      <c r="F54" s="36"/>
      <c r="G54" s="36"/>
      <c r="H54" s="36"/>
      <c r="I54" s="36"/>
      <c r="J54" s="37"/>
      <c r="K54" s="37"/>
      <c r="M54" s="49"/>
      <c r="N54" s="32"/>
      <c r="P54" s="36"/>
      <c r="Q54" s="37"/>
    </row>
    <row r="55" spans="2:17">
      <c r="B55" s="12"/>
      <c r="C55" s="49"/>
      <c r="D55" s="32"/>
      <c r="F55" s="36"/>
      <c r="G55" s="36"/>
      <c r="H55" s="36"/>
      <c r="I55" s="36"/>
      <c r="J55" s="37"/>
      <c r="K55" s="37"/>
      <c r="M55" s="49"/>
      <c r="N55" s="32"/>
      <c r="P55" s="36"/>
      <c r="Q55" s="37"/>
    </row>
    <row r="56" spans="2:17">
      <c r="B56" s="12"/>
      <c r="C56" s="49"/>
      <c r="D56" s="32"/>
      <c r="F56" s="36"/>
      <c r="G56" s="36"/>
      <c r="H56" s="36"/>
      <c r="I56" s="36"/>
      <c r="J56" s="37"/>
      <c r="K56" s="37"/>
      <c r="M56" s="49"/>
      <c r="N56" s="32"/>
      <c r="P56" s="36"/>
      <c r="Q56" s="37"/>
    </row>
    <row r="57" spans="2:17">
      <c r="B57" s="12"/>
      <c r="C57" s="49"/>
      <c r="D57" s="32"/>
      <c r="F57" s="36"/>
      <c r="G57" s="36"/>
      <c r="H57" s="36"/>
      <c r="I57" s="36"/>
      <c r="J57" s="37"/>
      <c r="K57" s="37"/>
      <c r="M57" s="49"/>
      <c r="N57" s="32"/>
      <c r="P57" s="36"/>
      <c r="Q57" s="37"/>
    </row>
    <row r="58" spans="2:17">
      <c r="B58" s="12"/>
      <c r="C58" s="49"/>
      <c r="D58" s="32"/>
      <c r="F58" s="36"/>
      <c r="G58" s="36"/>
      <c r="H58" s="36"/>
      <c r="I58" s="36"/>
      <c r="J58" s="37"/>
      <c r="K58" s="37"/>
      <c r="M58" s="49"/>
      <c r="N58" s="32"/>
      <c r="P58" s="36"/>
      <c r="Q58" s="37"/>
    </row>
    <row r="59" spans="2:17">
      <c r="B59" s="12"/>
      <c r="C59" s="49"/>
      <c r="D59" s="32"/>
      <c r="F59" s="36"/>
      <c r="G59" s="36"/>
      <c r="H59" s="36"/>
      <c r="I59" s="36"/>
      <c r="J59" s="37"/>
      <c r="K59" s="37"/>
      <c r="M59" s="49"/>
      <c r="N59" s="32"/>
      <c r="P59" s="36"/>
      <c r="Q59" s="37"/>
    </row>
    <row r="60" spans="2:17">
      <c r="B60" s="12"/>
      <c r="C60" s="49"/>
      <c r="D60" s="32"/>
      <c r="F60" s="36"/>
      <c r="G60" s="36"/>
      <c r="H60" s="36"/>
      <c r="I60" s="36"/>
      <c r="J60" s="37"/>
      <c r="K60" s="37"/>
      <c r="M60" s="49"/>
      <c r="N60" s="32"/>
      <c r="P60" s="36"/>
      <c r="Q60" s="37"/>
    </row>
    <row r="61" spans="2:17">
      <c r="B61" s="12"/>
      <c r="C61" s="49"/>
      <c r="D61" s="32"/>
      <c r="F61" s="36"/>
      <c r="G61" s="36"/>
      <c r="H61" s="36"/>
      <c r="I61" s="36"/>
      <c r="J61" s="37"/>
      <c r="K61" s="37"/>
      <c r="M61" s="49"/>
      <c r="N61" s="32"/>
      <c r="P61" s="36"/>
      <c r="Q61" s="37"/>
    </row>
    <row r="62" spans="2:17">
      <c r="B62" s="12"/>
      <c r="C62" s="49"/>
      <c r="D62" s="32"/>
      <c r="F62" s="36"/>
      <c r="G62" s="36"/>
      <c r="H62" s="36"/>
      <c r="I62" s="36"/>
      <c r="J62" s="37"/>
      <c r="K62" s="37"/>
      <c r="M62" s="49"/>
      <c r="N62" s="32"/>
      <c r="P62" s="36"/>
      <c r="Q62" s="37"/>
    </row>
    <row r="63" spans="2:17">
      <c r="B63" s="12"/>
      <c r="C63" s="49"/>
      <c r="D63" s="32"/>
      <c r="F63" s="36"/>
      <c r="G63" s="36"/>
      <c r="H63" s="36"/>
      <c r="I63" s="36"/>
      <c r="J63" s="37"/>
      <c r="K63" s="37"/>
      <c r="M63" s="49"/>
      <c r="N63" s="32"/>
      <c r="P63" s="36"/>
      <c r="Q63" s="37"/>
    </row>
    <row r="64" spans="2:17">
      <c r="B64" s="12"/>
      <c r="C64" s="49"/>
      <c r="D64" s="32"/>
      <c r="F64" s="36"/>
      <c r="G64" s="66"/>
      <c r="H64" s="36"/>
      <c r="I64" s="36"/>
      <c r="J64" s="37"/>
      <c r="K64" s="37"/>
      <c r="M64" s="49"/>
      <c r="N64" s="32"/>
      <c r="P64" s="36"/>
      <c r="Q64" s="37"/>
    </row>
    <row r="65" spans="2:17">
      <c r="B65" s="12"/>
      <c r="C65" s="49"/>
      <c r="D65" s="32"/>
      <c r="F65" s="36"/>
      <c r="G65" s="66"/>
      <c r="H65" s="36"/>
      <c r="I65" s="36"/>
      <c r="J65" s="37"/>
      <c r="K65" s="37"/>
      <c r="M65" s="49"/>
      <c r="N65" s="32"/>
      <c r="P65" s="36"/>
      <c r="Q65" s="37"/>
    </row>
    <row r="66" spans="2:17">
      <c r="B66" s="12"/>
      <c r="C66" s="49"/>
      <c r="D66" s="32"/>
      <c r="F66" s="36"/>
      <c r="G66" s="36"/>
      <c r="H66" s="36"/>
      <c r="I66" s="36"/>
      <c r="J66" s="37"/>
      <c r="K66" s="37"/>
      <c r="M66" s="49"/>
      <c r="N66" s="32"/>
      <c r="P66" s="36"/>
      <c r="Q66" s="37"/>
    </row>
    <row r="67" spans="2:17">
      <c r="B67" s="12"/>
      <c r="C67" s="49"/>
      <c r="D67" s="32"/>
      <c r="F67" s="36"/>
      <c r="G67" s="36"/>
      <c r="H67" s="36"/>
      <c r="I67" s="36"/>
      <c r="J67" s="37"/>
      <c r="K67" s="37"/>
      <c r="M67" s="49"/>
      <c r="N67" s="32"/>
      <c r="P67" s="36"/>
      <c r="Q67" s="37"/>
    </row>
    <row r="68" spans="2:17">
      <c r="B68" s="12"/>
      <c r="C68" s="49"/>
      <c r="D68" s="32"/>
      <c r="F68" s="36"/>
      <c r="G68" s="66"/>
      <c r="H68" s="36"/>
      <c r="I68" s="36"/>
      <c r="J68" s="37"/>
      <c r="K68" s="37"/>
      <c r="M68" s="49"/>
      <c r="N68" s="32"/>
      <c r="P68" s="36"/>
      <c r="Q68" s="37"/>
    </row>
    <row r="69" spans="2:17">
      <c r="B69" s="12"/>
      <c r="C69" s="49"/>
      <c r="D69" s="32"/>
      <c r="F69" s="36"/>
      <c r="G69" s="36"/>
      <c r="H69" s="36"/>
      <c r="I69" s="36"/>
      <c r="J69" s="37"/>
      <c r="K69" s="37"/>
      <c r="M69" s="49"/>
      <c r="N69" s="32"/>
      <c r="P69" s="36"/>
      <c r="Q69" s="37"/>
    </row>
    <row r="70" spans="2:17">
      <c r="B70" s="12"/>
      <c r="C70" s="49"/>
      <c r="D70" s="32"/>
      <c r="F70" s="36"/>
      <c r="G70" s="36"/>
      <c r="H70" s="36"/>
      <c r="I70" s="36"/>
      <c r="J70" s="37"/>
      <c r="K70" s="37"/>
      <c r="M70" s="49"/>
      <c r="N70" s="32"/>
      <c r="P70" s="36"/>
      <c r="Q70" s="37"/>
    </row>
    <row r="71" spans="2:17">
      <c r="B71" s="12"/>
      <c r="C71" s="49"/>
      <c r="D71" s="32"/>
      <c r="F71" s="36"/>
      <c r="G71" s="36"/>
      <c r="H71" s="36"/>
      <c r="I71" s="36"/>
      <c r="J71" s="37"/>
      <c r="K71" s="37"/>
      <c r="M71" s="49"/>
      <c r="N71" s="32"/>
      <c r="P71" s="36"/>
      <c r="Q71" s="37"/>
    </row>
    <row r="72" spans="2:17">
      <c r="B72" s="12"/>
      <c r="C72" s="49"/>
      <c r="D72" s="32"/>
      <c r="F72" s="36"/>
      <c r="G72" s="36"/>
      <c r="H72" s="36"/>
      <c r="I72" s="36"/>
      <c r="J72" s="37"/>
      <c r="K72" s="37"/>
      <c r="M72" s="49"/>
      <c r="N72" s="32"/>
      <c r="P72" s="36"/>
      <c r="Q72" s="37"/>
    </row>
    <row r="73" spans="2:17">
      <c r="B73" s="12"/>
      <c r="C73" s="49"/>
      <c r="D73" s="32"/>
      <c r="F73" s="36"/>
      <c r="G73" s="36"/>
      <c r="H73" s="36"/>
      <c r="I73" s="36"/>
      <c r="J73" s="37"/>
      <c r="K73" s="37"/>
      <c r="M73" s="49"/>
      <c r="N73" s="32"/>
      <c r="P73" s="36"/>
      <c r="Q73" s="37"/>
    </row>
    <row r="74" spans="2:17">
      <c r="B74" s="12"/>
      <c r="C74" s="49"/>
      <c r="D74" s="32"/>
      <c r="F74" s="36"/>
      <c r="G74" s="36"/>
      <c r="H74" s="36"/>
      <c r="I74" s="36"/>
      <c r="J74" s="37"/>
      <c r="K74" s="37"/>
      <c r="M74" s="49"/>
      <c r="N74" s="32"/>
      <c r="P74" s="36"/>
      <c r="Q74" s="37"/>
    </row>
    <row r="75" spans="2:17">
      <c r="B75" s="12"/>
      <c r="C75" s="49"/>
      <c r="D75" s="32"/>
      <c r="F75" s="36"/>
      <c r="G75" s="66"/>
      <c r="H75" s="36"/>
      <c r="I75" s="36"/>
      <c r="J75" s="37"/>
      <c r="K75" s="37"/>
      <c r="M75" s="49"/>
      <c r="N75" s="32"/>
      <c r="P75" s="36"/>
      <c r="Q75" s="37"/>
    </row>
    <row r="76" spans="2:17">
      <c r="B76" s="12"/>
      <c r="C76" s="49"/>
      <c r="D76" s="32"/>
      <c r="F76" s="36"/>
      <c r="G76" s="66"/>
      <c r="H76" s="36"/>
      <c r="I76" s="36"/>
      <c r="J76" s="37"/>
      <c r="K76" s="37"/>
      <c r="M76" s="49"/>
      <c r="N76" s="32"/>
      <c r="P76" s="36"/>
      <c r="Q76" s="37"/>
    </row>
    <row r="77" spans="2:17">
      <c r="B77" s="12"/>
      <c r="C77" s="49"/>
      <c r="D77" s="32"/>
      <c r="F77" s="36"/>
      <c r="G77" s="36"/>
      <c r="H77" s="36"/>
      <c r="I77" s="36"/>
      <c r="J77" s="37"/>
      <c r="K77" s="37"/>
      <c r="M77" s="49"/>
      <c r="N77" s="32"/>
      <c r="P77" s="36"/>
      <c r="Q77" s="37"/>
    </row>
    <row r="78" spans="2:17">
      <c r="B78" s="12"/>
      <c r="C78" s="49"/>
      <c r="D78" s="32"/>
      <c r="F78" s="36"/>
      <c r="G78" s="66"/>
      <c r="H78" s="36"/>
      <c r="I78" s="36"/>
      <c r="J78" s="37"/>
      <c r="K78" s="37"/>
      <c r="M78" s="49"/>
      <c r="N78" s="32"/>
      <c r="P78" s="36"/>
      <c r="Q78" s="37"/>
    </row>
    <row r="79" spans="2:17">
      <c r="B79" s="12"/>
      <c r="C79" s="49"/>
      <c r="D79" s="32"/>
      <c r="F79" s="36"/>
      <c r="G79" s="66"/>
      <c r="H79" s="36"/>
      <c r="I79" s="36"/>
      <c r="J79" s="37"/>
      <c r="K79" s="37"/>
      <c r="M79" s="49"/>
      <c r="N79" s="32"/>
      <c r="P79" s="36"/>
      <c r="Q79" s="37"/>
    </row>
    <row r="80" spans="2:17">
      <c r="B80" s="12"/>
      <c r="C80" s="49"/>
      <c r="D80" s="32"/>
      <c r="F80" s="36"/>
      <c r="G80" s="36"/>
      <c r="H80" s="36"/>
      <c r="I80" s="36"/>
      <c r="J80" s="37"/>
      <c r="K80" s="37"/>
      <c r="M80" s="49"/>
      <c r="N80" s="32"/>
      <c r="P80" s="36"/>
      <c r="Q80" s="37"/>
    </row>
    <row r="81" spans="2:17">
      <c r="B81" s="12"/>
      <c r="C81" s="49"/>
      <c r="D81" s="32"/>
      <c r="F81" s="36"/>
      <c r="G81" s="36"/>
      <c r="H81" s="36"/>
      <c r="I81" s="36"/>
      <c r="J81" s="37"/>
      <c r="K81" s="37"/>
      <c r="M81" s="49"/>
      <c r="N81" s="32"/>
      <c r="P81" s="36"/>
      <c r="Q81" s="37"/>
    </row>
    <row r="82" spans="2:17">
      <c r="B82" s="12"/>
      <c r="C82" s="49"/>
      <c r="D82" s="32"/>
      <c r="F82" s="36"/>
      <c r="G82" s="66"/>
      <c r="H82" s="36"/>
      <c r="I82" s="36"/>
      <c r="J82" s="37"/>
      <c r="K82" s="37"/>
      <c r="M82" s="49"/>
      <c r="N82" s="32"/>
      <c r="P82" s="36"/>
      <c r="Q82" s="37"/>
    </row>
    <row r="83" spans="2:17">
      <c r="B83" s="12"/>
      <c r="C83" s="49"/>
      <c r="D83" s="32"/>
      <c r="F83" s="36"/>
      <c r="G83" s="36"/>
      <c r="H83" s="36"/>
      <c r="I83" s="36"/>
      <c r="J83" s="37"/>
      <c r="K83" s="37"/>
      <c r="M83" s="49"/>
      <c r="N83" s="32"/>
      <c r="P83" s="36"/>
      <c r="Q83" s="37"/>
    </row>
    <row r="84" spans="2:17">
      <c r="B84" s="12"/>
      <c r="C84" s="49"/>
      <c r="D84" s="32"/>
      <c r="F84" s="36"/>
      <c r="G84" s="66"/>
      <c r="H84" s="36"/>
      <c r="I84" s="36"/>
      <c r="J84" s="37"/>
      <c r="K84" s="37"/>
      <c r="M84" s="49"/>
      <c r="N84" s="32"/>
      <c r="P84" s="36"/>
      <c r="Q84" s="37"/>
    </row>
    <row r="85" spans="2:17">
      <c r="B85" s="12"/>
      <c r="C85" s="49"/>
      <c r="D85" s="32"/>
      <c r="F85" s="36"/>
      <c r="G85" s="66"/>
      <c r="H85" s="36"/>
      <c r="I85" s="36"/>
      <c r="J85" s="37"/>
      <c r="K85" s="37"/>
      <c r="M85" s="49"/>
      <c r="N85" s="32"/>
      <c r="P85" s="36"/>
      <c r="Q85" s="37"/>
    </row>
    <row r="86" spans="2:17">
      <c r="B86" s="12"/>
      <c r="C86" s="49"/>
      <c r="D86" s="32"/>
      <c r="F86" s="36"/>
      <c r="G86" s="36"/>
      <c r="H86" s="36"/>
      <c r="I86" s="36"/>
      <c r="J86" s="37"/>
      <c r="K86" s="37"/>
      <c r="M86" s="49"/>
      <c r="N86" s="32"/>
      <c r="P86" s="36"/>
      <c r="Q86" s="37"/>
    </row>
    <row r="87" spans="2:17">
      <c r="B87" s="12"/>
      <c r="C87" s="49"/>
      <c r="D87" s="32"/>
      <c r="F87" s="36"/>
      <c r="G87" s="36"/>
      <c r="H87" s="36"/>
      <c r="I87" s="36"/>
      <c r="J87" s="37"/>
      <c r="K87" s="37"/>
      <c r="M87" s="49"/>
      <c r="N87" s="32"/>
      <c r="P87" s="36"/>
      <c r="Q87" s="37"/>
    </row>
    <row r="88" spans="2:17">
      <c r="B88" s="12"/>
      <c r="C88" s="49"/>
      <c r="D88" s="32"/>
      <c r="F88" s="36"/>
      <c r="G88" s="36"/>
      <c r="H88" s="36"/>
      <c r="I88" s="36"/>
      <c r="J88" s="37"/>
      <c r="K88" s="37"/>
      <c r="M88" s="49"/>
      <c r="N88" s="32"/>
      <c r="P88" s="36"/>
      <c r="Q88" s="37"/>
    </row>
    <row r="89" spans="2:17">
      <c r="B89" s="12"/>
      <c r="C89" s="49"/>
      <c r="D89" s="32"/>
      <c r="F89" s="36"/>
      <c r="G89" s="66"/>
      <c r="H89" s="36"/>
      <c r="I89" s="36"/>
      <c r="J89" s="37"/>
      <c r="K89" s="37"/>
      <c r="M89" s="49"/>
      <c r="N89" s="32"/>
      <c r="P89" s="36"/>
      <c r="Q89" s="37"/>
    </row>
    <row r="90" spans="2:17">
      <c r="B90" s="12"/>
      <c r="C90" s="49"/>
      <c r="D90" s="32"/>
      <c r="F90" s="36"/>
      <c r="G90" s="66"/>
      <c r="H90" s="36"/>
      <c r="I90" s="36"/>
      <c r="J90" s="37"/>
      <c r="K90" s="37"/>
      <c r="M90" s="49"/>
      <c r="N90" s="32"/>
      <c r="P90" s="36"/>
      <c r="Q90" s="37"/>
    </row>
    <row r="91" spans="2:17">
      <c r="B91" s="12"/>
      <c r="C91" s="49"/>
      <c r="D91" s="32"/>
      <c r="F91" s="36"/>
      <c r="G91" s="66"/>
      <c r="H91" s="36"/>
      <c r="I91" s="36"/>
      <c r="J91" s="37"/>
      <c r="K91" s="37"/>
      <c r="M91" s="49"/>
      <c r="N91" s="32"/>
      <c r="P91" s="36"/>
      <c r="Q91" s="37"/>
    </row>
    <row r="92" spans="2:17">
      <c r="B92" s="12"/>
      <c r="C92" s="49"/>
      <c r="D92" s="32"/>
      <c r="F92" s="36"/>
      <c r="G92" s="66"/>
      <c r="H92" s="36"/>
      <c r="I92" s="36"/>
      <c r="J92" s="37"/>
      <c r="K92" s="37"/>
      <c r="M92" s="49"/>
      <c r="N92" s="32"/>
      <c r="P92" s="36"/>
      <c r="Q92" s="37"/>
    </row>
    <row r="93" spans="2:17">
      <c r="B93" s="12"/>
      <c r="C93" s="49"/>
      <c r="D93" s="32"/>
      <c r="F93" s="36"/>
      <c r="G93" s="36"/>
      <c r="H93" s="36"/>
      <c r="I93" s="36"/>
      <c r="J93" s="37"/>
      <c r="K93" s="37"/>
      <c r="M93" s="49"/>
      <c r="N93" s="32"/>
      <c r="P93" s="36"/>
      <c r="Q93" s="37"/>
    </row>
    <row r="94" spans="2:17">
      <c r="B94" s="12"/>
      <c r="C94" s="49"/>
      <c r="D94" s="32"/>
      <c r="F94" s="36"/>
      <c r="G94" s="36"/>
      <c r="H94" s="36"/>
      <c r="I94" s="36"/>
      <c r="J94" s="37"/>
      <c r="K94" s="37"/>
      <c r="M94" s="49"/>
      <c r="N94" s="32"/>
      <c r="P94" s="36"/>
      <c r="Q94" s="37"/>
    </row>
    <row r="95" spans="2:17">
      <c r="B95" s="12"/>
      <c r="C95" s="49"/>
      <c r="D95" s="32"/>
      <c r="F95" s="36"/>
      <c r="G95" s="36"/>
      <c r="H95" s="36"/>
      <c r="I95" s="36"/>
      <c r="J95" s="37"/>
      <c r="K95" s="37"/>
      <c r="M95" s="49"/>
      <c r="N95" s="32"/>
      <c r="P95" s="36"/>
      <c r="Q95" s="37"/>
    </row>
    <row r="96" spans="2:17">
      <c r="B96" s="12"/>
      <c r="C96" s="49"/>
      <c r="D96" s="32"/>
      <c r="F96" s="36"/>
      <c r="G96" s="66"/>
      <c r="H96" s="36"/>
      <c r="I96" s="36"/>
      <c r="J96" s="37"/>
      <c r="K96" s="37"/>
      <c r="M96" s="49"/>
      <c r="N96" s="32"/>
      <c r="P96" s="36"/>
      <c r="Q96" s="37"/>
    </row>
    <row r="97" spans="2:17">
      <c r="B97" s="12"/>
      <c r="C97" s="49"/>
      <c r="D97" s="32"/>
      <c r="F97" s="36"/>
      <c r="G97" s="66"/>
      <c r="H97" s="36"/>
      <c r="I97" s="36"/>
      <c r="J97" s="37"/>
      <c r="K97" s="37"/>
      <c r="M97" s="49"/>
      <c r="N97" s="32"/>
      <c r="P97" s="36"/>
      <c r="Q97" s="37"/>
    </row>
    <row r="98" spans="2:17">
      <c r="B98" s="12"/>
      <c r="C98" s="49"/>
      <c r="D98" s="32"/>
      <c r="F98" s="36"/>
      <c r="G98" s="36"/>
      <c r="H98" s="36"/>
      <c r="I98" s="36"/>
      <c r="J98" s="37"/>
      <c r="K98" s="37"/>
      <c r="M98" s="49"/>
      <c r="N98" s="32"/>
      <c r="P98" s="36"/>
      <c r="Q98" s="37"/>
    </row>
    <row r="99" spans="2:17">
      <c r="B99" s="12"/>
      <c r="C99" s="49"/>
      <c r="D99" s="32"/>
      <c r="F99" s="36"/>
      <c r="G99" s="36"/>
      <c r="H99" s="36"/>
      <c r="I99" s="36"/>
      <c r="J99" s="37"/>
      <c r="K99" s="37"/>
      <c r="M99" s="49"/>
      <c r="N99" s="32"/>
      <c r="P99" s="36"/>
      <c r="Q99" s="37"/>
    </row>
    <row r="100" spans="2:17">
      <c r="B100" s="12"/>
      <c r="C100" s="49"/>
      <c r="D100" s="32"/>
      <c r="F100" s="36"/>
      <c r="G100" s="36"/>
      <c r="H100" s="36"/>
      <c r="I100" s="36"/>
      <c r="J100" s="37"/>
      <c r="K100" s="37"/>
      <c r="M100" s="49"/>
      <c r="N100" s="32"/>
      <c r="P100" s="36"/>
      <c r="Q100" s="37"/>
    </row>
    <row r="101" spans="2:17">
      <c r="B101" s="12"/>
      <c r="C101" s="49"/>
      <c r="D101" s="32"/>
      <c r="F101" s="36"/>
      <c r="G101" s="36"/>
      <c r="H101" s="36"/>
      <c r="I101" s="36"/>
      <c r="J101" s="37"/>
      <c r="K101" s="37"/>
      <c r="M101" s="49"/>
      <c r="N101" s="32"/>
      <c r="P101" s="36"/>
      <c r="Q101" s="37"/>
    </row>
    <row r="102" spans="2:17">
      <c r="B102" s="12"/>
      <c r="C102" s="49"/>
      <c r="D102" s="32"/>
      <c r="F102" s="36"/>
      <c r="G102" s="36"/>
      <c r="H102" s="36"/>
      <c r="I102" s="36"/>
      <c r="J102" s="37"/>
      <c r="K102" s="37"/>
      <c r="M102" s="49"/>
      <c r="N102" s="32"/>
      <c r="P102" s="36"/>
      <c r="Q102" s="37"/>
    </row>
    <row r="103" spans="2:17">
      <c r="B103" s="12"/>
      <c r="C103" s="49"/>
      <c r="D103" s="32"/>
      <c r="F103" s="36"/>
      <c r="G103" s="36"/>
      <c r="H103" s="36"/>
      <c r="I103" s="36"/>
      <c r="J103" s="37"/>
      <c r="K103" s="37"/>
      <c r="M103" s="49"/>
      <c r="N103" s="32"/>
      <c r="P103" s="36"/>
      <c r="Q103" s="37"/>
    </row>
    <row r="104" spans="2:17">
      <c r="B104" s="12"/>
      <c r="C104" s="49"/>
      <c r="D104" s="32"/>
      <c r="F104" s="36"/>
      <c r="G104" s="36"/>
      <c r="H104" s="36"/>
      <c r="I104" s="36"/>
      <c r="J104" s="37"/>
      <c r="K104" s="37"/>
      <c r="M104" s="49"/>
      <c r="N104" s="32"/>
      <c r="P104" s="36"/>
      <c r="Q104" s="37"/>
    </row>
    <row r="105" spans="2:17">
      <c r="B105" s="12"/>
      <c r="C105" s="49"/>
      <c r="D105" s="32"/>
      <c r="F105" s="36"/>
      <c r="G105" s="36"/>
      <c r="H105" s="36"/>
      <c r="I105" s="36"/>
      <c r="J105" s="37"/>
      <c r="K105" s="37"/>
      <c r="M105" s="49"/>
      <c r="N105" s="32"/>
      <c r="P105" s="36"/>
      <c r="Q105" s="37"/>
    </row>
    <row r="106" spans="2:17">
      <c r="B106" s="12"/>
      <c r="C106" s="49"/>
      <c r="D106" s="32"/>
      <c r="F106" s="36"/>
      <c r="G106" s="36"/>
      <c r="H106" s="36"/>
      <c r="I106" s="36"/>
      <c r="J106" s="37"/>
      <c r="K106" s="37"/>
      <c r="M106" s="49"/>
      <c r="N106" s="32"/>
      <c r="P106" s="36"/>
      <c r="Q106" s="37"/>
    </row>
    <row r="107" spans="2:17">
      <c r="B107" s="12"/>
      <c r="C107" s="49"/>
      <c r="D107" s="32"/>
      <c r="F107" s="36"/>
      <c r="G107" s="36"/>
      <c r="H107" s="36"/>
      <c r="I107" s="36"/>
      <c r="J107" s="37"/>
      <c r="K107" s="37"/>
      <c r="M107" s="49"/>
      <c r="N107" s="32"/>
      <c r="P107" s="36"/>
      <c r="Q107" s="37"/>
    </row>
    <row r="108" spans="2:17">
      <c r="B108" s="12"/>
      <c r="C108" s="49"/>
      <c r="D108" s="32"/>
      <c r="F108" s="36"/>
      <c r="G108" s="36"/>
      <c r="H108" s="36"/>
      <c r="I108" s="36"/>
      <c r="J108" s="37"/>
      <c r="K108" s="37"/>
      <c r="M108" s="49"/>
      <c r="N108" s="32"/>
      <c r="P108" s="36"/>
      <c r="Q108" s="37"/>
    </row>
    <row r="109" spans="2:17">
      <c r="B109" s="12"/>
      <c r="C109" s="49"/>
      <c r="D109" s="32"/>
      <c r="F109" s="36"/>
      <c r="G109" s="36"/>
      <c r="H109" s="36"/>
      <c r="I109" s="36"/>
      <c r="J109" s="37"/>
      <c r="K109" s="37"/>
      <c r="M109" s="49"/>
      <c r="N109" s="32"/>
      <c r="P109" s="36"/>
      <c r="Q109" s="37"/>
    </row>
    <row r="110" spans="2:17">
      <c r="B110" s="12"/>
      <c r="C110" s="49"/>
      <c r="D110" s="32"/>
      <c r="F110" s="36"/>
      <c r="G110" s="36"/>
      <c r="H110" s="36"/>
      <c r="I110" s="36"/>
      <c r="J110" s="37"/>
      <c r="K110" s="37"/>
      <c r="M110" s="49"/>
      <c r="N110" s="32"/>
      <c r="P110" s="36"/>
      <c r="Q110" s="37"/>
    </row>
    <row r="111" spans="2:17">
      <c r="B111" s="12"/>
      <c r="C111" s="49"/>
      <c r="D111" s="32"/>
      <c r="F111" s="36"/>
      <c r="G111" s="36"/>
      <c r="H111" s="36"/>
      <c r="I111" s="36"/>
      <c r="J111" s="37"/>
      <c r="K111" s="37"/>
      <c r="M111" s="49"/>
      <c r="N111" s="32"/>
      <c r="P111" s="36"/>
      <c r="Q111" s="37"/>
    </row>
    <row r="112" spans="2:17">
      <c r="B112" s="12"/>
      <c r="C112" s="49"/>
      <c r="D112" s="32"/>
      <c r="F112" s="36"/>
      <c r="G112" s="36"/>
      <c r="H112" s="36"/>
      <c r="I112" s="36"/>
      <c r="J112" s="37"/>
      <c r="K112" s="37"/>
      <c r="M112" s="49"/>
      <c r="N112" s="32"/>
      <c r="P112" s="36"/>
      <c r="Q112" s="37"/>
    </row>
    <row r="113" spans="2:17">
      <c r="B113" s="12"/>
      <c r="C113" s="49"/>
      <c r="D113" s="32"/>
      <c r="F113" s="36"/>
      <c r="G113" s="36"/>
      <c r="H113" s="36"/>
      <c r="I113" s="36"/>
      <c r="J113" s="37"/>
      <c r="K113" s="37"/>
      <c r="M113" s="49"/>
      <c r="N113" s="32"/>
      <c r="P113" s="36"/>
      <c r="Q113" s="37"/>
    </row>
    <row r="114" spans="2:17">
      <c r="B114" s="12"/>
      <c r="C114" s="49"/>
      <c r="D114" s="32"/>
      <c r="F114" s="36"/>
      <c r="G114" s="36"/>
      <c r="H114" s="36"/>
      <c r="I114" s="36"/>
      <c r="J114" s="37"/>
      <c r="K114" s="37"/>
      <c r="M114" s="49"/>
      <c r="N114" s="32"/>
      <c r="P114" s="36"/>
      <c r="Q114" s="37"/>
    </row>
    <row r="115" spans="2:17">
      <c r="B115" s="12"/>
      <c r="C115" s="49"/>
      <c r="D115" s="32"/>
      <c r="F115" s="36"/>
      <c r="G115" s="36"/>
      <c r="H115" s="36"/>
      <c r="I115" s="36"/>
      <c r="J115" s="37"/>
      <c r="K115" s="37"/>
      <c r="M115" s="49"/>
      <c r="N115" s="32"/>
      <c r="P115" s="36"/>
      <c r="Q115" s="37"/>
    </row>
    <row r="116" spans="2:17">
      <c r="B116" s="12"/>
      <c r="C116" s="49"/>
      <c r="D116" s="32"/>
      <c r="F116" s="36"/>
      <c r="G116" s="36"/>
      <c r="H116" s="36"/>
      <c r="I116" s="36"/>
      <c r="J116" s="37"/>
      <c r="K116" s="37"/>
      <c r="M116" s="49"/>
      <c r="N116" s="32"/>
      <c r="P116" s="36"/>
      <c r="Q116" s="37"/>
    </row>
    <row r="117" spans="2:17">
      <c r="B117" s="12"/>
      <c r="C117" s="49"/>
      <c r="D117" s="32"/>
      <c r="F117" s="36"/>
      <c r="G117" s="36"/>
      <c r="H117" s="36"/>
      <c r="I117" s="36"/>
      <c r="J117" s="37"/>
      <c r="K117" s="37"/>
      <c r="M117" s="49"/>
      <c r="N117" s="32"/>
      <c r="P117" s="36"/>
      <c r="Q117" s="37"/>
    </row>
    <row r="118" spans="2:17">
      <c r="B118" s="12"/>
      <c r="C118" s="49"/>
      <c r="D118" s="32"/>
      <c r="F118" s="36"/>
      <c r="G118" s="36"/>
      <c r="H118" s="36"/>
      <c r="I118" s="36"/>
      <c r="J118" s="37"/>
      <c r="K118" s="37"/>
      <c r="M118" s="49"/>
      <c r="N118" s="32"/>
      <c r="P118" s="36"/>
      <c r="Q118" s="37"/>
    </row>
    <row r="119" spans="2:17">
      <c r="B119" s="12"/>
      <c r="C119" s="49"/>
      <c r="D119" s="32"/>
      <c r="F119" s="36"/>
      <c r="G119" s="36"/>
      <c r="H119" s="36"/>
      <c r="I119" s="36"/>
      <c r="J119" s="37"/>
      <c r="K119" s="37"/>
      <c r="M119" s="49"/>
      <c r="N119" s="32"/>
      <c r="P119" s="36"/>
      <c r="Q119" s="37"/>
    </row>
    <row r="120" spans="2:17">
      <c r="B120" s="12"/>
      <c r="C120" s="49"/>
      <c r="D120" s="32"/>
      <c r="F120" s="36"/>
      <c r="G120" s="36"/>
      <c r="H120" s="36"/>
      <c r="I120" s="36"/>
      <c r="J120" s="37"/>
      <c r="K120" s="37"/>
      <c r="M120" s="49"/>
      <c r="N120" s="32"/>
      <c r="P120" s="36"/>
      <c r="Q120" s="37"/>
    </row>
    <row r="121" spans="2:17">
      <c r="B121" s="12"/>
      <c r="C121" s="49"/>
      <c r="D121" s="32"/>
      <c r="F121" s="36"/>
      <c r="G121" s="36"/>
      <c r="H121" s="36"/>
      <c r="I121" s="36"/>
      <c r="J121" s="37"/>
      <c r="K121" s="37"/>
      <c r="M121" s="49"/>
      <c r="N121" s="32"/>
      <c r="P121" s="36"/>
      <c r="Q121" s="37"/>
    </row>
    <row r="122" spans="2:17">
      <c r="B122" s="12"/>
      <c r="C122" s="49"/>
      <c r="D122" s="32"/>
      <c r="F122" s="36"/>
      <c r="G122" s="36"/>
      <c r="H122" s="36"/>
      <c r="I122" s="36"/>
      <c r="J122" s="37"/>
      <c r="K122" s="37"/>
      <c r="M122" s="49"/>
      <c r="N122" s="32"/>
      <c r="P122" s="36"/>
      <c r="Q122" s="37"/>
    </row>
    <row r="123" spans="2:17">
      <c r="B123" s="12"/>
      <c r="C123" s="49"/>
      <c r="D123" s="32"/>
      <c r="F123" s="36"/>
      <c r="G123" s="36"/>
      <c r="H123" s="36"/>
      <c r="I123" s="36"/>
      <c r="J123" s="37"/>
      <c r="K123" s="37"/>
      <c r="M123" s="49"/>
      <c r="N123" s="32"/>
      <c r="P123" s="36"/>
      <c r="Q123" s="37"/>
    </row>
    <row r="124" spans="2:17">
      <c r="B124" s="12"/>
      <c r="C124" s="49"/>
      <c r="D124" s="32"/>
      <c r="F124" s="36"/>
      <c r="G124" s="36"/>
      <c r="H124" s="36"/>
      <c r="I124" s="36"/>
      <c r="J124" s="37"/>
      <c r="K124" s="37"/>
      <c r="M124" s="49"/>
      <c r="N124" s="32"/>
      <c r="P124" s="36"/>
      <c r="Q124" s="37"/>
    </row>
    <row r="125" spans="2:17">
      <c r="B125" s="12"/>
      <c r="C125" s="49"/>
      <c r="D125" s="32"/>
      <c r="F125" s="36"/>
      <c r="G125" s="36"/>
      <c r="H125" s="36"/>
      <c r="I125" s="36"/>
      <c r="J125" s="37"/>
      <c r="K125" s="37"/>
      <c r="M125" s="49"/>
      <c r="N125" s="32"/>
      <c r="P125" s="36"/>
      <c r="Q125" s="37"/>
    </row>
    <row r="126" spans="2:17">
      <c r="B126" s="12"/>
      <c r="C126" s="49"/>
      <c r="D126" s="32"/>
      <c r="F126" s="36"/>
      <c r="G126" s="36"/>
      <c r="H126" s="36"/>
      <c r="I126" s="36"/>
      <c r="J126" s="37"/>
      <c r="K126" s="37"/>
      <c r="M126" s="49"/>
      <c r="N126" s="32"/>
      <c r="P126" s="36"/>
      <c r="Q126" s="37"/>
    </row>
    <row r="127" spans="2:17">
      <c r="B127" s="12"/>
      <c r="C127" s="49"/>
      <c r="D127" s="32"/>
      <c r="F127" s="36"/>
      <c r="G127" s="36"/>
      <c r="H127" s="36"/>
      <c r="I127" s="36"/>
      <c r="J127" s="37"/>
      <c r="K127" s="37"/>
      <c r="M127" s="49"/>
      <c r="N127" s="32"/>
      <c r="P127" s="36"/>
      <c r="Q127" s="37"/>
    </row>
    <row r="128" spans="2:17">
      <c r="B128" s="12"/>
      <c r="C128" s="49"/>
      <c r="D128" s="32"/>
      <c r="F128" s="36"/>
      <c r="G128" s="66"/>
      <c r="H128" s="36"/>
      <c r="I128" s="36"/>
      <c r="J128" s="37"/>
      <c r="K128" s="37"/>
      <c r="M128" s="49"/>
      <c r="N128" s="32"/>
      <c r="P128" s="36"/>
      <c r="Q128" s="37"/>
    </row>
    <row r="129" spans="2:17">
      <c r="B129" s="12"/>
      <c r="C129" s="49"/>
      <c r="D129" s="32"/>
      <c r="F129" s="36"/>
      <c r="G129" s="36"/>
      <c r="H129" s="36"/>
      <c r="I129" s="36"/>
      <c r="J129" s="37"/>
      <c r="K129" s="37"/>
      <c r="M129" s="49"/>
      <c r="N129" s="32"/>
      <c r="P129" s="36"/>
      <c r="Q129" s="37"/>
    </row>
    <row r="130" spans="2:17">
      <c r="B130" s="12"/>
      <c r="C130" s="49"/>
      <c r="D130" s="32"/>
      <c r="F130" s="36"/>
      <c r="G130" s="36"/>
      <c r="H130" s="36"/>
      <c r="I130" s="36"/>
      <c r="J130" s="37"/>
      <c r="K130" s="37"/>
      <c r="M130" s="49"/>
      <c r="N130" s="32"/>
      <c r="P130" s="36"/>
      <c r="Q130" s="37"/>
    </row>
    <row r="131" spans="2:17">
      <c r="B131" s="12"/>
      <c r="C131" s="49"/>
      <c r="D131" s="32"/>
      <c r="F131" s="36"/>
      <c r="G131" s="36"/>
      <c r="H131" s="36"/>
      <c r="I131" s="36"/>
      <c r="J131" s="37"/>
      <c r="K131" s="37"/>
      <c r="M131" s="49"/>
      <c r="N131" s="32"/>
      <c r="P131" s="36"/>
      <c r="Q131" s="37"/>
    </row>
    <row r="132" spans="2:17">
      <c r="B132" s="12"/>
      <c r="C132" s="49"/>
      <c r="D132" s="32"/>
      <c r="F132" s="36"/>
      <c r="G132" s="36"/>
      <c r="H132" s="36"/>
      <c r="I132" s="36"/>
      <c r="J132" s="37"/>
      <c r="K132" s="37"/>
      <c r="M132" s="49"/>
      <c r="N132" s="32"/>
      <c r="P132" s="36"/>
      <c r="Q132" s="37"/>
    </row>
    <row r="133" spans="2:17">
      <c r="B133" s="12"/>
      <c r="C133" s="49"/>
      <c r="D133" s="32"/>
      <c r="F133" s="36"/>
      <c r="G133" s="36"/>
      <c r="H133" s="36"/>
      <c r="I133" s="36"/>
      <c r="J133" s="37"/>
      <c r="K133" s="37"/>
      <c r="M133" s="49"/>
      <c r="N133" s="32"/>
      <c r="P133" s="36"/>
      <c r="Q133" s="37"/>
    </row>
    <row r="134" spans="2:17">
      <c r="B134" s="12"/>
      <c r="C134" s="49"/>
      <c r="D134" s="32"/>
      <c r="F134" s="36"/>
      <c r="G134" s="36"/>
      <c r="H134" s="36"/>
      <c r="I134" s="36"/>
      <c r="J134" s="37"/>
      <c r="K134" s="37"/>
      <c r="M134" s="49"/>
      <c r="N134" s="32"/>
      <c r="P134" s="36"/>
      <c r="Q134" s="37"/>
    </row>
    <row r="135" spans="2:17">
      <c r="B135" s="12"/>
      <c r="C135" s="49"/>
      <c r="D135" s="32"/>
      <c r="F135" s="36"/>
      <c r="G135" s="36"/>
      <c r="H135" s="36"/>
      <c r="I135" s="36"/>
      <c r="J135" s="37"/>
      <c r="K135" s="37"/>
      <c r="M135" s="49"/>
      <c r="N135" s="32"/>
      <c r="P135" s="36"/>
      <c r="Q135" s="37"/>
    </row>
    <row r="136" spans="2:17">
      <c r="B136" s="12"/>
      <c r="C136" s="49"/>
      <c r="D136" s="32"/>
      <c r="F136" s="36"/>
      <c r="G136" s="36"/>
      <c r="H136" s="36"/>
      <c r="I136" s="36"/>
      <c r="J136" s="37"/>
      <c r="K136" s="37"/>
      <c r="M136" s="49"/>
      <c r="N136" s="32"/>
      <c r="P136" s="36"/>
      <c r="Q136" s="37"/>
    </row>
    <row r="137" spans="2:17">
      <c r="B137" s="12"/>
      <c r="C137" s="49"/>
      <c r="D137" s="32"/>
      <c r="F137" s="36"/>
      <c r="G137" s="36"/>
      <c r="H137" s="36"/>
      <c r="I137" s="36"/>
      <c r="J137" s="37"/>
      <c r="K137" s="37"/>
      <c r="M137" s="49"/>
      <c r="N137" s="32"/>
      <c r="P137" s="36"/>
      <c r="Q137" s="37"/>
    </row>
    <row r="138" spans="2:17">
      <c r="B138" s="12"/>
      <c r="C138" s="49"/>
      <c r="D138" s="32"/>
      <c r="F138" s="36"/>
      <c r="G138" s="36"/>
      <c r="H138" s="36"/>
      <c r="I138" s="36"/>
      <c r="J138" s="37"/>
      <c r="K138" s="37"/>
      <c r="M138" s="49"/>
      <c r="N138" s="32"/>
      <c r="P138" s="36"/>
      <c r="Q138" s="37"/>
    </row>
    <row r="139" spans="2:17">
      <c r="B139" s="12"/>
      <c r="C139" s="49"/>
      <c r="D139" s="32"/>
      <c r="F139" s="36"/>
      <c r="G139" s="36"/>
      <c r="H139" s="36"/>
      <c r="I139" s="36"/>
      <c r="J139" s="37"/>
      <c r="K139" s="37"/>
      <c r="M139" s="49"/>
      <c r="N139" s="32"/>
      <c r="P139" s="36"/>
      <c r="Q139" s="37"/>
    </row>
    <row r="140" spans="2:17">
      <c r="B140" s="12"/>
      <c r="C140" s="49"/>
      <c r="D140" s="32"/>
      <c r="F140" s="36"/>
      <c r="G140" s="36"/>
      <c r="H140" s="36"/>
      <c r="I140" s="36"/>
      <c r="J140" s="37"/>
      <c r="K140" s="37"/>
      <c r="M140" s="49"/>
      <c r="N140" s="32"/>
      <c r="P140" s="36"/>
      <c r="Q140" s="37"/>
    </row>
    <row r="141" spans="2:17">
      <c r="B141" s="12"/>
      <c r="C141" s="49"/>
      <c r="D141" s="32"/>
      <c r="F141" s="36"/>
      <c r="G141" s="36"/>
      <c r="H141" s="36"/>
      <c r="I141" s="36"/>
      <c r="J141" s="37"/>
      <c r="K141" s="37"/>
      <c r="M141" s="49"/>
      <c r="N141" s="32"/>
      <c r="P141" s="36"/>
      <c r="Q141" s="37"/>
    </row>
    <row r="142" spans="2:17">
      <c r="B142" s="12"/>
      <c r="C142" s="49"/>
      <c r="D142" s="32"/>
      <c r="F142" s="36"/>
      <c r="G142" s="36"/>
      <c r="H142" s="36"/>
      <c r="I142" s="36"/>
      <c r="J142" s="37"/>
      <c r="K142" s="37"/>
      <c r="M142" s="49"/>
      <c r="N142" s="32"/>
      <c r="P142" s="36"/>
      <c r="Q142" s="37"/>
    </row>
    <row r="143" spans="2:17">
      <c r="B143" s="12"/>
      <c r="C143" s="49"/>
      <c r="D143" s="32"/>
      <c r="F143" s="36"/>
      <c r="G143" s="36"/>
      <c r="H143" s="36"/>
      <c r="I143" s="36"/>
      <c r="J143" s="37"/>
      <c r="K143" s="37"/>
      <c r="M143" s="49"/>
      <c r="N143" s="32"/>
      <c r="P143" s="36"/>
      <c r="Q143" s="37"/>
    </row>
    <row r="144" spans="2:17">
      <c r="B144" s="12"/>
      <c r="C144" s="49"/>
      <c r="D144" s="32"/>
      <c r="F144" s="36"/>
      <c r="G144" s="36"/>
      <c r="H144" s="36"/>
      <c r="I144" s="36"/>
      <c r="J144" s="37"/>
      <c r="K144" s="37"/>
      <c r="M144" s="49"/>
      <c r="N144" s="32"/>
      <c r="P144" s="36"/>
      <c r="Q144" s="37"/>
    </row>
    <row r="145" spans="2:17">
      <c r="B145" s="12"/>
      <c r="C145" s="49"/>
      <c r="D145" s="32"/>
      <c r="F145" s="36"/>
      <c r="G145" s="36"/>
      <c r="H145" s="36"/>
      <c r="I145" s="36"/>
      <c r="J145" s="37"/>
      <c r="K145" s="37"/>
      <c r="M145" s="49"/>
      <c r="N145" s="32"/>
      <c r="P145" s="36"/>
      <c r="Q145" s="37"/>
    </row>
    <row r="146" spans="2:17">
      <c r="B146" s="12"/>
      <c r="C146" s="49"/>
      <c r="D146" s="32"/>
      <c r="F146" s="36"/>
      <c r="G146" s="36"/>
      <c r="H146" s="36"/>
      <c r="I146" s="36"/>
      <c r="J146" s="37"/>
      <c r="K146" s="37"/>
      <c r="M146" s="49"/>
      <c r="N146" s="32"/>
      <c r="P146" s="36"/>
      <c r="Q146" s="37"/>
    </row>
    <row r="147" spans="2:17">
      <c r="B147" s="12"/>
      <c r="C147" s="49"/>
      <c r="D147" s="32"/>
      <c r="F147" s="36"/>
      <c r="G147" s="36"/>
      <c r="H147" s="36"/>
      <c r="I147" s="36"/>
      <c r="J147" s="37"/>
      <c r="K147" s="37"/>
      <c r="M147" s="49"/>
      <c r="N147" s="32"/>
      <c r="P147" s="36"/>
      <c r="Q147" s="37"/>
    </row>
    <row r="148" spans="2:17">
      <c r="B148" s="12"/>
      <c r="C148" s="49"/>
      <c r="D148" s="32"/>
      <c r="F148" s="36"/>
      <c r="G148" s="36"/>
      <c r="H148" s="36"/>
      <c r="I148" s="36"/>
      <c r="J148" s="37"/>
      <c r="K148" s="37"/>
      <c r="M148" s="49"/>
      <c r="N148" s="32"/>
      <c r="P148" s="36"/>
      <c r="Q148" s="37"/>
    </row>
    <row r="149" spans="2:17">
      <c r="B149" s="12"/>
      <c r="C149" s="49"/>
      <c r="D149" s="32"/>
      <c r="F149" s="36"/>
      <c r="G149" s="36"/>
      <c r="H149" s="36"/>
      <c r="I149" s="36"/>
      <c r="J149" s="37"/>
      <c r="K149" s="37"/>
      <c r="M149" s="49"/>
      <c r="N149" s="32"/>
      <c r="P149" s="36"/>
      <c r="Q149" s="37"/>
    </row>
    <row r="150" spans="2:17">
      <c r="B150" s="12"/>
      <c r="C150" s="49"/>
      <c r="D150" s="32"/>
      <c r="F150" s="36"/>
      <c r="G150" s="36"/>
      <c r="H150" s="36"/>
      <c r="I150" s="36"/>
      <c r="J150" s="37"/>
      <c r="K150" s="37"/>
      <c r="M150" s="49"/>
      <c r="N150" s="32"/>
      <c r="P150" s="36"/>
      <c r="Q150" s="37"/>
    </row>
    <row r="151" spans="2:17">
      <c r="B151" s="12"/>
      <c r="C151" s="49"/>
      <c r="D151" s="32"/>
      <c r="F151" s="36"/>
      <c r="G151" s="36"/>
      <c r="H151" s="36"/>
      <c r="I151" s="36"/>
      <c r="J151" s="37"/>
      <c r="K151" s="37"/>
      <c r="M151" s="49"/>
      <c r="N151" s="32"/>
      <c r="P151" s="36"/>
      <c r="Q151" s="37"/>
    </row>
    <row r="152" spans="2:17">
      <c r="B152" s="12"/>
      <c r="C152" s="49"/>
      <c r="D152" s="32"/>
      <c r="F152" s="36"/>
      <c r="G152" s="36"/>
      <c r="H152" s="36"/>
      <c r="I152" s="36"/>
      <c r="J152" s="37"/>
      <c r="K152" s="37"/>
      <c r="M152" s="49"/>
      <c r="N152" s="32"/>
      <c r="P152" s="36"/>
      <c r="Q152" s="37"/>
    </row>
    <row r="153" spans="2:17">
      <c r="B153" s="12"/>
      <c r="C153" s="49"/>
      <c r="D153" s="32"/>
      <c r="F153" s="36"/>
      <c r="G153" s="36"/>
      <c r="H153" s="36"/>
      <c r="I153" s="36"/>
      <c r="J153" s="37"/>
      <c r="K153" s="37"/>
      <c r="M153" s="49"/>
      <c r="N153" s="32"/>
      <c r="P153" s="36"/>
      <c r="Q153" s="37"/>
    </row>
    <row r="154" spans="2:17">
      <c r="B154" s="12"/>
      <c r="C154" s="49"/>
      <c r="D154" s="32"/>
      <c r="F154" s="36"/>
      <c r="G154" s="36"/>
      <c r="H154" s="36"/>
      <c r="I154" s="36"/>
      <c r="J154" s="37"/>
      <c r="K154" s="37"/>
      <c r="M154" s="49"/>
      <c r="N154" s="32"/>
      <c r="P154" s="36"/>
      <c r="Q154" s="37"/>
    </row>
    <row r="155" spans="2:17">
      <c r="B155" s="12"/>
      <c r="C155" s="49"/>
      <c r="D155" s="32"/>
      <c r="F155" s="36"/>
      <c r="G155" s="36"/>
      <c r="H155" s="36"/>
      <c r="I155" s="36"/>
      <c r="J155" s="37"/>
      <c r="K155" s="37"/>
      <c r="M155" s="49"/>
      <c r="N155" s="32"/>
      <c r="P155" s="36"/>
      <c r="Q155" s="37"/>
    </row>
    <row r="156" spans="2:17">
      <c r="B156" s="12"/>
      <c r="C156" s="49"/>
      <c r="D156" s="32"/>
      <c r="F156" s="36"/>
      <c r="G156" s="36"/>
      <c r="H156" s="36"/>
      <c r="I156" s="36"/>
      <c r="J156" s="37"/>
      <c r="K156" s="37"/>
      <c r="M156" s="49"/>
      <c r="N156" s="32"/>
      <c r="P156" s="36"/>
      <c r="Q156" s="37"/>
    </row>
    <row r="157" spans="2:17">
      <c r="B157" s="12"/>
      <c r="C157" s="49"/>
      <c r="D157" s="32"/>
      <c r="F157" s="36"/>
      <c r="G157" s="36"/>
      <c r="H157" s="36"/>
      <c r="I157" s="36"/>
      <c r="J157" s="37"/>
      <c r="K157" s="37"/>
      <c r="M157" s="49"/>
      <c r="N157" s="32"/>
      <c r="P157" s="36"/>
      <c r="Q157" s="37"/>
    </row>
    <row r="158" spans="2:17">
      <c r="B158" s="12"/>
      <c r="C158" s="49"/>
      <c r="D158" s="32"/>
      <c r="F158" s="36"/>
      <c r="G158" s="36"/>
      <c r="H158" s="36"/>
      <c r="I158" s="36"/>
      <c r="J158" s="37"/>
      <c r="K158" s="37"/>
      <c r="M158" s="49"/>
      <c r="N158" s="32"/>
      <c r="P158" s="36"/>
      <c r="Q158" s="37"/>
    </row>
    <row r="159" spans="2:17">
      <c r="B159" s="12"/>
      <c r="C159" s="49"/>
      <c r="D159" s="32"/>
      <c r="F159" s="36"/>
      <c r="G159" s="36"/>
      <c r="H159" s="36"/>
      <c r="I159" s="36"/>
      <c r="J159" s="37"/>
      <c r="K159" s="37"/>
      <c r="M159" s="49"/>
      <c r="N159" s="32"/>
      <c r="P159" s="36"/>
      <c r="Q159" s="37"/>
    </row>
    <row r="160" spans="2:17">
      <c r="B160" s="12"/>
      <c r="C160" s="49"/>
      <c r="D160" s="32"/>
      <c r="F160" s="36"/>
      <c r="G160" s="36"/>
      <c r="H160" s="36"/>
      <c r="I160" s="36"/>
      <c r="J160" s="37"/>
      <c r="K160" s="37"/>
      <c r="M160" s="49"/>
      <c r="N160" s="32"/>
      <c r="P160" s="36"/>
      <c r="Q160" s="37"/>
    </row>
    <row r="161" spans="2:17">
      <c r="B161" s="12"/>
      <c r="C161" s="49"/>
      <c r="D161" s="32"/>
      <c r="F161" s="36"/>
      <c r="G161" s="36"/>
      <c r="H161" s="36"/>
      <c r="I161" s="36"/>
      <c r="J161" s="37"/>
      <c r="K161" s="37"/>
      <c r="M161" s="49"/>
      <c r="N161" s="32"/>
      <c r="P161" s="36"/>
      <c r="Q161" s="37"/>
    </row>
    <row r="162" spans="2:17">
      <c r="B162" s="12"/>
      <c r="C162" s="49"/>
      <c r="D162" s="32"/>
      <c r="F162" s="36"/>
      <c r="G162" s="36"/>
      <c r="H162" s="36"/>
      <c r="I162" s="36"/>
      <c r="J162" s="37"/>
      <c r="K162" s="37"/>
      <c r="M162" s="49"/>
      <c r="N162" s="32"/>
      <c r="P162" s="36"/>
      <c r="Q162" s="37"/>
    </row>
    <row r="163" spans="2:17">
      <c r="B163" s="12"/>
      <c r="C163" s="49"/>
      <c r="D163" s="32"/>
      <c r="F163" s="36"/>
      <c r="G163" s="36"/>
      <c r="H163" s="36"/>
      <c r="I163" s="36"/>
      <c r="J163" s="37"/>
      <c r="K163" s="37"/>
      <c r="M163" s="49"/>
      <c r="N163" s="32"/>
      <c r="P163" s="36"/>
      <c r="Q163" s="37"/>
    </row>
    <row r="164" spans="2:17">
      <c r="B164" s="12"/>
      <c r="C164" s="49"/>
      <c r="D164" s="32"/>
      <c r="F164" s="36"/>
      <c r="G164" s="36"/>
      <c r="H164" s="36"/>
      <c r="I164" s="36"/>
      <c r="J164" s="37"/>
      <c r="K164" s="37"/>
      <c r="M164" s="49"/>
      <c r="N164" s="32"/>
      <c r="P164" s="36"/>
      <c r="Q164" s="37"/>
    </row>
    <row r="165" spans="2:17">
      <c r="B165" s="12"/>
      <c r="C165" s="49"/>
      <c r="D165" s="32"/>
      <c r="F165" s="36"/>
      <c r="G165" s="36"/>
      <c r="H165" s="36"/>
      <c r="I165" s="36"/>
      <c r="J165" s="37"/>
      <c r="K165" s="37"/>
      <c r="M165" s="49"/>
      <c r="N165" s="32"/>
      <c r="P165" s="36"/>
      <c r="Q165" s="37"/>
    </row>
    <row r="166" spans="2:17">
      <c r="B166" s="12"/>
      <c r="C166" s="49"/>
      <c r="D166" s="32"/>
      <c r="F166" s="36"/>
      <c r="G166" s="36"/>
      <c r="H166" s="36"/>
      <c r="I166" s="36"/>
      <c r="J166" s="37"/>
      <c r="K166" s="37"/>
      <c r="M166" s="49"/>
      <c r="N166" s="32"/>
      <c r="P166" s="36"/>
      <c r="Q166" s="37"/>
    </row>
    <row r="167" spans="2:17">
      <c r="B167" s="12"/>
      <c r="C167" s="49"/>
      <c r="D167" s="32"/>
      <c r="F167" s="36"/>
      <c r="G167" s="36"/>
      <c r="H167" s="36"/>
      <c r="I167" s="36"/>
      <c r="J167" s="37"/>
      <c r="K167" s="37"/>
      <c r="M167" s="49"/>
      <c r="N167" s="32"/>
      <c r="P167" s="36"/>
      <c r="Q167" s="37"/>
    </row>
    <row r="168" spans="2:17">
      <c r="B168" s="12"/>
      <c r="C168" s="49"/>
      <c r="D168" s="32"/>
      <c r="F168" s="36"/>
      <c r="G168" s="36"/>
      <c r="H168" s="36"/>
      <c r="I168" s="36"/>
      <c r="J168" s="37"/>
      <c r="K168" s="37"/>
      <c r="M168" s="49"/>
      <c r="N168" s="32"/>
      <c r="P168" s="36"/>
      <c r="Q168" s="37"/>
    </row>
    <row r="169" spans="2:17">
      <c r="B169" s="12"/>
      <c r="C169" s="49"/>
      <c r="D169" s="32"/>
      <c r="F169" s="36"/>
      <c r="G169" s="36"/>
      <c r="H169" s="36"/>
      <c r="I169" s="36"/>
      <c r="J169" s="37"/>
      <c r="K169" s="37"/>
      <c r="M169" s="49"/>
      <c r="N169" s="32"/>
      <c r="P169" s="36"/>
      <c r="Q169" s="37"/>
    </row>
    <row r="170" spans="2:17">
      <c r="B170" s="12"/>
      <c r="C170" s="49"/>
      <c r="D170" s="32"/>
      <c r="F170" s="36"/>
      <c r="G170" s="36"/>
      <c r="H170" s="36"/>
      <c r="I170" s="36"/>
      <c r="J170" s="37"/>
      <c r="K170" s="37"/>
      <c r="M170" s="49"/>
      <c r="N170" s="32"/>
      <c r="P170" s="36"/>
      <c r="Q170" s="37"/>
    </row>
    <row r="171" spans="2:17">
      <c r="B171" s="12"/>
      <c r="C171" s="49"/>
      <c r="D171" s="32"/>
      <c r="F171" s="36"/>
      <c r="G171" s="36"/>
      <c r="H171" s="36"/>
      <c r="I171" s="36"/>
      <c r="J171" s="37"/>
      <c r="K171" s="37"/>
      <c r="M171" s="49"/>
      <c r="N171" s="32"/>
      <c r="P171" s="36"/>
      <c r="Q171" s="37"/>
    </row>
    <row r="172" spans="2:17">
      <c r="B172" s="12"/>
      <c r="C172" s="49"/>
      <c r="D172" s="32"/>
      <c r="F172" s="36"/>
      <c r="G172" s="36"/>
      <c r="H172" s="36"/>
      <c r="I172" s="36"/>
      <c r="J172" s="37"/>
      <c r="K172" s="37"/>
      <c r="M172" s="49"/>
      <c r="N172" s="32"/>
      <c r="P172" s="36"/>
      <c r="Q172" s="37"/>
    </row>
    <row r="173" spans="2:17">
      <c r="B173" s="12"/>
      <c r="C173" s="49"/>
      <c r="D173" s="32"/>
      <c r="F173" s="36"/>
      <c r="G173" s="36"/>
      <c r="H173" s="36"/>
      <c r="I173" s="36"/>
      <c r="J173" s="37"/>
      <c r="K173" s="37"/>
      <c r="M173" s="49"/>
      <c r="N173" s="32"/>
      <c r="P173" s="36"/>
      <c r="Q173" s="37"/>
    </row>
    <row r="174" spans="2:17">
      <c r="B174" s="12"/>
      <c r="C174" s="49"/>
      <c r="D174" s="32"/>
      <c r="F174" s="36"/>
      <c r="G174" s="36"/>
      <c r="H174" s="36"/>
      <c r="I174" s="36"/>
      <c r="J174" s="37"/>
      <c r="K174" s="37"/>
      <c r="M174" s="49"/>
      <c r="N174" s="32"/>
      <c r="P174" s="36"/>
      <c r="Q174" s="37"/>
    </row>
    <row r="175" spans="2:17">
      <c r="B175" s="12"/>
      <c r="C175" s="49"/>
      <c r="D175" s="32"/>
      <c r="F175" s="36"/>
      <c r="G175" s="36"/>
      <c r="H175" s="36"/>
      <c r="I175" s="36"/>
      <c r="J175" s="37"/>
      <c r="K175" s="37"/>
      <c r="M175" s="49"/>
      <c r="N175" s="32"/>
      <c r="P175" s="36"/>
      <c r="Q175" s="37"/>
    </row>
    <row r="176" spans="2:17">
      <c r="B176" s="12"/>
      <c r="C176" s="49"/>
      <c r="D176" s="32"/>
      <c r="F176" s="36"/>
      <c r="G176" s="36"/>
      <c r="H176" s="36"/>
      <c r="I176" s="36"/>
      <c r="J176" s="37"/>
      <c r="K176" s="37"/>
      <c r="M176" s="49"/>
      <c r="N176" s="32"/>
      <c r="P176" s="36"/>
      <c r="Q176" s="37"/>
    </row>
    <row r="177" spans="2:17">
      <c r="B177" s="12"/>
      <c r="C177" s="49"/>
      <c r="D177" s="32"/>
      <c r="F177" s="36"/>
      <c r="G177" s="36"/>
      <c r="H177" s="36"/>
      <c r="I177" s="36"/>
      <c r="J177" s="37"/>
      <c r="K177" s="37"/>
      <c r="M177" s="49"/>
      <c r="N177" s="32"/>
      <c r="P177" s="36"/>
      <c r="Q177" s="37"/>
    </row>
    <row r="178" spans="2:17">
      <c r="B178" s="12"/>
      <c r="C178" s="49"/>
      <c r="D178" s="32"/>
      <c r="F178" s="36"/>
      <c r="G178" s="36"/>
      <c r="H178" s="36"/>
      <c r="I178" s="36"/>
      <c r="J178" s="37"/>
      <c r="K178" s="37"/>
      <c r="M178" s="49"/>
      <c r="N178" s="32"/>
      <c r="P178" s="36"/>
      <c r="Q178" s="37"/>
    </row>
    <row r="179" spans="2:17">
      <c r="B179" s="12"/>
      <c r="C179" s="49"/>
      <c r="D179" s="32"/>
      <c r="F179" s="36"/>
      <c r="G179" s="36"/>
      <c r="H179" s="36"/>
      <c r="I179" s="36"/>
      <c r="J179" s="37"/>
      <c r="K179" s="37"/>
      <c r="M179" s="49"/>
      <c r="N179" s="32"/>
      <c r="P179" s="36"/>
      <c r="Q179" s="37"/>
    </row>
    <row r="180" spans="2:17">
      <c r="B180" s="12"/>
      <c r="C180" s="49"/>
      <c r="D180" s="32"/>
      <c r="F180" s="36"/>
      <c r="G180" s="36"/>
      <c r="H180" s="36"/>
      <c r="I180" s="36"/>
      <c r="J180" s="37"/>
      <c r="K180" s="37"/>
      <c r="M180" s="49"/>
      <c r="N180" s="32"/>
      <c r="P180" s="36"/>
      <c r="Q180" s="37"/>
    </row>
    <row r="181" spans="2:17">
      <c r="B181" s="12"/>
      <c r="C181" s="49"/>
      <c r="D181" s="32"/>
      <c r="F181" s="36"/>
      <c r="G181" s="36"/>
      <c r="H181" s="36"/>
      <c r="I181" s="36"/>
      <c r="J181" s="37"/>
      <c r="K181" s="37"/>
      <c r="M181" s="49"/>
      <c r="N181" s="32"/>
      <c r="P181" s="36"/>
      <c r="Q181" s="37"/>
    </row>
    <row r="182" spans="2:17">
      <c r="B182" s="12"/>
      <c r="C182" s="49"/>
      <c r="D182" s="32"/>
      <c r="F182" s="36"/>
      <c r="G182" s="36"/>
      <c r="H182" s="36"/>
      <c r="I182" s="36"/>
      <c r="J182" s="37"/>
      <c r="K182" s="37"/>
      <c r="M182" s="49"/>
      <c r="N182" s="32"/>
      <c r="P182" s="36"/>
      <c r="Q182" s="37"/>
    </row>
    <row r="183" spans="2:17">
      <c r="B183" s="12"/>
      <c r="C183" s="49"/>
      <c r="D183" s="32"/>
      <c r="F183" s="36"/>
      <c r="G183" s="36"/>
      <c r="H183" s="36"/>
      <c r="I183" s="36"/>
      <c r="J183" s="37"/>
      <c r="K183" s="37"/>
      <c r="M183" s="49"/>
      <c r="N183" s="32"/>
      <c r="P183" s="36"/>
      <c r="Q183" s="37"/>
    </row>
    <row r="184" spans="2:17">
      <c r="B184" s="12"/>
      <c r="C184" s="49"/>
      <c r="D184" s="32"/>
      <c r="F184" s="36"/>
      <c r="G184" s="36"/>
      <c r="H184" s="36"/>
      <c r="I184" s="36"/>
      <c r="J184" s="37"/>
      <c r="K184" s="37"/>
      <c r="M184" s="49"/>
      <c r="N184" s="32"/>
      <c r="P184" s="36"/>
      <c r="Q184" s="37"/>
    </row>
    <row r="185" spans="2:17">
      <c r="B185" s="12"/>
      <c r="C185" s="49"/>
      <c r="D185" s="32"/>
      <c r="F185" s="36"/>
      <c r="G185" s="36"/>
      <c r="H185" s="36"/>
      <c r="I185" s="36"/>
      <c r="J185" s="37"/>
      <c r="K185" s="37"/>
      <c r="M185" s="49"/>
      <c r="N185" s="32"/>
      <c r="P185" s="36"/>
      <c r="Q185" s="37"/>
    </row>
    <row r="186" spans="2:17">
      <c r="B186" s="12"/>
      <c r="C186" s="49"/>
      <c r="D186" s="32"/>
      <c r="F186" s="36"/>
      <c r="G186" s="36"/>
      <c r="H186" s="36"/>
      <c r="I186" s="36"/>
      <c r="J186" s="37"/>
      <c r="K186" s="37"/>
      <c r="M186" s="49"/>
      <c r="N186" s="32"/>
      <c r="P186" s="36"/>
      <c r="Q186" s="37"/>
    </row>
    <row r="187" spans="2:17">
      <c r="B187" s="12"/>
      <c r="C187" s="49"/>
      <c r="D187" s="32"/>
      <c r="F187" s="36"/>
      <c r="G187" s="36"/>
      <c r="H187" s="36"/>
      <c r="I187" s="36"/>
      <c r="J187" s="37"/>
      <c r="K187" s="37"/>
      <c r="M187" s="49"/>
      <c r="N187" s="32"/>
      <c r="P187" s="36"/>
      <c r="Q187" s="37"/>
    </row>
    <row r="188" spans="2:17">
      <c r="B188" s="12"/>
      <c r="C188" s="49"/>
      <c r="D188" s="32"/>
      <c r="F188" s="36"/>
      <c r="G188" s="36"/>
      <c r="H188" s="36"/>
      <c r="I188" s="36"/>
      <c r="J188" s="37"/>
      <c r="K188" s="37"/>
      <c r="M188" s="49"/>
      <c r="N188" s="32"/>
      <c r="P188" s="36"/>
      <c r="Q188" s="37"/>
    </row>
    <row r="189" spans="2:17">
      <c r="B189" s="12"/>
      <c r="C189" s="49"/>
      <c r="D189" s="32"/>
      <c r="F189" s="36"/>
      <c r="G189" s="36"/>
      <c r="H189" s="36"/>
      <c r="I189" s="36"/>
      <c r="J189" s="37"/>
      <c r="K189" s="37"/>
      <c r="M189" s="49"/>
      <c r="N189" s="32"/>
      <c r="P189" s="36"/>
      <c r="Q189" s="37"/>
    </row>
    <row r="190" spans="2:17">
      <c r="B190" s="12"/>
      <c r="C190" s="49"/>
      <c r="D190" s="32"/>
      <c r="F190" s="36"/>
      <c r="G190" s="36"/>
      <c r="H190" s="36"/>
      <c r="I190" s="36"/>
      <c r="J190" s="37"/>
      <c r="K190" s="37"/>
      <c r="M190" s="49"/>
      <c r="N190" s="32"/>
      <c r="P190" s="36"/>
      <c r="Q190" s="37"/>
    </row>
    <row r="191" spans="2:17">
      <c r="B191" s="12"/>
      <c r="C191" s="49"/>
      <c r="D191" s="32"/>
      <c r="F191" s="36"/>
      <c r="G191" s="36"/>
      <c r="H191" s="36"/>
      <c r="I191" s="36"/>
      <c r="J191" s="37"/>
      <c r="K191" s="37"/>
      <c r="M191" s="49"/>
      <c r="N191" s="32"/>
      <c r="P191" s="36"/>
      <c r="Q191" s="37"/>
    </row>
    <row r="192" spans="2:17">
      <c r="B192" s="12"/>
      <c r="C192" s="49"/>
      <c r="D192" s="32"/>
      <c r="F192" s="36"/>
      <c r="G192" s="36"/>
      <c r="H192" s="36"/>
      <c r="I192" s="36"/>
      <c r="J192" s="37"/>
      <c r="K192" s="37"/>
      <c r="M192" s="49"/>
      <c r="N192" s="32"/>
      <c r="P192" s="36"/>
      <c r="Q192" s="37"/>
    </row>
    <row r="193" spans="2:17">
      <c r="B193" s="12"/>
      <c r="C193" s="49"/>
      <c r="D193" s="32"/>
      <c r="F193" s="36"/>
      <c r="G193" s="36"/>
      <c r="H193" s="36"/>
      <c r="I193" s="36"/>
      <c r="J193" s="37"/>
      <c r="K193" s="37"/>
      <c r="M193" s="49"/>
      <c r="N193" s="32"/>
      <c r="P193" s="36"/>
      <c r="Q193" s="37"/>
    </row>
    <row r="194" spans="2:17">
      <c r="B194" s="12"/>
      <c r="C194" s="49"/>
      <c r="D194" s="32"/>
      <c r="F194" s="36"/>
      <c r="G194" s="36"/>
      <c r="H194" s="36"/>
      <c r="I194" s="36"/>
      <c r="J194" s="37"/>
      <c r="K194" s="37"/>
      <c r="M194" s="49"/>
      <c r="N194" s="32"/>
      <c r="P194" s="36"/>
      <c r="Q194" s="37"/>
    </row>
    <row r="195" spans="2:17">
      <c r="B195" s="12"/>
      <c r="C195" s="49"/>
      <c r="D195" s="32"/>
      <c r="F195" s="36"/>
      <c r="G195" s="36"/>
      <c r="H195" s="36"/>
      <c r="I195" s="36"/>
      <c r="J195" s="37"/>
      <c r="K195" s="37"/>
      <c r="M195" s="49"/>
      <c r="N195" s="32"/>
      <c r="P195" s="36"/>
      <c r="Q195" s="37"/>
    </row>
    <row r="196" spans="2:17">
      <c r="B196" s="12"/>
      <c r="C196" s="49"/>
      <c r="D196" s="32"/>
      <c r="F196" s="36"/>
      <c r="G196" s="36"/>
      <c r="H196" s="36"/>
      <c r="I196" s="36"/>
      <c r="J196" s="37"/>
      <c r="K196" s="37"/>
      <c r="M196" s="49"/>
      <c r="N196" s="32"/>
      <c r="P196" s="36"/>
      <c r="Q196" s="37"/>
    </row>
    <row r="197" spans="2:17">
      <c r="B197" s="12"/>
      <c r="C197" s="49"/>
      <c r="D197" s="32"/>
      <c r="F197" s="36"/>
      <c r="G197" s="36"/>
      <c r="H197" s="36"/>
      <c r="I197" s="36"/>
      <c r="J197" s="37"/>
      <c r="K197" s="37"/>
      <c r="M197" s="49"/>
      <c r="N197" s="32"/>
      <c r="P197" s="36"/>
      <c r="Q197" s="37"/>
    </row>
    <row r="198" spans="2:17">
      <c r="B198" s="12"/>
      <c r="C198" s="49"/>
      <c r="D198" s="32"/>
      <c r="F198" s="36"/>
      <c r="G198" s="36"/>
      <c r="H198" s="36"/>
      <c r="I198" s="36"/>
      <c r="J198" s="37"/>
      <c r="K198" s="37"/>
      <c r="M198" s="49"/>
      <c r="N198" s="32"/>
      <c r="P198" s="36"/>
      <c r="Q198" s="37"/>
    </row>
    <row r="199" spans="2:17">
      <c r="B199" s="12"/>
      <c r="C199" s="49"/>
      <c r="D199" s="32"/>
      <c r="F199" s="36"/>
      <c r="G199" s="36"/>
      <c r="H199" s="36"/>
      <c r="I199" s="36"/>
      <c r="J199" s="37"/>
      <c r="K199" s="37"/>
      <c r="M199" s="49"/>
      <c r="N199" s="32"/>
      <c r="P199" s="36"/>
      <c r="Q199" s="37"/>
    </row>
    <row r="200" spans="2:17">
      <c r="B200" s="12"/>
      <c r="C200" s="49"/>
      <c r="D200" s="32"/>
      <c r="F200" s="36"/>
      <c r="G200" s="36"/>
      <c r="H200" s="36"/>
      <c r="I200" s="36"/>
      <c r="J200" s="37"/>
      <c r="K200" s="37"/>
      <c r="M200" s="49"/>
      <c r="N200" s="32"/>
      <c r="P200" s="36"/>
      <c r="Q200" s="37"/>
    </row>
    <row r="201" spans="2:17">
      <c r="B201" s="12"/>
      <c r="C201" s="49"/>
      <c r="D201" s="32"/>
      <c r="F201" s="36"/>
      <c r="G201" s="36"/>
      <c r="H201" s="36"/>
      <c r="I201" s="36"/>
      <c r="J201" s="37"/>
      <c r="K201" s="37"/>
      <c r="M201" s="49"/>
      <c r="N201" s="32"/>
      <c r="P201" s="36"/>
      <c r="Q201" s="37"/>
    </row>
    <row r="202" spans="2:17">
      <c r="B202" s="12"/>
      <c r="C202" s="49"/>
      <c r="D202" s="32"/>
      <c r="F202" s="36"/>
      <c r="G202" s="36"/>
      <c r="H202" s="36"/>
      <c r="I202" s="36"/>
      <c r="J202" s="37"/>
      <c r="K202" s="37"/>
      <c r="M202" s="49"/>
      <c r="N202" s="32"/>
      <c r="P202" s="36"/>
      <c r="Q202" s="37"/>
    </row>
    <row r="203" spans="2:17">
      <c r="B203" s="12"/>
      <c r="C203" s="49"/>
      <c r="D203" s="32"/>
      <c r="F203" s="36"/>
      <c r="G203" s="36"/>
      <c r="H203" s="36"/>
      <c r="I203" s="36"/>
      <c r="J203" s="37"/>
      <c r="K203" s="37"/>
      <c r="M203" s="49"/>
      <c r="N203" s="32"/>
      <c r="P203" s="36"/>
      <c r="Q203" s="37"/>
    </row>
    <row r="204" spans="2:17">
      <c r="B204" s="12"/>
      <c r="C204" s="49"/>
      <c r="D204" s="32"/>
      <c r="F204" s="36"/>
      <c r="G204" s="36"/>
      <c r="H204" s="36"/>
      <c r="I204" s="36"/>
      <c r="J204" s="37"/>
      <c r="K204" s="37"/>
      <c r="M204" s="49"/>
      <c r="N204" s="32"/>
      <c r="P204" s="36"/>
      <c r="Q204" s="37"/>
    </row>
    <row r="205" spans="2:17">
      <c r="B205" s="12"/>
      <c r="C205" s="49"/>
      <c r="D205" s="32"/>
      <c r="F205" s="36"/>
      <c r="G205" s="36"/>
      <c r="H205" s="36"/>
      <c r="I205" s="36"/>
      <c r="J205" s="37"/>
      <c r="K205" s="37"/>
      <c r="M205" s="49"/>
      <c r="N205" s="32"/>
      <c r="P205" s="36"/>
      <c r="Q205" s="37"/>
    </row>
    <row r="206" spans="2:17">
      <c r="B206" s="12"/>
      <c r="C206" s="49"/>
      <c r="D206" s="32"/>
      <c r="F206" s="36"/>
      <c r="G206" s="36"/>
      <c r="H206" s="36"/>
      <c r="I206" s="36"/>
      <c r="J206" s="37"/>
      <c r="K206" s="37"/>
      <c r="M206" s="49"/>
      <c r="N206" s="32"/>
      <c r="P206" s="36"/>
      <c r="Q206" s="37"/>
    </row>
    <row r="207" spans="2:17">
      <c r="B207" s="12"/>
      <c r="C207" s="49"/>
      <c r="D207" s="32"/>
      <c r="F207" s="36"/>
      <c r="G207" s="36"/>
      <c r="H207" s="36"/>
      <c r="I207" s="36"/>
      <c r="J207" s="37"/>
      <c r="K207" s="37"/>
      <c r="M207" s="49"/>
      <c r="N207" s="32"/>
      <c r="P207" s="36"/>
      <c r="Q207" s="37"/>
    </row>
    <row r="208" spans="2:17">
      <c r="B208" s="12"/>
      <c r="C208" s="49"/>
      <c r="D208" s="32"/>
      <c r="F208" s="36"/>
      <c r="G208" s="36"/>
      <c r="H208" s="36"/>
      <c r="I208" s="36"/>
      <c r="J208" s="37"/>
      <c r="K208" s="37"/>
      <c r="M208" s="49"/>
      <c r="N208" s="32"/>
      <c r="P208" s="36"/>
      <c r="Q208" s="37"/>
    </row>
    <row r="209" spans="2:17">
      <c r="B209" s="12"/>
      <c r="C209" s="49"/>
      <c r="D209" s="32"/>
      <c r="F209" s="36"/>
      <c r="G209" s="36"/>
      <c r="H209" s="36"/>
      <c r="I209" s="36"/>
      <c r="J209" s="37"/>
      <c r="K209" s="37"/>
      <c r="M209" s="49"/>
      <c r="N209" s="32"/>
      <c r="P209" s="36"/>
      <c r="Q209" s="37"/>
    </row>
    <row r="210" spans="2:17">
      <c r="B210" s="12"/>
      <c r="C210" s="49"/>
      <c r="D210" s="32"/>
      <c r="F210" s="36"/>
      <c r="G210" s="36"/>
      <c r="H210" s="36"/>
      <c r="I210" s="36"/>
      <c r="J210" s="37"/>
      <c r="K210" s="37"/>
      <c r="M210" s="49"/>
      <c r="N210" s="32"/>
      <c r="P210" s="36"/>
      <c r="Q210" s="37"/>
    </row>
    <row r="211" spans="2:17">
      <c r="B211" s="12"/>
      <c r="C211" s="49"/>
      <c r="D211" s="32"/>
      <c r="F211" s="36"/>
      <c r="G211" s="36"/>
      <c r="H211" s="36"/>
      <c r="I211" s="36"/>
      <c r="J211" s="37"/>
      <c r="K211" s="37"/>
      <c r="M211" s="49"/>
      <c r="N211" s="32"/>
      <c r="P211" s="36"/>
      <c r="Q211" s="37"/>
    </row>
    <row r="212" spans="2:17">
      <c r="B212" s="12"/>
      <c r="C212" s="49"/>
      <c r="D212" s="32"/>
      <c r="F212" s="36"/>
      <c r="G212" s="36"/>
      <c r="H212" s="36"/>
      <c r="I212" s="36"/>
      <c r="J212" s="37"/>
      <c r="K212" s="37"/>
      <c r="M212" s="49"/>
      <c r="N212" s="32"/>
      <c r="P212" s="36"/>
      <c r="Q212" s="37"/>
    </row>
    <row r="213" spans="2:17">
      <c r="B213" s="12"/>
      <c r="C213" s="49"/>
      <c r="D213" s="32"/>
      <c r="F213" s="36"/>
      <c r="G213" s="36"/>
      <c r="H213" s="36"/>
      <c r="I213" s="36"/>
      <c r="J213" s="37"/>
      <c r="K213" s="37"/>
      <c r="M213" s="49"/>
      <c r="N213" s="32"/>
      <c r="P213" s="36"/>
      <c r="Q213" s="37"/>
    </row>
    <row r="214" spans="2:17">
      <c r="B214" s="12"/>
      <c r="C214" s="49"/>
      <c r="D214" s="32"/>
      <c r="F214" s="36"/>
      <c r="G214" s="36"/>
      <c r="H214" s="36"/>
      <c r="I214" s="36"/>
      <c r="J214" s="37"/>
      <c r="K214" s="37"/>
      <c r="M214" s="49"/>
      <c r="N214" s="32"/>
      <c r="P214" s="36"/>
      <c r="Q214" s="37"/>
    </row>
    <row r="215" spans="2:17">
      <c r="B215" s="12"/>
      <c r="C215" s="49"/>
      <c r="D215" s="32"/>
      <c r="F215" s="36"/>
      <c r="G215" s="36"/>
      <c r="H215" s="36"/>
      <c r="I215" s="36"/>
      <c r="J215" s="37"/>
      <c r="K215" s="37"/>
      <c r="M215" s="49"/>
      <c r="N215" s="32"/>
      <c r="P215" s="36"/>
      <c r="Q215" s="37"/>
    </row>
    <row r="216" spans="2:17">
      <c r="B216" s="12"/>
      <c r="C216" s="49"/>
      <c r="D216" s="32"/>
      <c r="F216" s="36"/>
      <c r="G216" s="36"/>
      <c r="H216" s="36"/>
      <c r="I216" s="36"/>
      <c r="J216" s="37"/>
      <c r="K216" s="37"/>
      <c r="M216" s="49"/>
      <c r="N216" s="32"/>
      <c r="P216" s="36"/>
      <c r="Q216" s="37"/>
    </row>
    <row r="217" spans="2:17">
      <c r="B217" s="12"/>
      <c r="C217" s="49"/>
      <c r="D217" s="32"/>
      <c r="F217" s="36"/>
      <c r="G217" s="36"/>
      <c r="H217" s="36"/>
      <c r="I217" s="36"/>
      <c r="J217" s="37"/>
      <c r="K217" s="37"/>
      <c r="M217" s="49"/>
      <c r="N217" s="32"/>
      <c r="P217" s="36"/>
      <c r="Q217" s="37"/>
    </row>
    <row r="218" spans="2:17">
      <c r="B218" s="12"/>
      <c r="C218" s="49"/>
      <c r="D218" s="32"/>
      <c r="F218" s="36"/>
      <c r="G218" s="36"/>
      <c r="H218" s="36"/>
      <c r="I218" s="36"/>
      <c r="J218" s="37"/>
      <c r="K218" s="37"/>
      <c r="M218" s="49"/>
      <c r="N218" s="32"/>
      <c r="P218" s="36"/>
      <c r="Q218" s="37"/>
    </row>
    <row r="219" spans="2:17">
      <c r="B219" s="12"/>
      <c r="C219" s="49"/>
      <c r="D219" s="32"/>
      <c r="F219" s="36"/>
      <c r="G219" s="36"/>
      <c r="H219" s="36"/>
      <c r="I219" s="36"/>
      <c r="J219" s="37"/>
      <c r="K219" s="37"/>
      <c r="M219" s="49"/>
      <c r="N219" s="32"/>
      <c r="P219" s="36"/>
      <c r="Q219" s="37"/>
    </row>
    <row r="220" spans="2:17">
      <c r="B220" s="12"/>
      <c r="C220" s="49"/>
      <c r="D220" s="32"/>
      <c r="F220" s="36"/>
      <c r="G220" s="36"/>
      <c r="H220" s="36"/>
      <c r="I220" s="36"/>
      <c r="J220" s="37"/>
      <c r="K220" s="37"/>
      <c r="M220" s="49"/>
      <c r="N220" s="32"/>
      <c r="P220" s="36"/>
      <c r="Q220" s="37"/>
    </row>
    <row r="221" spans="2:17">
      <c r="B221" s="12"/>
      <c r="C221" s="49"/>
      <c r="D221" s="32"/>
      <c r="F221" s="36"/>
      <c r="G221" s="36"/>
      <c r="H221" s="36"/>
      <c r="I221" s="36"/>
      <c r="J221" s="37"/>
      <c r="K221" s="37"/>
      <c r="M221" s="49"/>
      <c r="N221" s="32"/>
      <c r="P221" s="36"/>
      <c r="Q221" s="37"/>
    </row>
    <row r="222" spans="2:17">
      <c r="B222" s="12"/>
      <c r="C222" s="49"/>
      <c r="D222" s="32"/>
      <c r="F222" s="36"/>
      <c r="G222" s="36"/>
      <c r="H222" s="36"/>
      <c r="I222" s="36"/>
      <c r="J222" s="37"/>
      <c r="K222" s="37"/>
      <c r="M222" s="49"/>
      <c r="N222" s="32"/>
      <c r="P222" s="36"/>
      <c r="Q222" s="37"/>
    </row>
    <row r="223" spans="2:17">
      <c r="B223" s="12"/>
      <c r="C223" s="49"/>
      <c r="D223" s="32"/>
      <c r="F223" s="36"/>
      <c r="G223" s="36"/>
      <c r="H223" s="36"/>
      <c r="I223" s="36"/>
      <c r="J223" s="37"/>
      <c r="K223" s="37"/>
      <c r="M223" s="49"/>
      <c r="N223" s="32"/>
      <c r="P223" s="36"/>
      <c r="Q223" s="37"/>
    </row>
    <row r="224" spans="2:17">
      <c r="B224" s="12"/>
      <c r="C224" s="49"/>
      <c r="D224" s="32"/>
      <c r="F224" s="36"/>
      <c r="G224" s="36"/>
      <c r="H224" s="36"/>
      <c r="I224" s="36"/>
      <c r="J224" s="37"/>
      <c r="K224" s="37"/>
      <c r="M224" s="49"/>
      <c r="N224" s="32"/>
      <c r="P224" s="36"/>
      <c r="Q224" s="37"/>
    </row>
    <row r="225" spans="2:17">
      <c r="B225" s="12"/>
      <c r="C225" s="49"/>
      <c r="D225" s="32"/>
      <c r="F225" s="36"/>
      <c r="G225" s="36"/>
      <c r="H225" s="36"/>
      <c r="I225" s="36"/>
      <c r="J225" s="37"/>
      <c r="K225" s="37"/>
      <c r="M225" s="49"/>
      <c r="N225" s="32"/>
      <c r="P225" s="36"/>
      <c r="Q225" s="37"/>
    </row>
    <row r="226" spans="2:17">
      <c r="B226" s="12"/>
      <c r="C226" s="49"/>
      <c r="D226" s="32"/>
      <c r="F226" s="36"/>
      <c r="G226" s="36"/>
      <c r="H226" s="36"/>
      <c r="I226" s="36"/>
      <c r="J226" s="37"/>
      <c r="K226" s="37"/>
      <c r="M226" s="49"/>
      <c r="N226" s="32"/>
      <c r="P226" s="36"/>
      <c r="Q226" s="37"/>
    </row>
    <row r="227" spans="2:17">
      <c r="B227" s="12"/>
      <c r="C227" s="49"/>
      <c r="D227" s="32"/>
      <c r="F227" s="36"/>
      <c r="G227" s="36"/>
      <c r="H227" s="36"/>
      <c r="I227" s="36"/>
      <c r="J227" s="37"/>
      <c r="K227" s="37"/>
      <c r="M227" s="49"/>
      <c r="N227" s="32"/>
      <c r="P227" s="36"/>
      <c r="Q227" s="37"/>
    </row>
    <row r="228" spans="2:17">
      <c r="B228" s="12"/>
      <c r="C228" s="49"/>
      <c r="D228" s="32"/>
      <c r="F228" s="36"/>
      <c r="G228" s="36"/>
      <c r="H228" s="36"/>
      <c r="I228" s="36"/>
      <c r="J228" s="37"/>
      <c r="K228" s="37"/>
      <c r="M228" s="49"/>
      <c r="N228" s="32"/>
      <c r="P228" s="36"/>
      <c r="Q228" s="37"/>
    </row>
    <row r="229" spans="2:17">
      <c r="B229" s="12"/>
      <c r="C229" s="49"/>
      <c r="D229" s="32"/>
      <c r="F229" s="36"/>
      <c r="G229" s="36"/>
      <c r="H229" s="36"/>
      <c r="I229" s="36"/>
      <c r="J229" s="37"/>
      <c r="K229" s="37"/>
      <c r="M229" s="49"/>
      <c r="N229" s="32"/>
      <c r="P229" s="36"/>
      <c r="Q229" s="37"/>
    </row>
    <row r="230" spans="2:17">
      <c r="B230" s="12"/>
      <c r="C230" s="49"/>
      <c r="D230" s="32"/>
      <c r="F230" s="36"/>
      <c r="G230" s="36"/>
      <c r="H230" s="36"/>
      <c r="I230" s="36"/>
      <c r="J230" s="37"/>
      <c r="K230" s="37"/>
      <c r="M230" s="49"/>
      <c r="N230" s="32"/>
      <c r="P230" s="36"/>
      <c r="Q230" s="37"/>
    </row>
    <row r="231" spans="2:17">
      <c r="B231" s="12"/>
      <c r="C231" s="49"/>
      <c r="D231" s="32"/>
      <c r="F231" s="36"/>
      <c r="G231" s="36"/>
      <c r="H231" s="36"/>
      <c r="I231" s="36"/>
      <c r="J231" s="37"/>
      <c r="K231" s="37"/>
      <c r="M231" s="49"/>
      <c r="N231" s="32"/>
      <c r="P231" s="36"/>
      <c r="Q231" s="37"/>
    </row>
    <row r="232" spans="2:17">
      <c r="B232" s="12"/>
      <c r="C232" s="49"/>
      <c r="D232" s="32"/>
      <c r="F232" s="36"/>
      <c r="G232" s="36"/>
      <c r="H232" s="36"/>
      <c r="I232" s="36"/>
      <c r="J232" s="37"/>
      <c r="K232" s="37"/>
      <c r="M232" s="49"/>
      <c r="N232" s="32"/>
      <c r="P232" s="36"/>
      <c r="Q232" s="37"/>
    </row>
    <row r="233" spans="2:17">
      <c r="B233" s="12"/>
      <c r="C233" s="49"/>
      <c r="D233" s="32"/>
      <c r="F233" s="36"/>
      <c r="G233" s="36"/>
      <c r="H233" s="36"/>
      <c r="I233" s="36"/>
      <c r="J233" s="37"/>
      <c r="K233" s="37"/>
      <c r="M233" s="49"/>
      <c r="N233" s="32"/>
      <c r="P233" s="36"/>
      <c r="Q233" s="37"/>
    </row>
    <row r="234" spans="2:17">
      <c r="B234" s="12"/>
      <c r="C234" s="49"/>
      <c r="D234" s="32"/>
      <c r="F234" s="36"/>
      <c r="G234" s="36"/>
      <c r="H234" s="36"/>
      <c r="I234" s="36"/>
      <c r="J234" s="37"/>
      <c r="K234" s="37"/>
      <c r="M234" s="49"/>
      <c r="N234" s="32"/>
      <c r="P234" s="36"/>
      <c r="Q234" s="37"/>
    </row>
    <row r="235" spans="2:17">
      <c r="B235" s="12"/>
      <c r="C235" s="49"/>
      <c r="D235" s="32"/>
      <c r="F235" s="36"/>
      <c r="G235" s="36"/>
      <c r="H235" s="36"/>
      <c r="I235" s="36"/>
      <c r="J235" s="37"/>
      <c r="K235" s="37"/>
      <c r="M235" s="49"/>
      <c r="N235" s="32"/>
      <c r="P235" s="36"/>
      <c r="Q235" s="37"/>
    </row>
    <row r="236" spans="2:17">
      <c r="B236" s="12"/>
      <c r="C236" s="49"/>
      <c r="D236" s="32"/>
      <c r="F236" s="36"/>
      <c r="G236" s="36"/>
      <c r="H236" s="36"/>
      <c r="I236" s="36"/>
      <c r="J236" s="37"/>
      <c r="K236" s="37"/>
      <c r="M236" s="49"/>
      <c r="N236" s="32"/>
      <c r="P236" s="36"/>
      <c r="Q236" s="37"/>
    </row>
    <row r="237" spans="2:17">
      <c r="B237" s="12"/>
      <c r="C237" s="49"/>
      <c r="D237" s="32"/>
      <c r="F237" s="36"/>
      <c r="G237" s="36"/>
      <c r="H237" s="36"/>
      <c r="I237" s="36"/>
      <c r="J237" s="37"/>
      <c r="K237" s="37"/>
      <c r="M237" s="49"/>
      <c r="N237" s="32"/>
      <c r="P237" s="36"/>
      <c r="Q237" s="37"/>
    </row>
    <row r="238" spans="2:17">
      <c r="B238" s="12"/>
      <c r="C238" s="49"/>
      <c r="D238" s="32"/>
      <c r="F238" s="36"/>
      <c r="G238" s="36"/>
      <c r="H238" s="36"/>
      <c r="I238" s="36"/>
      <c r="J238" s="37"/>
      <c r="K238" s="37"/>
      <c r="M238" s="49"/>
      <c r="N238" s="32"/>
      <c r="P238" s="36"/>
      <c r="Q238" s="37"/>
    </row>
    <row r="239" spans="2:17">
      <c r="B239" s="12"/>
      <c r="C239" s="49"/>
      <c r="D239" s="32"/>
      <c r="F239" s="36"/>
      <c r="G239" s="36"/>
      <c r="H239" s="36"/>
      <c r="I239" s="36"/>
      <c r="J239" s="37"/>
      <c r="K239" s="37"/>
      <c r="M239" s="49"/>
      <c r="N239" s="32"/>
      <c r="P239" s="36"/>
      <c r="Q239" s="37"/>
    </row>
    <row r="240" spans="2:17">
      <c r="B240" s="12"/>
      <c r="C240" s="49"/>
      <c r="D240" s="32"/>
      <c r="F240" s="36"/>
      <c r="G240" s="36"/>
      <c r="H240" s="36"/>
      <c r="I240" s="36"/>
      <c r="J240" s="37"/>
      <c r="K240" s="37"/>
      <c r="M240" s="49"/>
      <c r="N240" s="32"/>
      <c r="P240" s="36"/>
      <c r="Q240" s="37"/>
    </row>
    <row r="241" spans="2:17">
      <c r="B241" s="12"/>
      <c r="C241" s="49"/>
      <c r="D241" s="32"/>
      <c r="F241" s="36"/>
      <c r="G241" s="36"/>
      <c r="H241" s="36"/>
      <c r="I241" s="36"/>
      <c r="J241" s="37"/>
      <c r="K241" s="37"/>
      <c r="M241" s="49"/>
      <c r="N241" s="32"/>
      <c r="P241" s="36"/>
      <c r="Q241" s="37"/>
    </row>
    <row r="242" spans="2:17">
      <c r="B242" s="12"/>
      <c r="C242" s="49"/>
      <c r="D242" s="32"/>
      <c r="F242" s="36"/>
      <c r="G242" s="36"/>
      <c r="H242" s="36"/>
      <c r="I242" s="36"/>
      <c r="J242" s="37"/>
      <c r="K242" s="37"/>
      <c r="M242" s="49"/>
      <c r="N242" s="32"/>
      <c r="P242" s="36"/>
      <c r="Q242" s="37"/>
    </row>
    <row r="243" spans="2:17">
      <c r="B243" s="12"/>
      <c r="C243" s="49"/>
      <c r="D243" s="32"/>
      <c r="F243" s="36"/>
      <c r="G243" s="36"/>
      <c r="H243" s="36"/>
      <c r="I243" s="36"/>
      <c r="J243" s="37"/>
      <c r="K243" s="37"/>
      <c r="M243" s="49"/>
      <c r="N243" s="32"/>
      <c r="P243" s="36"/>
      <c r="Q243" s="37"/>
    </row>
    <row r="244" spans="2:17">
      <c r="B244" s="12"/>
      <c r="C244" s="49"/>
      <c r="D244" s="32"/>
      <c r="F244" s="36"/>
      <c r="G244" s="36"/>
      <c r="H244" s="36"/>
      <c r="I244" s="36"/>
      <c r="J244" s="37"/>
      <c r="K244" s="37"/>
      <c r="M244" s="49"/>
      <c r="N244" s="32"/>
      <c r="P244" s="36"/>
      <c r="Q244" s="37"/>
    </row>
    <row r="245" spans="2:17">
      <c r="B245" s="12"/>
      <c r="C245" s="49"/>
      <c r="D245" s="32"/>
      <c r="F245" s="36"/>
      <c r="G245" s="36"/>
      <c r="H245" s="36"/>
      <c r="I245" s="36"/>
      <c r="J245" s="37"/>
      <c r="K245" s="37"/>
      <c r="M245" s="49"/>
      <c r="N245" s="32"/>
      <c r="P245" s="36"/>
      <c r="Q245" s="37"/>
    </row>
    <row r="246" spans="2:17">
      <c r="B246" s="12"/>
      <c r="C246" s="49"/>
      <c r="D246" s="32"/>
      <c r="F246" s="36"/>
      <c r="G246" s="36"/>
      <c r="H246" s="36"/>
      <c r="I246" s="36"/>
      <c r="J246" s="37"/>
      <c r="K246" s="37"/>
      <c r="M246" s="49"/>
      <c r="N246" s="32"/>
      <c r="P246" s="36"/>
      <c r="Q246" s="37"/>
    </row>
    <row r="247" spans="2:17">
      <c r="B247" s="12"/>
      <c r="C247" s="49"/>
      <c r="D247" s="32"/>
      <c r="F247" s="36"/>
      <c r="G247" s="36"/>
      <c r="H247" s="36"/>
      <c r="I247" s="36"/>
      <c r="J247" s="37"/>
      <c r="K247" s="37"/>
      <c r="M247" s="49"/>
      <c r="N247" s="32"/>
      <c r="P247" s="36"/>
      <c r="Q247" s="37"/>
    </row>
    <row r="248" spans="2:17">
      <c r="B248" s="12"/>
      <c r="C248" s="49"/>
      <c r="D248" s="32"/>
      <c r="F248" s="36"/>
      <c r="G248" s="36"/>
      <c r="H248" s="36"/>
      <c r="I248" s="36"/>
      <c r="J248" s="37"/>
      <c r="K248" s="37"/>
      <c r="M248" s="49"/>
      <c r="N248" s="32"/>
      <c r="P248" s="36"/>
      <c r="Q248" s="37"/>
    </row>
    <row r="249" spans="2:17">
      <c r="B249" s="12"/>
      <c r="C249" s="49"/>
      <c r="D249" s="32"/>
      <c r="F249" s="36"/>
      <c r="G249" s="36"/>
      <c r="H249" s="36"/>
      <c r="I249" s="36"/>
      <c r="J249" s="37"/>
      <c r="K249" s="37"/>
      <c r="M249" s="49"/>
      <c r="N249" s="32"/>
      <c r="P249" s="36"/>
      <c r="Q249" s="37"/>
    </row>
    <row r="250" spans="2:17">
      <c r="B250" s="12"/>
      <c r="C250" s="49"/>
      <c r="D250" s="32"/>
      <c r="F250" s="36"/>
      <c r="G250" s="36"/>
      <c r="H250" s="36"/>
      <c r="I250" s="36"/>
      <c r="J250" s="37"/>
      <c r="K250" s="37"/>
      <c r="M250" s="49"/>
      <c r="N250" s="32"/>
      <c r="P250" s="36"/>
      <c r="Q250" s="37"/>
    </row>
    <row r="251" spans="2:17">
      <c r="B251" s="12"/>
      <c r="C251" s="49"/>
      <c r="D251" s="32"/>
      <c r="F251" s="36"/>
      <c r="G251" s="36"/>
      <c r="H251" s="36"/>
      <c r="I251" s="36"/>
      <c r="J251" s="37"/>
      <c r="K251" s="37"/>
      <c r="M251" s="49"/>
      <c r="N251" s="32"/>
      <c r="P251" s="36"/>
      <c r="Q251" s="37"/>
    </row>
    <row r="252" spans="2:17">
      <c r="B252" s="12"/>
      <c r="C252" s="49"/>
      <c r="D252" s="32"/>
      <c r="F252" s="36"/>
      <c r="G252" s="36"/>
      <c r="H252" s="36"/>
      <c r="I252" s="36"/>
      <c r="J252" s="37"/>
      <c r="K252" s="37"/>
      <c r="M252" s="49"/>
      <c r="N252" s="32"/>
      <c r="P252" s="36"/>
      <c r="Q252" s="37"/>
    </row>
    <row r="253" spans="2:17">
      <c r="B253" s="12"/>
      <c r="C253" s="49"/>
      <c r="D253" s="32"/>
      <c r="F253" s="36"/>
      <c r="G253" s="36"/>
      <c r="H253" s="36"/>
      <c r="I253" s="36"/>
      <c r="J253" s="37"/>
      <c r="K253" s="37"/>
      <c r="M253" s="49"/>
      <c r="N253" s="32"/>
      <c r="P253" s="36"/>
      <c r="Q253" s="37"/>
    </row>
    <row r="254" spans="2:17">
      <c r="B254" s="12"/>
      <c r="C254" s="49"/>
      <c r="D254" s="32"/>
      <c r="F254" s="36"/>
      <c r="G254" s="36"/>
      <c r="H254" s="36"/>
      <c r="I254" s="36"/>
      <c r="J254" s="37"/>
      <c r="K254" s="37"/>
      <c r="M254" s="49"/>
      <c r="N254" s="32"/>
      <c r="P254" s="36"/>
      <c r="Q254" s="37"/>
    </row>
    <row r="255" spans="2:17">
      <c r="B255" s="12"/>
      <c r="C255" s="49"/>
      <c r="D255" s="32"/>
      <c r="F255" s="36"/>
      <c r="G255" s="36"/>
      <c r="H255" s="36"/>
      <c r="I255" s="36"/>
      <c r="J255" s="37"/>
      <c r="K255" s="37"/>
      <c r="M255" s="49"/>
      <c r="N255" s="32"/>
      <c r="P255" s="36"/>
      <c r="Q255" s="37"/>
    </row>
    <row r="256" spans="2:17">
      <c r="B256" s="12"/>
      <c r="C256" s="49"/>
      <c r="D256" s="32"/>
      <c r="F256" s="36"/>
      <c r="G256" s="36"/>
      <c r="H256" s="36"/>
      <c r="I256" s="36"/>
      <c r="J256" s="37"/>
      <c r="K256" s="37"/>
      <c r="M256" s="49"/>
      <c r="N256" s="32"/>
      <c r="P256" s="36"/>
      <c r="Q256" s="37"/>
    </row>
    <row r="257" spans="2:17">
      <c r="B257" s="12"/>
      <c r="C257" s="49"/>
      <c r="D257" s="32"/>
      <c r="F257" s="36"/>
      <c r="G257" s="36"/>
      <c r="H257" s="36"/>
      <c r="I257" s="36"/>
      <c r="J257" s="37"/>
      <c r="K257" s="37"/>
      <c r="M257" s="49"/>
      <c r="N257" s="32"/>
      <c r="P257" s="36"/>
      <c r="Q257" s="37"/>
    </row>
    <row r="258" spans="2:17">
      <c r="B258" s="12"/>
      <c r="C258" s="49"/>
      <c r="D258" s="32"/>
      <c r="F258" s="36"/>
      <c r="G258" s="36"/>
      <c r="H258" s="36"/>
      <c r="I258" s="36"/>
      <c r="J258" s="37"/>
      <c r="K258" s="37"/>
      <c r="M258" s="49"/>
      <c r="N258" s="32"/>
      <c r="P258" s="36"/>
      <c r="Q258" s="37"/>
    </row>
    <row r="259" spans="2:17">
      <c r="B259" s="12"/>
      <c r="C259" s="49"/>
      <c r="D259" s="32"/>
      <c r="F259" s="36"/>
      <c r="G259" s="36"/>
      <c r="H259" s="36"/>
      <c r="I259" s="36"/>
      <c r="J259" s="37"/>
      <c r="K259" s="37"/>
      <c r="M259" s="49"/>
      <c r="N259" s="32"/>
      <c r="P259" s="36"/>
      <c r="Q259" s="37"/>
    </row>
    <row r="260" spans="2:17">
      <c r="B260" s="12"/>
      <c r="C260" s="49"/>
      <c r="D260" s="32"/>
      <c r="F260" s="36"/>
      <c r="G260" s="36"/>
      <c r="H260" s="36"/>
      <c r="I260" s="36"/>
      <c r="J260" s="37"/>
      <c r="K260" s="37"/>
      <c r="M260" s="49"/>
      <c r="N260" s="32"/>
      <c r="P260" s="36"/>
      <c r="Q260" s="37"/>
    </row>
    <row r="261" spans="2:17">
      <c r="B261" s="12"/>
      <c r="C261" s="49"/>
      <c r="D261" s="32"/>
      <c r="F261" s="36"/>
      <c r="G261" s="36"/>
      <c r="H261" s="36"/>
      <c r="I261" s="36"/>
      <c r="J261" s="37"/>
      <c r="K261" s="37"/>
      <c r="M261" s="49"/>
      <c r="N261" s="32"/>
      <c r="P261" s="36"/>
      <c r="Q261" s="37"/>
    </row>
    <row r="262" spans="2:17">
      <c r="B262" s="12"/>
      <c r="C262" s="49"/>
      <c r="D262" s="32"/>
      <c r="F262" s="36"/>
      <c r="G262" s="36"/>
      <c r="H262" s="36"/>
      <c r="I262" s="36"/>
      <c r="J262" s="37"/>
      <c r="K262" s="37"/>
      <c r="M262" s="49"/>
      <c r="N262" s="32"/>
      <c r="P262" s="36"/>
      <c r="Q262" s="37"/>
    </row>
    <row r="263" spans="2:17">
      <c r="B263" s="12"/>
      <c r="C263" s="49"/>
      <c r="D263" s="32"/>
      <c r="F263" s="36"/>
      <c r="G263" s="36"/>
      <c r="H263" s="36"/>
      <c r="I263" s="36"/>
      <c r="J263" s="37"/>
      <c r="K263" s="37"/>
      <c r="M263" s="49"/>
      <c r="N263" s="32"/>
      <c r="P263" s="36"/>
      <c r="Q263" s="37"/>
    </row>
    <row r="264" spans="2:17">
      <c r="B264" s="12"/>
      <c r="C264" s="49"/>
      <c r="D264" s="32"/>
      <c r="F264" s="36"/>
      <c r="G264" s="36"/>
      <c r="H264" s="36"/>
      <c r="I264" s="36"/>
      <c r="J264" s="37"/>
      <c r="K264" s="37"/>
      <c r="M264" s="49"/>
      <c r="N264" s="32"/>
      <c r="P264" s="36"/>
      <c r="Q264" s="37"/>
    </row>
    <row r="265" spans="2:17">
      <c r="B265" s="12"/>
      <c r="C265" s="49"/>
      <c r="D265" s="32"/>
      <c r="F265" s="36"/>
      <c r="G265" s="36"/>
      <c r="H265" s="36"/>
      <c r="I265" s="36"/>
      <c r="J265" s="37"/>
      <c r="K265" s="37"/>
      <c r="M265" s="49"/>
      <c r="N265" s="32"/>
      <c r="P265" s="36"/>
      <c r="Q265" s="37"/>
    </row>
    <row r="266" spans="2:17">
      <c r="B266" s="12"/>
      <c r="C266" s="49"/>
      <c r="D266" s="32"/>
      <c r="F266" s="36"/>
      <c r="G266" s="36"/>
      <c r="H266" s="36"/>
      <c r="I266" s="36"/>
      <c r="J266" s="37"/>
      <c r="K266" s="37"/>
      <c r="M266" s="49"/>
      <c r="N266" s="32"/>
      <c r="P266" s="36"/>
      <c r="Q266" s="37"/>
    </row>
    <row r="267" spans="2:17">
      <c r="B267" s="12"/>
      <c r="C267" s="49"/>
      <c r="D267" s="32"/>
      <c r="F267" s="36"/>
      <c r="G267" s="36"/>
      <c r="H267" s="36"/>
      <c r="I267" s="36"/>
      <c r="J267" s="37"/>
      <c r="K267" s="37"/>
      <c r="M267" s="49"/>
      <c r="N267" s="32"/>
      <c r="P267" s="36"/>
      <c r="Q267" s="37"/>
    </row>
    <row r="268" spans="2:17">
      <c r="B268" s="12"/>
      <c r="C268" s="49"/>
      <c r="D268" s="32"/>
      <c r="F268" s="36"/>
      <c r="G268" s="36"/>
      <c r="H268" s="36"/>
      <c r="I268" s="36"/>
      <c r="J268" s="37"/>
      <c r="K268" s="37"/>
      <c r="M268" s="49"/>
      <c r="N268" s="32"/>
      <c r="P268" s="36"/>
      <c r="Q268" s="37"/>
    </row>
    <row r="269" spans="2:17">
      <c r="B269" s="12"/>
      <c r="C269" s="49"/>
      <c r="D269" s="32"/>
      <c r="F269" s="36"/>
      <c r="G269" s="36"/>
      <c r="H269" s="36"/>
      <c r="I269" s="36"/>
      <c r="J269" s="37"/>
      <c r="K269" s="37"/>
      <c r="M269" s="49"/>
      <c r="N269" s="32"/>
      <c r="P269" s="36"/>
      <c r="Q269" s="37"/>
    </row>
    <row r="270" spans="2:17">
      <c r="B270" s="12"/>
      <c r="C270" s="49"/>
      <c r="D270" s="32"/>
      <c r="F270" s="36"/>
      <c r="G270" s="36"/>
      <c r="H270" s="36"/>
      <c r="I270" s="36"/>
      <c r="J270" s="37"/>
      <c r="K270" s="37"/>
      <c r="M270" s="49"/>
      <c r="N270" s="32"/>
      <c r="P270" s="36"/>
      <c r="Q270" s="37"/>
    </row>
    <row r="271" spans="2:17">
      <c r="B271" s="12"/>
      <c r="C271" s="49"/>
      <c r="D271" s="32"/>
      <c r="F271" s="36"/>
      <c r="G271" s="36"/>
      <c r="H271" s="36"/>
      <c r="I271" s="36"/>
      <c r="J271" s="37"/>
      <c r="K271" s="37"/>
      <c r="M271" s="49"/>
      <c r="N271" s="32"/>
      <c r="P271" s="36"/>
      <c r="Q271" s="37"/>
    </row>
    <row r="272" spans="2:17">
      <c r="B272" s="12"/>
      <c r="C272" s="49"/>
      <c r="D272" s="32"/>
      <c r="F272" s="36"/>
      <c r="G272" s="36"/>
      <c r="H272" s="36"/>
      <c r="I272" s="36"/>
      <c r="J272" s="37"/>
      <c r="K272" s="37"/>
      <c r="M272" s="49"/>
      <c r="N272" s="32"/>
      <c r="P272" s="36"/>
      <c r="Q272" s="37"/>
    </row>
    <row r="273" spans="2:17">
      <c r="B273" s="12"/>
      <c r="C273" s="49"/>
      <c r="D273" s="32"/>
      <c r="F273" s="36"/>
      <c r="G273" s="36"/>
      <c r="H273" s="36"/>
      <c r="I273" s="36"/>
      <c r="J273" s="37"/>
      <c r="K273" s="37"/>
      <c r="M273" s="49"/>
      <c r="N273" s="32"/>
      <c r="P273" s="36"/>
      <c r="Q273" s="37"/>
    </row>
    <row r="274" spans="2:17">
      <c r="B274" s="12"/>
      <c r="C274" s="49"/>
      <c r="D274" s="32"/>
      <c r="F274" s="36"/>
      <c r="G274" s="36"/>
      <c r="H274" s="36"/>
      <c r="I274" s="36"/>
      <c r="J274" s="37"/>
      <c r="K274" s="37"/>
      <c r="M274" s="49"/>
      <c r="N274" s="32"/>
      <c r="P274" s="36"/>
      <c r="Q274" s="37"/>
    </row>
    <row r="275" spans="2:17">
      <c r="B275" s="12"/>
      <c r="C275" s="49"/>
      <c r="D275" s="32"/>
      <c r="F275" s="36"/>
      <c r="G275" s="36"/>
      <c r="H275" s="36"/>
      <c r="I275" s="36"/>
      <c r="J275" s="37"/>
      <c r="K275" s="37"/>
      <c r="M275" s="49"/>
      <c r="N275" s="32"/>
      <c r="P275" s="36"/>
      <c r="Q275" s="37"/>
    </row>
    <row r="276" spans="2:17">
      <c r="B276" s="12"/>
      <c r="C276" s="49"/>
      <c r="D276" s="32"/>
      <c r="F276" s="36"/>
      <c r="G276" s="36"/>
      <c r="H276" s="36"/>
      <c r="I276" s="36"/>
      <c r="J276" s="37"/>
      <c r="K276" s="37"/>
      <c r="M276" s="49"/>
      <c r="N276" s="32"/>
      <c r="P276" s="36"/>
      <c r="Q276" s="37"/>
    </row>
    <row r="277" spans="2:17">
      <c r="B277" s="12"/>
      <c r="C277" s="49"/>
      <c r="D277" s="32"/>
      <c r="F277" s="36"/>
      <c r="G277" s="36"/>
      <c r="H277" s="36"/>
      <c r="I277" s="36"/>
      <c r="J277" s="37"/>
      <c r="K277" s="37"/>
      <c r="M277" s="49"/>
      <c r="N277" s="32"/>
      <c r="P277" s="36"/>
      <c r="Q277" s="37"/>
    </row>
    <row r="278" spans="2:17">
      <c r="B278" s="12"/>
      <c r="C278" s="49"/>
      <c r="D278" s="32"/>
      <c r="F278" s="36"/>
      <c r="G278" s="36"/>
      <c r="H278" s="36"/>
      <c r="I278" s="36"/>
      <c r="J278" s="37"/>
      <c r="K278" s="37"/>
      <c r="M278" s="49"/>
      <c r="N278" s="32"/>
      <c r="P278" s="36"/>
      <c r="Q278" s="37"/>
    </row>
    <row r="279" spans="2:17">
      <c r="B279" s="12"/>
      <c r="C279" s="49"/>
      <c r="D279" s="32"/>
      <c r="F279" s="36"/>
      <c r="G279" s="36"/>
      <c r="H279" s="36"/>
      <c r="I279" s="36"/>
      <c r="J279" s="37"/>
      <c r="K279" s="37"/>
      <c r="M279" s="49"/>
      <c r="N279" s="32"/>
      <c r="P279" s="36"/>
      <c r="Q279" s="37"/>
    </row>
    <row r="280" spans="2:17">
      <c r="B280" s="12"/>
      <c r="C280" s="49"/>
      <c r="D280" s="32"/>
      <c r="F280" s="36"/>
      <c r="G280" s="36"/>
      <c r="H280" s="36"/>
      <c r="I280" s="36"/>
      <c r="J280" s="37"/>
      <c r="K280" s="37"/>
      <c r="M280" s="49"/>
      <c r="N280" s="32"/>
      <c r="P280" s="36"/>
      <c r="Q280" s="37"/>
    </row>
    <row r="281" spans="2:17">
      <c r="B281" s="12"/>
      <c r="C281" s="49"/>
      <c r="D281" s="32"/>
      <c r="F281" s="36"/>
      <c r="G281" s="36"/>
      <c r="H281" s="36"/>
      <c r="I281" s="36"/>
      <c r="J281" s="37"/>
      <c r="K281" s="37"/>
      <c r="M281" s="49"/>
      <c r="N281" s="32"/>
      <c r="P281" s="36"/>
      <c r="Q281" s="37"/>
    </row>
    <row r="282" spans="2:17">
      <c r="B282" s="12"/>
      <c r="C282" s="49"/>
      <c r="D282" s="32"/>
      <c r="F282" s="36"/>
      <c r="G282" s="36"/>
      <c r="H282" s="36"/>
      <c r="I282" s="36"/>
      <c r="J282" s="37"/>
      <c r="K282" s="37"/>
      <c r="M282" s="49"/>
      <c r="N282" s="32"/>
      <c r="P282" s="36"/>
      <c r="Q282" s="37"/>
    </row>
    <row r="283" spans="2:17">
      <c r="B283" s="12"/>
      <c r="C283" s="49"/>
      <c r="D283" s="32"/>
      <c r="F283" s="36"/>
      <c r="G283" s="36"/>
      <c r="H283" s="36"/>
      <c r="I283" s="36"/>
      <c r="J283" s="37"/>
      <c r="K283" s="37"/>
      <c r="M283" s="49"/>
      <c r="N283" s="32"/>
      <c r="P283" s="36"/>
      <c r="Q283" s="37"/>
    </row>
    <row r="284" spans="2:17">
      <c r="B284" s="12"/>
      <c r="C284" s="49"/>
      <c r="D284" s="32"/>
      <c r="F284" s="36"/>
      <c r="G284" s="36"/>
      <c r="H284" s="36"/>
      <c r="I284" s="36"/>
      <c r="J284" s="37"/>
      <c r="K284" s="37"/>
      <c r="M284" s="49"/>
      <c r="N284" s="32"/>
      <c r="P284" s="36"/>
      <c r="Q284" s="37"/>
    </row>
    <row r="285" spans="2:17">
      <c r="B285" s="12"/>
      <c r="C285" s="49"/>
      <c r="D285" s="32"/>
      <c r="F285" s="36"/>
      <c r="G285" s="36"/>
      <c r="H285" s="36"/>
      <c r="I285" s="36"/>
      <c r="J285" s="37"/>
      <c r="K285" s="37"/>
      <c r="M285" s="49"/>
      <c r="N285" s="32"/>
      <c r="P285" s="36"/>
      <c r="Q285" s="37"/>
    </row>
    <row r="286" spans="2:17">
      <c r="B286" s="12"/>
      <c r="C286" s="49"/>
      <c r="D286" s="32"/>
      <c r="F286" s="36"/>
      <c r="G286" s="36"/>
      <c r="H286" s="36"/>
      <c r="I286" s="36"/>
      <c r="J286" s="37"/>
      <c r="K286" s="37"/>
      <c r="M286" s="49"/>
      <c r="N286" s="32"/>
      <c r="P286" s="36"/>
      <c r="Q286" s="37"/>
    </row>
    <row r="287" spans="2:17">
      <c r="B287" s="12"/>
      <c r="C287" s="49"/>
      <c r="D287" s="32"/>
      <c r="F287" s="36"/>
      <c r="G287" s="36"/>
      <c r="H287" s="36"/>
      <c r="I287" s="36"/>
      <c r="J287" s="37"/>
      <c r="K287" s="37"/>
      <c r="M287" s="49"/>
      <c r="N287" s="32"/>
      <c r="P287" s="36"/>
      <c r="Q287" s="37"/>
    </row>
    <row r="288" spans="2:17">
      <c r="B288" s="12"/>
      <c r="C288" s="49"/>
      <c r="D288" s="32"/>
      <c r="F288" s="36"/>
      <c r="G288" s="36"/>
      <c r="H288" s="36"/>
      <c r="I288" s="36"/>
      <c r="J288" s="37"/>
      <c r="K288" s="37"/>
      <c r="M288" s="49"/>
      <c r="N288" s="32"/>
      <c r="P288" s="36"/>
      <c r="Q288" s="37"/>
    </row>
    <row r="289" spans="2:17">
      <c r="B289" s="12"/>
      <c r="C289" s="49"/>
      <c r="D289" s="32"/>
      <c r="F289" s="36"/>
      <c r="G289" s="36"/>
      <c r="H289" s="36"/>
      <c r="I289" s="36"/>
      <c r="J289" s="37"/>
      <c r="K289" s="37"/>
      <c r="M289" s="49"/>
      <c r="N289" s="32"/>
      <c r="P289" s="36"/>
      <c r="Q289" s="37"/>
    </row>
    <row r="290" spans="2:17">
      <c r="B290" s="12"/>
      <c r="C290" s="49"/>
      <c r="D290" s="32"/>
      <c r="F290" s="36"/>
      <c r="G290" s="36"/>
      <c r="H290" s="36"/>
      <c r="I290" s="36"/>
      <c r="J290" s="37"/>
      <c r="K290" s="37"/>
      <c r="M290" s="49"/>
      <c r="N290" s="32"/>
      <c r="P290" s="36"/>
      <c r="Q290" s="37"/>
    </row>
    <row r="291" spans="2:17">
      <c r="B291" s="12"/>
      <c r="C291" s="49"/>
      <c r="D291" s="32"/>
      <c r="F291" s="36"/>
      <c r="G291" s="36"/>
      <c r="H291" s="36"/>
      <c r="I291" s="36"/>
      <c r="J291" s="37"/>
      <c r="K291" s="37"/>
      <c r="M291" s="49"/>
      <c r="N291" s="32"/>
      <c r="P291" s="36"/>
      <c r="Q291" s="37"/>
    </row>
    <row r="292" spans="2:17">
      <c r="B292" s="12"/>
      <c r="C292" s="49"/>
      <c r="D292" s="32"/>
      <c r="F292" s="36"/>
      <c r="G292" s="36"/>
      <c r="H292" s="36"/>
      <c r="I292" s="36"/>
      <c r="J292" s="37"/>
      <c r="K292" s="37"/>
      <c r="M292" s="49"/>
      <c r="N292" s="32"/>
      <c r="P292" s="36"/>
      <c r="Q292" s="37"/>
    </row>
    <row r="293" spans="2:17">
      <c r="B293" s="12"/>
      <c r="C293" s="49"/>
      <c r="D293" s="32"/>
      <c r="F293" s="36"/>
      <c r="G293" s="36"/>
      <c r="H293" s="36"/>
      <c r="I293" s="36"/>
      <c r="J293" s="37"/>
      <c r="K293" s="37"/>
      <c r="M293" s="49"/>
      <c r="N293" s="32"/>
      <c r="P293" s="36"/>
      <c r="Q293" s="37"/>
    </row>
    <row r="294" spans="2:17">
      <c r="B294" s="12"/>
      <c r="C294" s="49"/>
      <c r="D294" s="32"/>
      <c r="F294" s="36"/>
      <c r="G294" s="36"/>
      <c r="H294" s="36"/>
      <c r="I294" s="36"/>
      <c r="J294" s="37"/>
      <c r="K294" s="37"/>
      <c r="M294" s="49"/>
      <c r="N294" s="32"/>
      <c r="P294" s="36"/>
      <c r="Q294" s="37"/>
    </row>
    <row r="295" spans="2:17">
      <c r="B295" s="12"/>
      <c r="C295" s="49"/>
      <c r="D295" s="32"/>
      <c r="F295" s="36"/>
      <c r="G295" s="36"/>
      <c r="H295" s="36"/>
      <c r="I295" s="36"/>
      <c r="J295" s="37"/>
      <c r="K295" s="37"/>
      <c r="M295" s="49"/>
      <c r="N295" s="32"/>
      <c r="P295" s="36"/>
      <c r="Q295" s="37"/>
    </row>
    <row r="296" spans="2:17">
      <c r="B296" s="12"/>
      <c r="C296" s="49"/>
      <c r="D296" s="32"/>
      <c r="F296" s="36"/>
      <c r="G296" s="36"/>
      <c r="H296" s="36"/>
      <c r="I296" s="36"/>
      <c r="J296" s="37"/>
      <c r="K296" s="37"/>
      <c r="M296" s="49"/>
      <c r="N296" s="32"/>
      <c r="P296" s="36"/>
      <c r="Q296" s="37"/>
    </row>
    <row r="297" spans="2:17">
      <c r="B297" s="12"/>
      <c r="C297" s="49"/>
      <c r="D297" s="32"/>
      <c r="F297" s="36"/>
      <c r="G297" s="36"/>
      <c r="H297" s="36"/>
      <c r="I297" s="36"/>
      <c r="J297" s="37"/>
      <c r="K297" s="37"/>
      <c r="M297" s="49"/>
      <c r="N297" s="32"/>
      <c r="P297" s="36"/>
      <c r="Q297" s="37"/>
    </row>
    <row r="298" spans="2:17">
      <c r="B298" s="12"/>
      <c r="C298" s="49"/>
      <c r="D298" s="32"/>
      <c r="F298" s="36"/>
      <c r="G298" s="36"/>
      <c r="H298" s="36"/>
      <c r="I298" s="36"/>
      <c r="J298" s="37"/>
      <c r="K298" s="37"/>
      <c r="M298" s="49"/>
      <c r="N298" s="32"/>
      <c r="P298" s="36"/>
      <c r="Q298" s="37"/>
    </row>
    <row r="299" spans="2:17">
      <c r="B299" s="12"/>
      <c r="C299" s="49"/>
      <c r="D299" s="32"/>
      <c r="F299" s="36"/>
      <c r="G299" s="36"/>
      <c r="H299" s="36"/>
      <c r="I299" s="36"/>
      <c r="J299" s="37"/>
      <c r="K299" s="37"/>
      <c r="M299" s="49"/>
      <c r="N299" s="32"/>
      <c r="P299" s="36"/>
      <c r="Q299" s="37"/>
    </row>
    <row r="300" spans="2:17">
      <c r="B300" s="12"/>
      <c r="C300" s="49"/>
      <c r="D300" s="32"/>
      <c r="F300" s="36"/>
      <c r="G300" s="36"/>
      <c r="H300" s="36"/>
      <c r="I300" s="36"/>
      <c r="J300" s="37"/>
      <c r="K300" s="37"/>
      <c r="M300" s="49"/>
      <c r="N300" s="32"/>
      <c r="P300" s="36"/>
      <c r="Q300" s="37"/>
    </row>
    <row r="301" spans="2:17">
      <c r="B301" s="12"/>
      <c r="C301" s="49"/>
      <c r="D301" s="32"/>
      <c r="F301" s="36"/>
      <c r="G301" s="36"/>
      <c r="H301" s="36"/>
      <c r="I301" s="36"/>
      <c r="J301" s="37"/>
      <c r="K301" s="37"/>
      <c r="M301" s="49"/>
      <c r="N301" s="32"/>
      <c r="P301" s="36"/>
      <c r="Q301" s="37"/>
    </row>
    <row r="302" spans="2:17">
      <c r="B302" s="12"/>
      <c r="C302" s="49"/>
      <c r="D302" s="32"/>
      <c r="F302" s="36"/>
      <c r="G302" s="36"/>
      <c r="H302" s="36"/>
      <c r="I302" s="36"/>
      <c r="J302" s="37"/>
      <c r="K302" s="37"/>
      <c r="M302" s="49"/>
      <c r="N302" s="32"/>
      <c r="P302" s="36"/>
      <c r="Q302" s="37"/>
    </row>
    <row r="303" spans="2:17">
      <c r="B303" s="12"/>
      <c r="C303" s="49"/>
      <c r="D303" s="32"/>
      <c r="F303" s="36"/>
      <c r="G303" s="36"/>
      <c r="H303" s="36"/>
      <c r="I303" s="36"/>
      <c r="J303" s="37"/>
      <c r="K303" s="37"/>
      <c r="M303" s="49"/>
      <c r="N303" s="32"/>
      <c r="P303" s="36"/>
      <c r="Q303" s="37"/>
    </row>
    <row r="304" spans="2:17">
      <c r="B304" s="12"/>
      <c r="C304" s="49"/>
      <c r="D304" s="32"/>
      <c r="F304" s="36"/>
      <c r="G304" s="36"/>
      <c r="H304" s="36"/>
      <c r="I304" s="36"/>
      <c r="J304" s="37"/>
      <c r="K304" s="37"/>
      <c r="M304" s="49"/>
      <c r="N304" s="32"/>
      <c r="P304" s="36"/>
      <c r="Q304" s="37"/>
    </row>
    <row r="305" spans="2:17">
      <c r="B305" s="12"/>
      <c r="C305" s="49"/>
      <c r="D305" s="32"/>
      <c r="F305" s="36"/>
      <c r="G305" s="36"/>
      <c r="H305" s="36"/>
      <c r="I305" s="36"/>
      <c r="J305" s="37"/>
      <c r="K305" s="37"/>
      <c r="M305" s="49"/>
      <c r="N305" s="32"/>
      <c r="P305" s="36"/>
      <c r="Q305" s="37"/>
    </row>
  </sheetData>
  <mergeCells count="14">
    <mergeCell ref="T3:T4"/>
    <mergeCell ref="S3:S4"/>
    <mergeCell ref="Q3:Q4"/>
    <mergeCell ref="K3:K4"/>
    <mergeCell ref="M3:M4"/>
    <mergeCell ref="N3:N4"/>
    <mergeCell ref="P3:P4"/>
    <mergeCell ref="I3:I4"/>
    <mergeCell ref="J3:J4"/>
    <mergeCell ref="C3:C4"/>
    <mergeCell ref="D3:D4"/>
    <mergeCell ref="F3:F4"/>
    <mergeCell ref="G3:G4"/>
    <mergeCell ref="H3:H4"/>
  </mergeCells>
  <conditionalFormatting sqref="B3:B4 B6 K6 B7:D305 F7:K305">
    <cfRule type="expression" dxfId="54" priority="33">
      <formula>$F3&lt;&gt;""</formula>
    </cfRule>
    <cfRule type="expression" dxfId="53" priority="34">
      <formula>$F3="Total"</formula>
    </cfRule>
  </conditionalFormatting>
  <conditionalFormatting sqref="B5">
    <cfRule type="expression" dxfId="52" priority="57">
      <formula>#REF!&lt;&gt;""</formula>
    </cfRule>
    <cfRule type="expression" dxfId="51" priority="58">
      <formula>#REF!="Total"</formula>
    </cfRule>
  </conditionalFormatting>
  <conditionalFormatting sqref="D5 F5:K5">
    <cfRule type="expression" dxfId="50" priority="25">
      <formula>$F5&lt;&gt;""</formula>
    </cfRule>
    <cfRule type="expression" dxfId="49" priority="26">
      <formula>$F5="Total"</formula>
    </cfRule>
  </conditionalFormatting>
  <conditionalFormatting sqref="Q3">
    <cfRule type="expression" dxfId="48" priority="23">
      <formula>$F3&lt;&gt;""</formula>
    </cfRule>
    <cfRule type="expression" dxfId="47" priority="24">
      <formula>$F3="Total"</formula>
    </cfRule>
  </conditionalFormatting>
  <conditionalFormatting sqref="M7:M305">
    <cfRule type="expression" dxfId="46" priority="21">
      <formula>$F7&lt;&gt;""</formula>
    </cfRule>
    <cfRule type="expression" dxfId="45" priority="22">
      <formula>$F7="Total"</formula>
    </cfRule>
  </conditionalFormatting>
  <conditionalFormatting sqref="N7:N305 P7:P305">
    <cfRule type="expression" dxfId="44" priority="19">
      <formula>$F7&lt;&gt;""</formula>
    </cfRule>
    <cfRule type="expression" dxfId="43" priority="20">
      <formula>$F7="Total"</formula>
    </cfRule>
  </conditionalFormatting>
  <conditionalFormatting sqref="Q7:Q305">
    <cfRule type="expression" dxfId="42" priority="17">
      <formula>$F7&lt;&gt;""</formula>
    </cfRule>
    <cfRule type="expression" dxfId="41" priority="18">
      <formula>$F7="Total"</formula>
    </cfRule>
  </conditionalFormatting>
  <conditionalFormatting sqref="N5">
    <cfRule type="expression" dxfId="40" priority="15">
      <formula>$F5&lt;&gt;""</formula>
    </cfRule>
    <cfRule type="expression" dxfId="39" priority="16">
      <formula>$F5="Total"</formula>
    </cfRule>
  </conditionalFormatting>
  <conditionalFormatting sqref="P5">
    <cfRule type="expression" dxfId="38" priority="13">
      <formula>$F5&lt;&gt;""</formula>
    </cfRule>
    <cfRule type="expression" dxfId="37" priority="14">
      <formula>$F5="Total"</formula>
    </cfRule>
  </conditionalFormatting>
  <conditionalFormatting sqref="Q5">
    <cfRule type="expression" dxfId="36" priority="11">
      <formula>$F5&lt;&gt;""</formula>
    </cfRule>
    <cfRule type="expression" dxfId="35" priority="12">
      <formula>$F5="Total"</formula>
    </cfRule>
  </conditionalFormatting>
  <conditionalFormatting sqref="K3">
    <cfRule type="expression" dxfId="34" priority="9">
      <formula>$F3&lt;&gt;""</formula>
    </cfRule>
    <cfRule type="expression" dxfId="33" priority="10">
      <formula>$F3="Total"</formula>
    </cfRule>
  </conditionalFormatting>
  <conditionalFormatting sqref="S7:S20">
    <cfRule type="expression" dxfId="32" priority="7">
      <formula>$F7&lt;&gt;""</formula>
    </cfRule>
    <cfRule type="expression" dxfId="31" priority="8">
      <formula>$F7="Total"</formula>
    </cfRule>
  </conditionalFormatting>
  <conditionalFormatting sqref="T5">
    <cfRule type="expression" dxfId="30" priority="3">
      <formula>$F5&lt;&gt;""</formula>
    </cfRule>
    <cfRule type="expression" dxfId="29" priority="4">
      <formula>$F5="Total"</formula>
    </cfRule>
  </conditionalFormatting>
  <conditionalFormatting sqref="T7:T20">
    <cfRule type="expression" dxfId="28" priority="1">
      <formula>$F7&lt;&gt;""</formula>
    </cfRule>
    <cfRule type="expression" dxfId="27" priority="2">
      <formula>$F7="Total"</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D2950-8217-455E-A493-739005FEAB42}">
  <sheetPr codeName="Hoja19"/>
  <dimension ref="A1:AN1482"/>
  <sheetViews>
    <sheetView workbookViewId="0">
      <selection activeCell="J36" sqref="J36"/>
    </sheetView>
  </sheetViews>
  <sheetFormatPr defaultColWidth="11.42578125" defaultRowHeight="15"/>
  <cols>
    <col min="1" max="1" width="4" customWidth="1"/>
    <col min="2" max="2" width="5.5703125" customWidth="1"/>
    <col min="3" max="3" width="11.5703125" customWidth="1"/>
    <col min="4" max="4" width="11.28515625" customWidth="1"/>
    <col min="5" max="5" width="25.28515625" style="54" customWidth="1"/>
    <col min="6" max="6" width="10.140625" customWidth="1"/>
    <col min="7" max="7" width="1.7109375" customWidth="1"/>
    <col min="8" max="8" width="9.7109375" customWidth="1"/>
    <col min="9" max="13" width="11.5703125" customWidth="1"/>
    <col min="14" max="14" width="2.42578125" customWidth="1"/>
    <col min="15" max="16" width="11.5703125" customWidth="1"/>
    <col min="17" max="17" width="25.28515625" style="54" bestFit="1" customWidth="1"/>
    <col min="18" max="19" width="13.7109375" customWidth="1"/>
    <col min="20" max="20" width="13.7109375" style="2" customWidth="1"/>
    <col min="21" max="21" width="3.140625" customWidth="1"/>
  </cols>
  <sheetData>
    <row r="1" spans="1:40">
      <c r="B1">
        <f>Control!F4-Control!F3+1</f>
        <v>30</v>
      </c>
      <c r="C1" cm="1">
        <f t="array" ref="C1">COUNTA(_xlfn.UNIQUE(_xlfn._xlws.FILTER(Tabla_Consulta_desde_Proyectos10[Usunombre],Tabla_Consulta_desde_Proyectos10[PRYRAhoras]&lt;&gt;"")))</f>
        <v>14</v>
      </c>
    </row>
    <row r="2" spans="1:40">
      <c r="Q2" s="60" t="s">
        <v>6110</v>
      </c>
      <c r="R2" s="2"/>
      <c r="S2" s="2"/>
    </row>
    <row r="3" spans="1:40" ht="14.45" customHeight="1">
      <c r="C3" s="41"/>
      <c r="D3" s="72" t="s">
        <v>4055</v>
      </c>
      <c r="E3" s="73" t="s">
        <v>5486</v>
      </c>
      <c r="F3" s="72" t="s">
        <v>5232</v>
      </c>
      <c r="H3" s="68" t="s">
        <v>5233</v>
      </c>
      <c r="I3" s="68" t="s">
        <v>5485</v>
      </c>
      <c r="J3" s="68" t="s">
        <v>5489</v>
      </c>
      <c r="K3" s="68" t="s">
        <v>5487</v>
      </c>
      <c r="L3" s="70" t="s">
        <v>3861</v>
      </c>
      <c r="M3" s="75" t="s">
        <v>6105</v>
      </c>
      <c r="O3" s="68" t="s">
        <v>6421</v>
      </c>
      <c r="Q3" s="68" t="s">
        <v>5486</v>
      </c>
      <c r="R3" s="68" t="s">
        <v>6106</v>
      </c>
      <c r="S3" s="68" t="s">
        <v>6107</v>
      </c>
      <c r="T3" s="68" t="s">
        <v>6111</v>
      </c>
      <c r="V3" s="68" t="s">
        <v>6238</v>
      </c>
      <c r="AH3" cm="1">
        <f t="array" ref="AH3:AH16">_xlfn.ANCHORARRAY(AI3)/$C$1-(1/$C$1)</f>
        <v>0</v>
      </c>
      <c r="AI3" cm="1">
        <f t="array" ref="AI3:AI16">_xlfn.SEQUENCE(COUNTA(_xlfn.ANCHORARRAY(AJ3)))</f>
        <v>1</v>
      </c>
      <c r="AJ3" t="str" cm="1">
        <f t="array" ref="AJ3:AJ16">_xlfn.UNIQUE(_xlfn._xlws.FILTER(Tabla_Consulta_desde_Proyectos10[Usunombre],Tabla_Consulta_desde_Proyectos10[PRYRAhoras]&lt;&gt;""))</f>
        <v>ELIER CORTES BALTODANO</v>
      </c>
      <c r="AM3">
        <v>1</v>
      </c>
      <c r="AN3" t="s">
        <v>6108</v>
      </c>
    </row>
    <row r="4" spans="1:40">
      <c r="C4" s="41"/>
      <c r="D4" s="72"/>
      <c r="E4" s="77"/>
      <c r="F4" s="72"/>
      <c r="H4" s="68"/>
      <c r="I4" s="68"/>
      <c r="J4" s="68"/>
      <c r="K4" s="68"/>
      <c r="L4" s="70"/>
      <c r="M4" s="76"/>
      <c r="O4" s="69"/>
      <c r="Q4" s="68"/>
      <c r="R4" s="68"/>
      <c r="S4" s="68"/>
      <c r="T4" s="68"/>
      <c r="V4" s="68"/>
      <c r="AH4">
        <v>7.1428571428571425E-2</v>
      </c>
      <c r="AI4">
        <v>2</v>
      </c>
      <c r="AJ4" t="str">
        <v>NEIL JOSE GARCIA VARGAS</v>
      </c>
      <c r="AM4">
        <v>2</v>
      </c>
      <c r="AN4" t="s">
        <v>6108</v>
      </c>
    </row>
    <row r="5" spans="1:40">
      <c r="C5" s="41"/>
      <c r="D5" s="47" t="s">
        <v>3861</v>
      </c>
      <c r="E5" s="55"/>
      <c r="F5" s="32">
        <f>SUM(_xlfn.ANCHORARRAY(F7))</f>
        <v>2464</v>
      </c>
      <c r="H5" s="36">
        <f t="shared" ref="H5:M5" si="0">SUM(_xlfn.ANCHORARRAY(H7))</f>
        <v>0</v>
      </c>
      <c r="I5" s="36">
        <f t="shared" si="0"/>
        <v>0</v>
      </c>
      <c r="J5" s="36">
        <f t="shared" si="0"/>
        <v>359.25</v>
      </c>
      <c r="K5" s="36">
        <f t="shared" si="0"/>
        <v>0</v>
      </c>
      <c r="L5" s="37">
        <f t="shared" si="0"/>
        <v>359.25</v>
      </c>
      <c r="M5" s="37">
        <f t="shared" si="0"/>
        <v>0</v>
      </c>
      <c r="O5" s="36">
        <f>SUM(_xlfn.ANCHORARRAY(O7))</f>
        <v>0</v>
      </c>
      <c r="Q5" s="47" t="s">
        <v>3861</v>
      </c>
      <c r="R5" s="48">
        <f>SUM(_xlfn.ANCHORARRAY(R7))</f>
        <v>0</v>
      </c>
      <c r="S5" s="48">
        <f>SUM(_xlfn.ANCHORARRAY(S7))</f>
        <v>0</v>
      </c>
      <c r="T5" s="48">
        <f>SUM(_xlfn.ANCHORARRAY(T7))</f>
        <v>0</v>
      </c>
      <c r="V5" s="48">
        <f>SUM(_xlfn.ANCHORARRAY(V7))</f>
        <v>0</v>
      </c>
      <c r="AH5">
        <v>0.14285714285714285</v>
      </c>
      <c r="AI5">
        <v>3</v>
      </c>
      <c r="AJ5" t="str">
        <v>JOSE DANIEL CHINCHILLA CERDAS</v>
      </c>
      <c r="AM5">
        <v>3</v>
      </c>
      <c r="AN5" t="s">
        <v>6108</v>
      </c>
    </row>
    <row r="6" spans="1:40">
      <c r="C6" s="41"/>
      <c r="D6" s="51"/>
      <c r="E6" s="56"/>
      <c r="F6" s="51"/>
      <c r="H6" s="52"/>
      <c r="I6" s="52"/>
      <c r="J6" s="52"/>
      <c r="K6" s="52"/>
      <c r="L6" s="53"/>
      <c r="M6" s="38"/>
      <c r="AH6">
        <v>0.21428571428571427</v>
      </c>
      <c r="AI6">
        <v>4</v>
      </c>
      <c r="AJ6" t="str">
        <v>MARIELA ARCE GARCIA</v>
      </c>
      <c r="AM6">
        <v>4</v>
      </c>
      <c r="AN6" t="s">
        <v>6108</v>
      </c>
    </row>
    <row r="7" spans="1:40">
      <c r="A7" t="str" cm="1">
        <f t="array" ref="A7:A426">VLOOKUP(_xlfn.ANCHORARRAY(C7),AM:AN,2,FALSE)</f>
        <v>L-S</v>
      </c>
      <c r="B7" s="59" cm="1">
        <f t="array" ref="B7:B426">ROUND(_xlfn.SEQUENCE((Control!F4-Control!F3+1)*C1,,0,1/$C$1),2)</f>
        <v>0</v>
      </c>
      <c r="C7" s="12" cm="1">
        <f t="array" ref="C7:C426">IFERROR(IF(COUNTIFS('Fechas Mes'!U:U,_xlfn.ANCHORARRAY(D7))=1,"F",WEEKDAY(_xlfn.ANCHORARRAY(D7),2)),"")</f>
        <v>3</v>
      </c>
      <c r="D7" s="49" cm="1">
        <f t="array" ref="D7:D426">Control!$F$3+ROUNDDOWN(_xlfn.ANCHORARRAY('Hrs Extras Fact Grupo'!B7),0)</f>
        <v>46113</v>
      </c>
      <c r="E7" s="57" t="str" cm="1">
        <f t="array" ref="E7:E426">VLOOKUP(ROUND((_xlfn.ANCHORARRAY(B7)-INT(_xlfn.ANCHORARRAY(B7)))*$C$1+1,0),AI:AJ,2,FALSE)</f>
        <v>ELIER CORTES BALTODANO</v>
      </c>
      <c r="F7" s="32" cm="1">
        <f t="array" ref="F7:F426">VLOOKUP(_xlfn.ANCHORARRAY(C7),'Fechas Mes'!W:X,2,FALSE)</f>
        <v>8</v>
      </c>
      <c r="H7" s="36" cm="1">
        <f t="array" ref="H7:H426">SUMIFS(Horas!$N:$N,Horas!$L:$L,_xlfn.ANCHORARRAY($D$7),Horas!$AD:$AD,H$3,Horas!$K:$K,_xlfn.ANCHORARRAY($E$7))</f>
        <v>0</v>
      </c>
      <c r="I7" s="36" cm="1">
        <f t="array" ref="I7:I426">SUMIFS(Horas!$N:$N,Horas!$L:$L,_xlfn.ANCHORARRAY($D$7),Horas!$AD:$AD,I$3,Horas!$K:$K,_xlfn.ANCHORARRAY($E$7))</f>
        <v>0</v>
      </c>
      <c r="J7" s="36" cm="1">
        <f t="array" ref="J7:J426">SUMIFS(Horas!$N:$N,Horas!$L:$L,_xlfn.ANCHORARRAY($D$7),Horas!$AD:$AD,J$3,Horas!$K:$K,_xlfn.ANCHORARRAY($E$7))</f>
        <v>0</v>
      </c>
      <c r="K7" s="36" cm="1">
        <f t="array" ref="K7:K426">SUMIFS(Horas!$N:$N,Horas!$L:$L,_xlfn.ANCHORARRAY($D$7),Horas!$AD:$AD,K$3,Horas!$K:$K,_xlfn.ANCHORARRAY($E$7))</f>
        <v>0</v>
      </c>
      <c r="L7" s="37" cm="1">
        <f t="array" ref="L7:L426">SUMIFS(Horas!$N:$N,Horas!$L:$L,_xlfn.ANCHORARRAY($D$7),Horas!$K:$K,_xlfn.ANCHORARRAY($E$7))</f>
        <v>0</v>
      </c>
      <c r="M7" s="37" cm="1">
        <f t="array" ref="M7:M426">IF(_xlfn.ANCHORARRAY(H7)-_xlfn.ANCHORARRAY(F7)&lt;0,0,_xlfn.ANCHORARRAY(H7)-_xlfn.ANCHORARRAY(F7))</f>
        <v>0</v>
      </c>
      <c r="O7" s="36" cm="1">
        <f t="array" ref="O7:O426">SUMIFS(Horas!$N:$N,Horas!$L:$L,_xlfn.ANCHORARRAY($D$7),Horas!$B:$B,"*"&amp;"LIC.CA"&amp;"*",Horas!$K:$K,_xlfn.ANCHORARRAY($E$7))</f>
        <v>0</v>
      </c>
      <c r="Q7" s="58" t="str" cm="1">
        <f t="array" ref="Q7:Q20">_xlfn._xlws.SORT(_xlfn.ANCHORARRAY(AJ3))</f>
        <v>ANDREY ALONSO PALACIOS ALVAREZ</v>
      </c>
      <c r="R7" s="36" cm="1">
        <f t="array" ref="R7:R20">SUMIFS($M:$M,A:A,"L-S",E:E,_xlfn.ANCHORARRAY(Q7))</f>
        <v>0</v>
      </c>
      <c r="S7" s="36" cm="1">
        <f t="array" ref="S7:S20">SUMIFS($M:$M,A:A,"DyF",E:E,_xlfn.ANCHORARRAY(Q7))</f>
        <v>0</v>
      </c>
      <c r="T7" s="37" cm="1">
        <f t="array" ref="T7:T20">_xlfn.ANCHORARRAY(R7)+_xlfn.ANCHORARRAY(S7)</f>
        <v>0</v>
      </c>
      <c r="U7" s="59"/>
      <c r="V7" s="36" cm="1">
        <f t="array" ref="V7:V20">SUMIFS(Horas!N:N,Horas!B:B,"151-LIC.CA"&amp;"*",Horas!K:K,_xlfn.ANCHORARRAY(Q7))</f>
        <v>0</v>
      </c>
      <c r="X7" s="46"/>
      <c r="AH7">
        <v>0.2857142857142857</v>
      </c>
      <c r="AI7">
        <v>5</v>
      </c>
      <c r="AJ7" t="str">
        <v>ANTHONY ALVAREZ NAVARRO</v>
      </c>
      <c r="AM7">
        <v>5</v>
      </c>
      <c r="AN7" t="s">
        <v>6108</v>
      </c>
    </row>
    <row r="8" spans="1:40">
      <c r="A8" t="str">
        <v>L-S</v>
      </c>
      <c r="B8" s="59">
        <v>7.0000000000000007E-2</v>
      </c>
      <c r="C8" s="12">
        <v>3</v>
      </c>
      <c r="D8" s="49">
        <v>46113</v>
      </c>
      <c r="E8" s="57" t="str">
        <v>NEIL JOSE GARCIA VARGAS</v>
      </c>
      <c r="F8" s="32">
        <v>8</v>
      </c>
      <c r="H8" s="36">
        <v>0</v>
      </c>
      <c r="I8" s="36">
        <v>0</v>
      </c>
      <c r="J8" s="36">
        <v>0</v>
      </c>
      <c r="K8" s="36">
        <v>0</v>
      </c>
      <c r="L8" s="37">
        <v>0</v>
      </c>
      <c r="M8" s="37">
        <v>0</v>
      </c>
      <c r="O8" s="36">
        <v>0</v>
      </c>
      <c r="Q8" s="58" t="str">
        <v>ANTHONY ALVAREZ NAVARRO</v>
      </c>
      <c r="R8" s="36">
        <v>0</v>
      </c>
      <c r="S8" s="36">
        <v>0</v>
      </c>
      <c r="T8" s="37">
        <v>0</v>
      </c>
      <c r="U8" s="59"/>
      <c r="V8" s="36">
        <v>0</v>
      </c>
      <c r="AH8">
        <v>0.3571428571428571</v>
      </c>
      <c r="AI8">
        <v>6</v>
      </c>
      <c r="AJ8" t="str">
        <v>CESAR MATARRITA MATARRITA</v>
      </c>
      <c r="AM8">
        <v>6</v>
      </c>
      <c r="AN8" t="s">
        <v>6108</v>
      </c>
    </row>
    <row r="9" spans="1:40">
      <c r="A9" t="str">
        <v>L-S</v>
      </c>
      <c r="B9" s="59">
        <v>0.14000000000000001</v>
      </c>
      <c r="C9" s="12">
        <v>3</v>
      </c>
      <c r="D9" s="49">
        <v>46113</v>
      </c>
      <c r="E9" s="57" t="str">
        <v>JOSE DANIEL CHINCHILLA CERDAS</v>
      </c>
      <c r="F9" s="32">
        <v>8</v>
      </c>
      <c r="H9" s="36">
        <v>0</v>
      </c>
      <c r="I9" s="36">
        <v>0</v>
      </c>
      <c r="J9" s="36">
        <v>0</v>
      </c>
      <c r="K9" s="36">
        <v>0</v>
      </c>
      <c r="L9" s="37">
        <v>0</v>
      </c>
      <c r="M9" s="37">
        <v>0</v>
      </c>
      <c r="O9" s="36">
        <v>0</v>
      </c>
      <c r="Q9" s="58" t="str">
        <v>CESAR MATARRITA MATARRITA</v>
      </c>
      <c r="R9" s="36">
        <v>0</v>
      </c>
      <c r="S9" s="36">
        <v>0</v>
      </c>
      <c r="T9" s="37">
        <v>0</v>
      </c>
      <c r="U9" s="59"/>
      <c r="V9" s="36">
        <v>0</v>
      </c>
      <c r="AH9">
        <v>0.4285714285714286</v>
      </c>
      <c r="AI9">
        <v>7</v>
      </c>
      <c r="AJ9" t="str">
        <v>GERARDO BOLIVAR VARGAS FERNANDEZ</v>
      </c>
      <c r="AM9">
        <v>7</v>
      </c>
      <c r="AN9" t="s">
        <v>6109</v>
      </c>
    </row>
    <row r="10" spans="1:40">
      <c r="A10" t="str">
        <v>L-S</v>
      </c>
      <c r="B10" s="59">
        <v>0.21</v>
      </c>
      <c r="C10" s="12">
        <v>3</v>
      </c>
      <c r="D10" s="49">
        <v>46113</v>
      </c>
      <c r="E10" s="57" t="str">
        <v>MARIELA ARCE GARCIA</v>
      </c>
      <c r="F10" s="32">
        <v>8</v>
      </c>
      <c r="H10" s="36">
        <v>0</v>
      </c>
      <c r="I10" s="36">
        <v>0</v>
      </c>
      <c r="J10" s="36">
        <v>2</v>
      </c>
      <c r="K10" s="36">
        <v>0</v>
      </c>
      <c r="L10" s="37">
        <v>2</v>
      </c>
      <c r="M10" s="37">
        <v>0</v>
      </c>
      <c r="O10" s="36">
        <v>0</v>
      </c>
      <c r="Q10" s="58" t="str">
        <v>ELIER CORTES BALTODANO</v>
      </c>
      <c r="R10" s="36">
        <v>0</v>
      </c>
      <c r="S10" s="36">
        <v>0</v>
      </c>
      <c r="T10" s="37">
        <v>0</v>
      </c>
      <c r="U10" s="59"/>
      <c r="V10" s="36">
        <v>0</v>
      </c>
      <c r="AH10">
        <v>0.5</v>
      </c>
      <c r="AI10">
        <v>8</v>
      </c>
      <c r="AJ10" t="str">
        <v>LAURA REBECA CORDOBA FERNANDEZ</v>
      </c>
      <c r="AM10" t="s">
        <v>6103</v>
      </c>
      <c r="AN10" t="s">
        <v>6109</v>
      </c>
    </row>
    <row r="11" spans="1:40">
      <c r="A11" t="str">
        <v>L-S</v>
      </c>
      <c r="B11" s="59">
        <v>0.28999999999999998</v>
      </c>
      <c r="C11" s="12">
        <v>3</v>
      </c>
      <c r="D11" s="49">
        <v>46113</v>
      </c>
      <c r="E11" s="57" t="str">
        <v>ANTHONY ALVAREZ NAVARRO</v>
      </c>
      <c r="F11" s="32">
        <v>8</v>
      </c>
      <c r="H11" s="36">
        <v>0</v>
      </c>
      <c r="I11" s="36">
        <v>0</v>
      </c>
      <c r="J11" s="36">
        <v>0</v>
      </c>
      <c r="K11" s="36">
        <v>0</v>
      </c>
      <c r="L11" s="37">
        <v>0</v>
      </c>
      <c r="M11" s="37">
        <v>0</v>
      </c>
      <c r="O11" s="36">
        <v>0</v>
      </c>
      <c r="Q11" s="58" t="str">
        <v>GERARDO BOLIVAR VARGAS FERNANDEZ</v>
      </c>
      <c r="R11" s="36">
        <v>0</v>
      </c>
      <c r="S11" s="36">
        <v>0</v>
      </c>
      <c r="T11" s="37">
        <v>0</v>
      </c>
      <c r="U11" s="59"/>
      <c r="V11" s="36">
        <v>0</v>
      </c>
      <c r="AH11">
        <v>0.57142857142857151</v>
      </c>
      <c r="AI11">
        <v>9</v>
      </c>
      <c r="AJ11" t="str">
        <v>VICTOR CHAVES MONTERO</v>
      </c>
    </row>
    <row r="12" spans="1:40">
      <c r="A12" t="str">
        <v>L-S</v>
      </c>
      <c r="B12" s="59">
        <v>0.36</v>
      </c>
      <c r="C12" s="12">
        <v>3</v>
      </c>
      <c r="D12" s="49">
        <v>46113</v>
      </c>
      <c r="E12" s="57" t="str">
        <v>CESAR MATARRITA MATARRITA</v>
      </c>
      <c r="F12" s="32">
        <v>8</v>
      </c>
      <c r="H12" s="36">
        <v>0</v>
      </c>
      <c r="I12" s="36">
        <v>0</v>
      </c>
      <c r="J12" s="36">
        <v>4</v>
      </c>
      <c r="K12" s="36">
        <v>0</v>
      </c>
      <c r="L12" s="37">
        <v>4</v>
      </c>
      <c r="M12" s="37">
        <v>0</v>
      </c>
      <c r="O12" s="36">
        <v>0</v>
      </c>
      <c r="Q12" s="58" t="str">
        <v>JOSE DANIEL CHINCHILLA CERDAS</v>
      </c>
      <c r="R12" s="36">
        <v>0</v>
      </c>
      <c r="S12" s="36">
        <v>0</v>
      </c>
      <c r="T12" s="37">
        <v>0</v>
      </c>
      <c r="U12" s="59"/>
      <c r="V12" s="36">
        <v>0</v>
      </c>
      <c r="AH12">
        <v>0.6428571428571429</v>
      </c>
      <c r="AI12">
        <v>10</v>
      </c>
      <c r="AJ12" t="str">
        <v>MEYLIN ALEJANDRA ZUÑIGA NUÑEZ</v>
      </c>
    </row>
    <row r="13" spans="1:40">
      <c r="A13" t="str">
        <v>L-S</v>
      </c>
      <c r="B13" s="59">
        <v>0.43</v>
      </c>
      <c r="C13" s="12">
        <v>3</v>
      </c>
      <c r="D13" s="49">
        <v>46113</v>
      </c>
      <c r="E13" s="57" t="str">
        <v>GERARDO BOLIVAR VARGAS FERNANDEZ</v>
      </c>
      <c r="F13" s="32">
        <v>8</v>
      </c>
      <c r="H13" s="36">
        <v>0</v>
      </c>
      <c r="I13" s="36">
        <v>0</v>
      </c>
      <c r="J13" s="36">
        <v>0.75</v>
      </c>
      <c r="K13" s="36">
        <v>0</v>
      </c>
      <c r="L13" s="37">
        <v>0.75</v>
      </c>
      <c r="M13" s="37">
        <v>0</v>
      </c>
      <c r="O13" s="36">
        <v>0</v>
      </c>
      <c r="Q13" s="58" t="str">
        <v>JOSE QUESADA SOLIS</v>
      </c>
      <c r="R13" s="36">
        <v>0</v>
      </c>
      <c r="S13" s="36">
        <v>0</v>
      </c>
      <c r="T13" s="37">
        <v>0</v>
      </c>
      <c r="U13" s="59"/>
      <c r="V13" s="36">
        <v>0</v>
      </c>
      <c r="AH13">
        <v>0.7142857142857143</v>
      </c>
      <c r="AI13">
        <v>11</v>
      </c>
      <c r="AJ13" t="str">
        <v>RAFAEL VEGA ALVAREZ</v>
      </c>
    </row>
    <row r="14" spans="1:40">
      <c r="A14" t="str">
        <v>L-S</v>
      </c>
      <c r="B14" s="59">
        <v>0.5</v>
      </c>
      <c r="C14" s="12">
        <v>3</v>
      </c>
      <c r="D14" s="49">
        <v>46113</v>
      </c>
      <c r="E14" s="57" t="str">
        <v>LAURA REBECA CORDOBA FERNANDEZ</v>
      </c>
      <c r="F14" s="32">
        <v>8</v>
      </c>
      <c r="H14" s="36">
        <v>0</v>
      </c>
      <c r="I14" s="36">
        <v>0</v>
      </c>
      <c r="J14" s="36">
        <v>0</v>
      </c>
      <c r="K14" s="36">
        <v>0</v>
      </c>
      <c r="L14" s="37">
        <v>0</v>
      </c>
      <c r="M14" s="37">
        <v>0</v>
      </c>
      <c r="O14" s="36">
        <v>0</v>
      </c>
      <c r="Q14" s="58" t="str">
        <v>LAURA REBECA CORDOBA FERNANDEZ</v>
      </c>
      <c r="R14" s="36">
        <v>0</v>
      </c>
      <c r="S14" s="36">
        <v>0</v>
      </c>
      <c r="T14" s="37">
        <v>0</v>
      </c>
      <c r="U14" s="59"/>
      <c r="V14" s="36">
        <v>0</v>
      </c>
      <c r="AH14">
        <v>0.7857142857142857</v>
      </c>
      <c r="AI14">
        <v>12</v>
      </c>
      <c r="AJ14" t="str">
        <v>JOSE QUESADA SOLIS</v>
      </c>
    </row>
    <row r="15" spans="1:40">
      <c r="A15" t="str">
        <v>L-S</v>
      </c>
      <c r="B15" s="59">
        <v>0.56999999999999995</v>
      </c>
      <c r="C15" s="12">
        <v>3</v>
      </c>
      <c r="D15" s="49">
        <v>46113</v>
      </c>
      <c r="E15" s="57" t="str">
        <v>VICTOR CHAVES MONTERO</v>
      </c>
      <c r="F15" s="32">
        <v>8</v>
      </c>
      <c r="H15" s="36">
        <v>0</v>
      </c>
      <c r="I15" s="36">
        <v>0</v>
      </c>
      <c r="J15" s="36">
        <v>8</v>
      </c>
      <c r="K15" s="36">
        <v>0</v>
      </c>
      <c r="L15" s="37">
        <v>8</v>
      </c>
      <c r="M15" s="37">
        <v>0</v>
      </c>
      <c r="O15" s="36">
        <v>0</v>
      </c>
      <c r="Q15" s="58" t="str">
        <v>MARIA FERNANDA ARAYA ARGUEDAS</v>
      </c>
      <c r="R15" s="36">
        <v>0</v>
      </c>
      <c r="S15" s="36">
        <v>0</v>
      </c>
      <c r="T15" s="37">
        <v>0</v>
      </c>
      <c r="U15" s="59"/>
      <c r="V15" s="36">
        <v>0</v>
      </c>
      <c r="AH15">
        <v>0.85714285714285721</v>
      </c>
      <c r="AI15">
        <v>13</v>
      </c>
      <c r="AJ15" t="str">
        <v>MARIA FERNANDA ARAYA ARGUEDAS</v>
      </c>
    </row>
    <row r="16" spans="1:40">
      <c r="A16" t="str">
        <v>L-S</v>
      </c>
      <c r="B16" s="59">
        <v>0.64</v>
      </c>
      <c r="C16" s="12">
        <v>3</v>
      </c>
      <c r="D16" s="49">
        <v>46113</v>
      </c>
      <c r="E16" s="57" t="str">
        <v>MEYLIN ALEJANDRA ZUÑIGA NUÑEZ</v>
      </c>
      <c r="F16" s="32">
        <v>8</v>
      </c>
      <c r="H16" s="36">
        <v>0</v>
      </c>
      <c r="I16" s="36">
        <v>0</v>
      </c>
      <c r="J16" s="36">
        <v>0</v>
      </c>
      <c r="K16" s="36">
        <v>0</v>
      </c>
      <c r="L16" s="37">
        <v>0</v>
      </c>
      <c r="M16" s="37">
        <v>0</v>
      </c>
      <c r="O16" s="36">
        <v>0</v>
      </c>
      <c r="Q16" s="58" t="str">
        <v>MARIELA ARCE GARCIA</v>
      </c>
      <c r="R16" s="36">
        <v>0</v>
      </c>
      <c r="S16" s="36">
        <v>0</v>
      </c>
      <c r="T16" s="37">
        <v>0</v>
      </c>
      <c r="U16" s="59"/>
      <c r="V16" s="36">
        <v>0</v>
      </c>
      <c r="AH16">
        <v>0.9285714285714286</v>
      </c>
      <c r="AI16">
        <v>14</v>
      </c>
      <c r="AJ16" t="str">
        <v>ANDREY ALONSO PALACIOS ALVAREZ</v>
      </c>
    </row>
    <row r="17" spans="1:22">
      <c r="A17" t="str">
        <v>L-S</v>
      </c>
      <c r="B17" s="59">
        <v>0.71</v>
      </c>
      <c r="C17" s="12">
        <v>3</v>
      </c>
      <c r="D17" s="49">
        <v>46113</v>
      </c>
      <c r="E17" s="57" t="str">
        <v>RAFAEL VEGA ALVAREZ</v>
      </c>
      <c r="F17" s="32">
        <v>8</v>
      </c>
      <c r="H17" s="36">
        <v>0</v>
      </c>
      <c r="I17" s="36">
        <v>0</v>
      </c>
      <c r="J17" s="36">
        <v>1.5</v>
      </c>
      <c r="K17" s="36">
        <v>0</v>
      </c>
      <c r="L17" s="37">
        <v>1.5</v>
      </c>
      <c r="M17" s="37">
        <v>0</v>
      </c>
      <c r="O17" s="36">
        <v>0</v>
      </c>
      <c r="Q17" s="58" t="str">
        <v>MEYLIN ALEJANDRA ZUÑIGA NUÑEZ</v>
      </c>
      <c r="R17" s="36">
        <v>0</v>
      </c>
      <c r="S17" s="36">
        <v>0</v>
      </c>
      <c r="T17" s="37">
        <v>0</v>
      </c>
      <c r="U17" s="59"/>
      <c r="V17" s="36">
        <v>0</v>
      </c>
    </row>
    <row r="18" spans="1:22">
      <c r="A18" t="str">
        <v>L-S</v>
      </c>
      <c r="B18" s="59">
        <v>0.79</v>
      </c>
      <c r="C18" s="12">
        <v>3</v>
      </c>
      <c r="D18" s="49">
        <v>46113</v>
      </c>
      <c r="E18" s="57" t="str">
        <v>JOSE QUESADA SOLIS</v>
      </c>
      <c r="F18" s="32">
        <v>8</v>
      </c>
      <c r="H18" s="36">
        <v>0</v>
      </c>
      <c r="I18" s="36">
        <v>0</v>
      </c>
      <c r="J18" s="36">
        <v>0</v>
      </c>
      <c r="K18" s="36">
        <v>0</v>
      </c>
      <c r="L18" s="37">
        <v>0</v>
      </c>
      <c r="M18" s="37">
        <v>0</v>
      </c>
      <c r="O18" s="36">
        <v>0</v>
      </c>
      <c r="Q18" s="58" t="str">
        <v>NEIL JOSE GARCIA VARGAS</v>
      </c>
      <c r="R18" s="36">
        <v>0</v>
      </c>
      <c r="S18" s="36">
        <v>0</v>
      </c>
      <c r="T18" s="37">
        <v>0</v>
      </c>
      <c r="U18" s="59"/>
      <c r="V18" s="36">
        <v>0</v>
      </c>
    </row>
    <row r="19" spans="1:22">
      <c r="A19" t="str">
        <v>L-S</v>
      </c>
      <c r="B19" s="59">
        <v>0.86</v>
      </c>
      <c r="C19" s="12">
        <v>3</v>
      </c>
      <c r="D19" s="49">
        <v>46113</v>
      </c>
      <c r="E19" s="57" t="str">
        <v>MARIA FERNANDA ARAYA ARGUEDAS</v>
      </c>
      <c r="F19" s="32">
        <v>8</v>
      </c>
      <c r="H19" s="36">
        <v>0</v>
      </c>
      <c r="I19" s="36">
        <v>0</v>
      </c>
      <c r="J19" s="36">
        <v>0</v>
      </c>
      <c r="K19" s="36">
        <v>0</v>
      </c>
      <c r="L19" s="37">
        <v>0</v>
      </c>
      <c r="M19" s="37">
        <v>0</v>
      </c>
      <c r="O19" s="36">
        <v>0</v>
      </c>
      <c r="Q19" s="58" t="str">
        <v>RAFAEL VEGA ALVAREZ</v>
      </c>
      <c r="R19" s="36">
        <v>0</v>
      </c>
      <c r="S19" s="36">
        <v>0</v>
      </c>
      <c r="T19" s="37">
        <v>0</v>
      </c>
      <c r="U19" s="59"/>
      <c r="V19" s="36">
        <v>0</v>
      </c>
    </row>
    <row r="20" spans="1:22">
      <c r="A20" t="str">
        <v>L-S</v>
      </c>
      <c r="B20" s="59">
        <v>0.93</v>
      </c>
      <c r="C20" s="12">
        <v>3</v>
      </c>
      <c r="D20" s="49">
        <v>46113</v>
      </c>
      <c r="E20" s="57" t="str">
        <v>ANDREY ALONSO PALACIOS ALVAREZ</v>
      </c>
      <c r="F20" s="32">
        <v>8</v>
      </c>
      <c r="H20" s="36">
        <v>0</v>
      </c>
      <c r="I20" s="36">
        <v>0</v>
      </c>
      <c r="J20" s="36">
        <v>0</v>
      </c>
      <c r="K20" s="36">
        <v>0</v>
      </c>
      <c r="L20" s="37">
        <v>0</v>
      </c>
      <c r="M20" s="37">
        <v>0</v>
      </c>
      <c r="O20" s="36">
        <v>0</v>
      </c>
      <c r="Q20" s="58" t="str">
        <v>VICTOR CHAVES MONTERO</v>
      </c>
      <c r="R20" s="36">
        <v>0</v>
      </c>
      <c r="S20" s="36">
        <v>0</v>
      </c>
      <c r="T20" s="37">
        <v>0</v>
      </c>
      <c r="U20" s="59"/>
      <c r="V20" s="36">
        <v>0</v>
      </c>
    </row>
    <row r="21" spans="1:22">
      <c r="A21" t="str">
        <v>L-S</v>
      </c>
      <c r="B21" s="59">
        <v>1</v>
      </c>
      <c r="C21" s="12">
        <v>4</v>
      </c>
      <c r="D21" s="49">
        <v>46114</v>
      </c>
      <c r="E21" s="57" t="str">
        <v>ELIER CORTES BALTODANO</v>
      </c>
      <c r="F21" s="32">
        <v>8</v>
      </c>
      <c r="H21" s="36">
        <v>0</v>
      </c>
      <c r="I21" s="36">
        <v>0</v>
      </c>
      <c r="J21" s="36">
        <v>0</v>
      </c>
      <c r="K21" s="36">
        <v>0</v>
      </c>
      <c r="L21" s="37">
        <v>0</v>
      </c>
      <c r="M21" s="37">
        <v>0</v>
      </c>
      <c r="O21" s="36">
        <v>0</v>
      </c>
      <c r="Q21" s="58"/>
      <c r="R21" s="36"/>
      <c r="S21" s="36"/>
      <c r="T21" s="37"/>
      <c r="U21" s="59"/>
      <c r="V21" s="36"/>
    </row>
    <row r="22" spans="1:22">
      <c r="A22" t="str">
        <v>L-S</v>
      </c>
      <c r="B22" s="59">
        <v>1.07</v>
      </c>
      <c r="C22" s="12">
        <v>4</v>
      </c>
      <c r="D22" s="49">
        <v>46114</v>
      </c>
      <c r="E22" s="57" t="str">
        <v>NEIL JOSE GARCIA VARGAS</v>
      </c>
      <c r="F22" s="32">
        <v>8</v>
      </c>
      <c r="H22" s="36">
        <v>0</v>
      </c>
      <c r="I22" s="36">
        <v>0</v>
      </c>
      <c r="J22" s="36">
        <v>0</v>
      </c>
      <c r="K22" s="36">
        <v>0</v>
      </c>
      <c r="L22" s="37">
        <v>0</v>
      </c>
      <c r="M22" s="37">
        <v>0</v>
      </c>
      <c r="O22" s="36">
        <v>0</v>
      </c>
      <c r="Q22" s="58"/>
      <c r="R22" s="36"/>
      <c r="S22" s="36"/>
      <c r="T22" s="37"/>
      <c r="U22" s="59"/>
      <c r="V22" s="36"/>
    </row>
    <row r="23" spans="1:22">
      <c r="A23" t="str">
        <v>L-S</v>
      </c>
      <c r="B23" s="59">
        <v>1.1399999999999999</v>
      </c>
      <c r="C23" s="12">
        <v>4</v>
      </c>
      <c r="D23" s="49">
        <v>46114</v>
      </c>
      <c r="E23" s="57" t="str">
        <v>JOSE DANIEL CHINCHILLA CERDAS</v>
      </c>
      <c r="F23" s="32">
        <v>8</v>
      </c>
      <c r="H23" s="36">
        <v>0</v>
      </c>
      <c r="I23" s="36">
        <v>0</v>
      </c>
      <c r="J23" s="36">
        <v>0</v>
      </c>
      <c r="K23" s="36">
        <v>0</v>
      </c>
      <c r="L23" s="37">
        <v>0</v>
      </c>
      <c r="M23" s="37">
        <v>0</v>
      </c>
      <c r="O23" s="36">
        <v>0</v>
      </c>
      <c r="Q23" s="58"/>
      <c r="R23" s="36"/>
      <c r="S23" s="36"/>
      <c r="T23" s="37"/>
      <c r="U23" s="59"/>
    </row>
    <row r="24" spans="1:22">
      <c r="A24" t="str">
        <v>L-S</v>
      </c>
      <c r="B24" s="59">
        <v>1.21</v>
      </c>
      <c r="C24" s="12">
        <v>4</v>
      </c>
      <c r="D24" s="49">
        <v>46114</v>
      </c>
      <c r="E24" s="57" t="str">
        <v>MARIELA ARCE GARCIA</v>
      </c>
      <c r="F24" s="32">
        <v>8</v>
      </c>
      <c r="H24" s="36">
        <v>0</v>
      </c>
      <c r="I24" s="36">
        <v>0</v>
      </c>
      <c r="J24" s="36">
        <v>0</v>
      </c>
      <c r="K24" s="36">
        <v>0</v>
      </c>
      <c r="L24" s="37">
        <v>0</v>
      </c>
      <c r="M24" s="37">
        <v>0</v>
      </c>
      <c r="O24" s="36">
        <v>0</v>
      </c>
      <c r="Q24" s="58"/>
      <c r="R24" s="36"/>
      <c r="S24" s="36"/>
      <c r="T24" s="37"/>
      <c r="U24" s="59"/>
    </row>
    <row r="25" spans="1:22">
      <c r="A25" t="str">
        <v>L-S</v>
      </c>
      <c r="B25" s="59">
        <v>1.29</v>
      </c>
      <c r="C25" s="12">
        <v>4</v>
      </c>
      <c r="D25" s="49">
        <v>46114</v>
      </c>
      <c r="E25" s="57" t="str">
        <v>ANTHONY ALVAREZ NAVARRO</v>
      </c>
      <c r="F25" s="32">
        <v>8</v>
      </c>
      <c r="H25" s="36">
        <v>0</v>
      </c>
      <c r="I25" s="36">
        <v>0</v>
      </c>
      <c r="J25" s="36">
        <v>0</v>
      </c>
      <c r="K25" s="36">
        <v>0</v>
      </c>
      <c r="L25" s="37">
        <v>0</v>
      </c>
      <c r="M25" s="37">
        <v>0</v>
      </c>
      <c r="O25" s="36">
        <v>0</v>
      </c>
      <c r="Q25" s="58"/>
      <c r="R25" s="36"/>
      <c r="S25" s="36"/>
      <c r="T25" s="37"/>
      <c r="U25" s="59"/>
    </row>
    <row r="26" spans="1:22">
      <c r="A26" t="str">
        <v>L-S</v>
      </c>
      <c r="B26" s="59">
        <v>1.36</v>
      </c>
      <c r="C26" s="12">
        <v>4</v>
      </c>
      <c r="D26" s="49">
        <v>46114</v>
      </c>
      <c r="E26" s="57" t="str">
        <v>CESAR MATARRITA MATARRITA</v>
      </c>
      <c r="F26" s="32">
        <v>8</v>
      </c>
      <c r="H26" s="36">
        <v>0</v>
      </c>
      <c r="I26" s="36">
        <v>0</v>
      </c>
      <c r="J26" s="36">
        <v>0</v>
      </c>
      <c r="K26" s="36">
        <v>0</v>
      </c>
      <c r="L26" s="37">
        <v>0</v>
      </c>
      <c r="M26" s="37">
        <v>0</v>
      </c>
      <c r="O26" s="36">
        <v>0</v>
      </c>
      <c r="Q26" s="58"/>
      <c r="R26" s="36"/>
      <c r="S26" s="36"/>
      <c r="T26" s="37"/>
      <c r="U26" s="59"/>
    </row>
    <row r="27" spans="1:22">
      <c r="A27" t="str">
        <v>L-S</v>
      </c>
      <c r="B27" s="59">
        <v>1.43</v>
      </c>
      <c r="C27" s="12">
        <v>4</v>
      </c>
      <c r="D27" s="49">
        <v>46114</v>
      </c>
      <c r="E27" s="57" t="str">
        <v>GERARDO BOLIVAR VARGAS FERNANDEZ</v>
      </c>
      <c r="F27" s="32">
        <v>8</v>
      </c>
      <c r="H27" s="36">
        <v>0</v>
      </c>
      <c r="I27" s="36">
        <v>0</v>
      </c>
      <c r="J27" s="36">
        <v>0</v>
      </c>
      <c r="K27" s="36">
        <v>0</v>
      </c>
      <c r="L27" s="37">
        <v>0</v>
      </c>
      <c r="M27" s="37">
        <v>0</v>
      </c>
      <c r="O27" s="36">
        <v>0</v>
      </c>
      <c r="Q27" s="58"/>
      <c r="R27" s="36"/>
      <c r="S27" s="36"/>
      <c r="T27" s="37"/>
      <c r="U27" s="59"/>
    </row>
    <row r="28" spans="1:22">
      <c r="A28" t="str">
        <v>L-S</v>
      </c>
      <c r="B28" s="59">
        <v>1.5</v>
      </c>
      <c r="C28" s="12">
        <v>4</v>
      </c>
      <c r="D28" s="49">
        <v>46114</v>
      </c>
      <c r="E28" s="57" t="str">
        <v>LAURA REBECA CORDOBA FERNANDEZ</v>
      </c>
      <c r="F28" s="32">
        <v>8</v>
      </c>
      <c r="H28" s="36">
        <v>0</v>
      </c>
      <c r="I28" s="36">
        <v>0</v>
      </c>
      <c r="J28" s="36">
        <v>0</v>
      </c>
      <c r="K28" s="36">
        <v>0</v>
      </c>
      <c r="L28" s="37">
        <v>0</v>
      </c>
      <c r="M28" s="37">
        <v>0</v>
      </c>
      <c r="O28" s="36">
        <v>0</v>
      </c>
      <c r="Q28" s="58"/>
      <c r="R28" s="36"/>
      <c r="S28" s="36"/>
      <c r="T28" s="37"/>
      <c r="U28" s="59"/>
    </row>
    <row r="29" spans="1:22">
      <c r="A29" t="str">
        <v>L-S</v>
      </c>
      <c r="B29" s="59">
        <v>1.57</v>
      </c>
      <c r="C29" s="12">
        <v>4</v>
      </c>
      <c r="D29" s="49">
        <v>46114</v>
      </c>
      <c r="E29" s="57" t="str">
        <v>VICTOR CHAVES MONTERO</v>
      </c>
      <c r="F29" s="32">
        <v>8</v>
      </c>
      <c r="H29" s="36">
        <v>0</v>
      </c>
      <c r="I29" s="36">
        <v>0</v>
      </c>
      <c r="J29" s="36">
        <v>0</v>
      </c>
      <c r="K29" s="36">
        <v>0</v>
      </c>
      <c r="L29" s="37">
        <v>0</v>
      </c>
      <c r="M29" s="37">
        <v>0</v>
      </c>
      <c r="O29" s="36">
        <v>0</v>
      </c>
      <c r="Q29" s="58"/>
      <c r="R29" s="36"/>
      <c r="S29" s="36"/>
      <c r="T29" s="37"/>
      <c r="U29" s="59"/>
    </row>
    <row r="30" spans="1:22">
      <c r="A30" t="str">
        <v>L-S</v>
      </c>
      <c r="B30" s="59">
        <v>1.64</v>
      </c>
      <c r="C30" s="12">
        <v>4</v>
      </c>
      <c r="D30" s="49">
        <v>46114</v>
      </c>
      <c r="E30" s="57" t="str">
        <v>MEYLIN ALEJANDRA ZUÑIGA NUÑEZ</v>
      </c>
      <c r="F30" s="32">
        <v>8</v>
      </c>
      <c r="H30" s="36">
        <v>0</v>
      </c>
      <c r="I30" s="36">
        <v>0</v>
      </c>
      <c r="J30" s="36">
        <v>0</v>
      </c>
      <c r="K30" s="36">
        <v>0</v>
      </c>
      <c r="L30" s="37">
        <v>0</v>
      </c>
      <c r="M30" s="37">
        <v>0</v>
      </c>
      <c r="O30" s="36">
        <v>0</v>
      </c>
      <c r="Q30" s="58"/>
      <c r="R30" s="36"/>
      <c r="S30" s="36"/>
      <c r="T30" s="37"/>
      <c r="U30" s="59"/>
    </row>
    <row r="31" spans="1:22">
      <c r="A31" t="str">
        <v>L-S</v>
      </c>
      <c r="B31" s="59">
        <v>1.71</v>
      </c>
      <c r="C31" s="12">
        <v>4</v>
      </c>
      <c r="D31" s="49">
        <v>46114</v>
      </c>
      <c r="E31" s="57" t="str">
        <v>RAFAEL VEGA ALVAREZ</v>
      </c>
      <c r="F31" s="32">
        <v>8</v>
      </c>
      <c r="H31" s="36">
        <v>0</v>
      </c>
      <c r="I31" s="36">
        <v>0</v>
      </c>
      <c r="J31" s="36">
        <v>0</v>
      </c>
      <c r="K31" s="36">
        <v>0</v>
      </c>
      <c r="L31" s="37">
        <v>0</v>
      </c>
      <c r="M31" s="37">
        <v>0</v>
      </c>
      <c r="O31" s="36">
        <v>0</v>
      </c>
      <c r="Q31" s="58"/>
      <c r="R31" s="36"/>
      <c r="S31" s="36"/>
      <c r="T31" s="37"/>
      <c r="U31" s="59"/>
    </row>
    <row r="32" spans="1:22">
      <c r="A32" t="str">
        <v>L-S</v>
      </c>
      <c r="B32" s="59">
        <v>1.79</v>
      </c>
      <c r="C32" s="12">
        <v>4</v>
      </c>
      <c r="D32" s="49">
        <v>46114</v>
      </c>
      <c r="E32" s="57" t="str">
        <v>JOSE QUESADA SOLIS</v>
      </c>
      <c r="F32" s="32">
        <v>8</v>
      </c>
      <c r="H32" s="36">
        <v>0</v>
      </c>
      <c r="I32" s="36">
        <v>0</v>
      </c>
      <c r="J32" s="36">
        <v>0</v>
      </c>
      <c r="K32" s="36">
        <v>0</v>
      </c>
      <c r="L32" s="37">
        <v>0</v>
      </c>
      <c r="M32" s="37">
        <v>0</v>
      </c>
      <c r="O32" s="36">
        <v>0</v>
      </c>
      <c r="Q32" s="58"/>
      <c r="R32" s="36"/>
      <c r="S32" s="36"/>
      <c r="T32" s="37"/>
      <c r="U32" s="59"/>
    </row>
    <row r="33" spans="1:21">
      <c r="A33" t="str">
        <v>L-S</v>
      </c>
      <c r="B33" s="59">
        <v>1.86</v>
      </c>
      <c r="C33" s="12">
        <v>4</v>
      </c>
      <c r="D33" s="49">
        <v>46114</v>
      </c>
      <c r="E33" s="57" t="str">
        <v>MARIA FERNANDA ARAYA ARGUEDAS</v>
      </c>
      <c r="F33" s="32">
        <v>8</v>
      </c>
      <c r="H33" s="36">
        <v>0</v>
      </c>
      <c r="I33" s="36">
        <v>0</v>
      </c>
      <c r="J33" s="36">
        <v>0</v>
      </c>
      <c r="K33" s="36">
        <v>0</v>
      </c>
      <c r="L33" s="37">
        <v>0</v>
      </c>
      <c r="M33" s="37">
        <v>0</v>
      </c>
      <c r="O33" s="36">
        <v>0</v>
      </c>
      <c r="Q33" s="58"/>
      <c r="R33" s="36"/>
      <c r="S33" s="36"/>
      <c r="T33" s="37"/>
      <c r="U33" s="59"/>
    </row>
    <row r="34" spans="1:21">
      <c r="A34" t="str">
        <v>L-S</v>
      </c>
      <c r="B34" s="59">
        <v>1.93</v>
      </c>
      <c r="C34" s="12">
        <v>4</v>
      </c>
      <c r="D34" s="49">
        <v>46114</v>
      </c>
      <c r="E34" s="57" t="str">
        <v>ANDREY ALONSO PALACIOS ALVAREZ</v>
      </c>
      <c r="F34" s="32">
        <v>8</v>
      </c>
      <c r="H34" s="36">
        <v>0</v>
      </c>
      <c r="I34" s="36">
        <v>0</v>
      </c>
      <c r="J34" s="36">
        <v>0</v>
      </c>
      <c r="K34" s="36">
        <v>0</v>
      </c>
      <c r="L34" s="37">
        <v>0</v>
      </c>
      <c r="M34" s="37">
        <v>0</v>
      </c>
      <c r="O34" s="36">
        <v>0</v>
      </c>
      <c r="Q34" s="58"/>
      <c r="R34" s="36"/>
      <c r="S34" s="36"/>
      <c r="T34" s="37"/>
      <c r="U34" s="59"/>
    </row>
    <row r="35" spans="1:21">
      <c r="A35" t="str">
        <v>L-S</v>
      </c>
      <c r="B35" s="59">
        <v>2</v>
      </c>
      <c r="C35" s="12">
        <v>5</v>
      </c>
      <c r="D35" s="49">
        <v>46115</v>
      </c>
      <c r="E35" s="57" t="str">
        <v>ELIER CORTES BALTODANO</v>
      </c>
      <c r="F35" s="32">
        <v>8</v>
      </c>
      <c r="H35" s="36">
        <v>0</v>
      </c>
      <c r="I35" s="36">
        <v>0</v>
      </c>
      <c r="J35" s="36">
        <v>0</v>
      </c>
      <c r="K35" s="36">
        <v>0</v>
      </c>
      <c r="L35" s="37">
        <v>0</v>
      </c>
      <c r="M35" s="37">
        <v>0</v>
      </c>
      <c r="O35" s="36">
        <v>0</v>
      </c>
      <c r="Q35" s="58"/>
      <c r="R35" s="36"/>
      <c r="S35" s="36"/>
      <c r="T35" s="37"/>
      <c r="U35" s="59"/>
    </row>
    <row r="36" spans="1:21">
      <c r="A36" t="str">
        <v>L-S</v>
      </c>
      <c r="B36" s="59">
        <v>2.0699999999999998</v>
      </c>
      <c r="C36" s="12">
        <v>5</v>
      </c>
      <c r="D36" s="49">
        <v>46115</v>
      </c>
      <c r="E36" s="57" t="str">
        <v>NEIL JOSE GARCIA VARGAS</v>
      </c>
      <c r="F36" s="32">
        <v>8</v>
      </c>
      <c r="H36" s="36">
        <v>0</v>
      </c>
      <c r="I36" s="36">
        <v>0</v>
      </c>
      <c r="J36" s="36">
        <v>0</v>
      </c>
      <c r="K36" s="36">
        <v>0</v>
      </c>
      <c r="L36" s="37">
        <v>0</v>
      </c>
      <c r="M36" s="37">
        <v>0</v>
      </c>
      <c r="O36" s="36">
        <v>0</v>
      </c>
      <c r="Q36" s="58"/>
      <c r="R36" s="36"/>
      <c r="S36" s="36"/>
      <c r="T36" s="37"/>
      <c r="U36" s="59"/>
    </row>
    <row r="37" spans="1:21">
      <c r="A37" t="str">
        <v>L-S</v>
      </c>
      <c r="B37" s="59">
        <v>2.14</v>
      </c>
      <c r="C37" s="12">
        <v>5</v>
      </c>
      <c r="D37" s="49">
        <v>46115</v>
      </c>
      <c r="E37" s="57" t="str">
        <v>JOSE DANIEL CHINCHILLA CERDAS</v>
      </c>
      <c r="F37" s="32">
        <v>8</v>
      </c>
      <c r="H37" s="36">
        <v>0</v>
      </c>
      <c r="I37" s="36">
        <v>0</v>
      </c>
      <c r="J37" s="36">
        <v>0</v>
      </c>
      <c r="K37" s="36">
        <v>0</v>
      </c>
      <c r="L37" s="37">
        <v>0</v>
      </c>
      <c r="M37" s="37">
        <v>0</v>
      </c>
      <c r="O37" s="36">
        <v>0</v>
      </c>
      <c r="Q37" s="58"/>
      <c r="R37" s="36"/>
      <c r="S37" s="36"/>
      <c r="T37" s="37"/>
      <c r="U37" s="59"/>
    </row>
    <row r="38" spans="1:21">
      <c r="A38" t="str">
        <v>L-S</v>
      </c>
      <c r="B38" s="59">
        <v>2.21</v>
      </c>
      <c r="C38" s="12">
        <v>5</v>
      </c>
      <c r="D38" s="49">
        <v>46115</v>
      </c>
      <c r="E38" s="57" t="str">
        <v>MARIELA ARCE GARCIA</v>
      </c>
      <c r="F38" s="32">
        <v>8</v>
      </c>
      <c r="H38" s="36">
        <v>0</v>
      </c>
      <c r="I38" s="36">
        <v>0</v>
      </c>
      <c r="J38" s="36">
        <v>0</v>
      </c>
      <c r="K38" s="36">
        <v>0</v>
      </c>
      <c r="L38" s="37">
        <v>0</v>
      </c>
      <c r="M38" s="37">
        <v>0</v>
      </c>
      <c r="O38" s="36">
        <v>0</v>
      </c>
      <c r="Q38" s="58"/>
      <c r="R38" s="36"/>
      <c r="S38" s="36"/>
      <c r="T38" s="37"/>
      <c r="U38" s="59"/>
    </row>
    <row r="39" spans="1:21">
      <c r="A39" t="str">
        <v>L-S</v>
      </c>
      <c r="B39" s="59">
        <v>2.29</v>
      </c>
      <c r="C39" s="12">
        <v>5</v>
      </c>
      <c r="D39" s="49">
        <v>46115</v>
      </c>
      <c r="E39" s="57" t="str">
        <v>ANTHONY ALVAREZ NAVARRO</v>
      </c>
      <c r="F39" s="32">
        <v>8</v>
      </c>
      <c r="H39" s="36">
        <v>0</v>
      </c>
      <c r="I39" s="36">
        <v>0</v>
      </c>
      <c r="J39" s="36">
        <v>0</v>
      </c>
      <c r="K39" s="36">
        <v>0</v>
      </c>
      <c r="L39" s="37">
        <v>0</v>
      </c>
      <c r="M39" s="37">
        <v>0</v>
      </c>
      <c r="O39" s="36">
        <v>0</v>
      </c>
      <c r="Q39" s="58"/>
      <c r="R39" s="36"/>
      <c r="S39" s="36"/>
      <c r="T39" s="37"/>
      <c r="U39" s="59"/>
    </row>
    <row r="40" spans="1:21">
      <c r="A40" t="str">
        <v>L-S</v>
      </c>
      <c r="B40" s="59">
        <v>2.36</v>
      </c>
      <c r="C40" s="12">
        <v>5</v>
      </c>
      <c r="D40" s="49">
        <v>46115</v>
      </c>
      <c r="E40" s="57" t="str">
        <v>CESAR MATARRITA MATARRITA</v>
      </c>
      <c r="F40" s="32">
        <v>8</v>
      </c>
      <c r="H40" s="36">
        <v>0</v>
      </c>
      <c r="I40" s="36">
        <v>0</v>
      </c>
      <c r="J40" s="36">
        <v>0</v>
      </c>
      <c r="K40" s="36">
        <v>0</v>
      </c>
      <c r="L40" s="37">
        <v>0</v>
      </c>
      <c r="M40" s="37">
        <v>0</v>
      </c>
      <c r="O40" s="36">
        <v>0</v>
      </c>
      <c r="Q40" s="58"/>
      <c r="R40" s="36"/>
      <c r="S40" s="36"/>
      <c r="T40" s="37"/>
      <c r="U40" s="59"/>
    </row>
    <row r="41" spans="1:21">
      <c r="A41" t="str">
        <v>L-S</v>
      </c>
      <c r="B41" s="59">
        <v>2.4300000000000002</v>
      </c>
      <c r="C41" s="12">
        <v>5</v>
      </c>
      <c r="D41" s="49">
        <v>46115</v>
      </c>
      <c r="E41" s="57" t="str">
        <v>GERARDO BOLIVAR VARGAS FERNANDEZ</v>
      </c>
      <c r="F41" s="32">
        <v>8</v>
      </c>
      <c r="H41" s="36">
        <v>0</v>
      </c>
      <c r="I41" s="36">
        <v>0</v>
      </c>
      <c r="J41" s="36">
        <v>0</v>
      </c>
      <c r="K41" s="36">
        <v>0</v>
      </c>
      <c r="L41" s="37">
        <v>0</v>
      </c>
      <c r="M41" s="37">
        <v>0</v>
      </c>
      <c r="O41" s="36">
        <v>0</v>
      </c>
      <c r="Q41" s="58"/>
      <c r="R41" s="36"/>
      <c r="S41" s="36"/>
      <c r="T41" s="37"/>
      <c r="U41" s="59"/>
    </row>
    <row r="42" spans="1:21">
      <c r="A42" t="str">
        <v>L-S</v>
      </c>
      <c r="B42" s="59">
        <v>2.5</v>
      </c>
      <c r="C42" s="12">
        <v>5</v>
      </c>
      <c r="D42" s="49">
        <v>46115</v>
      </c>
      <c r="E42" s="57" t="str">
        <v>LAURA REBECA CORDOBA FERNANDEZ</v>
      </c>
      <c r="F42" s="32">
        <v>8</v>
      </c>
      <c r="H42" s="36">
        <v>0</v>
      </c>
      <c r="I42" s="36">
        <v>0</v>
      </c>
      <c r="J42" s="36">
        <v>0</v>
      </c>
      <c r="K42" s="36">
        <v>0</v>
      </c>
      <c r="L42" s="37">
        <v>0</v>
      </c>
      <c r="M42" s="37">
        <v>0</v>
      </c>
      <c r="O42" s="36">
        <v>0</v>
      </c>
      <c r="Q42" s="58"/>
      <c r="R42" s="36"/>
      <c r="S42" s="36"/>
      <c r="T42" s="37"/>
      <c r="U42" s="59"/>
    </row>
    <row r="43" spans="1:21">
      <c r="A43" t="str">
        <v>L-S</v>
      </c>
      <c r="B43" s="59">
        <v>2.57</v>
      </c>
      <c r="C43" s="12">
        <v>5</v>
      </c>
      <c r="D43" s="49">
        <v>46115</v>
      </c>
      <c r="E43" s="57" t="str">
        <v>VICTOR CHAVES MONTERO</v>
      </c>
      <c r="F43" s="32">
        <v>8</v>
      </c>
      <c r="H43" s="36">
        <v>0</v>
      </c>
      <c r="I43" s="36">
        <v>0</v>
      </c>
      <c r="J43" s="36">
        <v>0</v>
      </c>
      <c r="K43" s="36">
        <v>0</v>
      </c>
      <c r="L43" s="37">
        <v>0</v>
      </c>
      <c r="M43" s="37">
        <v>0</v>
      </c>
      <c r="O43" s="36">
        <v>0</v>
      </c>
      <c r="Q43" s="58"/>
      <c r="R43" s="36"/>
      <c r="S43" s="36"/>
      <c r="T43" s="37"/>
      <c r="U43" s="59"/>
    </row>
    <row r="44" spans="1:21">
      <c r="A44" t="str">
        <v>L-S</v>
      </c>
      <c r="B44" s="59">
        <v>2.64</v>
      </c>
      <c r="C44" s="12">
        <v>5</v>
      </c>
      <c r="D44" s="49">
        <v>46115</v>
      </c>
      <c r="E44" s="57" t="str">
        <v>MEYLIN ALEJANDRA ZUÑIGA NUÑEZ</v>
      </c>
      <c r="F44" s="32">
        <v>8</v>
      </c>
      <c r="H44" s="36">
        <v>0</v>
      </c>
      <c r="I44" s="36">
        <v>0</v>
      </c>
      <c r="J44" s="36">
        <v>0</v>
      </c>
      <c r="K44" s="36">
        <v>0</v>
      </c>
      <c r="L44" s="37">
        <v>0</v>
      </c>
      <c r="M44" s="37">
        <v>0</v>
      </c>
      <c r="O44" s="36">
        <v>0</v>
      </c>
      <c r="Q44" s="58"/>
      <c r="R44" s="36"/>
      <c r="S44" s="36"/>
      <c r="T44" s="37"/>
      <c r="U44" s="59"/>
    </row>
    <row r="45" spans="1:21">
      <c r="A45" t="str">
        <v>L-S</v>
      </c>
      <c r="B45" s="59">
        <v>2.71</v>
      </c>
      <c r="C45" s="12">
        <v>5</v>
      </c>
      <c r="D45" s="49">
        <v>46115</v>
      </c>
      <c r="E45" s="57" t="str">
        <v>RAFAEL VEGA ALVAREZ</v>
      </c>
      <c r="F45" s="32">
        <v>8</v>
      </c>
      <c r="H45" s="36">
        <v>0</v>
      </c>
      <c r="I45" s="36">
        <v>0</v>
      </c>
      <c r="J45" s="36">
        <v>0</v>
      </c>
      <c r="K45" s="36">
        <v>0</v>
      </c>
      <c r="L45" s="37">
        <v>0</v>
      </c>
      <c r="M45" s="37">
        <v>0</v>
      </c>
      <c r="O45" s="36">
        <v>0</v>
      </c>
      <c r="Q45" s="58"/>
      <c r="R45" s="36"/>
      <c r="S45" s="36"/>
      <c r="T45" s="37"/>
      <c r="U45" s="59"/>
    </row>
    <row r="46" spans="1:21">
      <c r="A46" t="str">
        <v>L-S</v>
      </c>
      <c r="B46" s="59">
        <v>2.79</v>
      </c>
      <c r="C46" s="12">
        <v>5</v>
      </c>
      <c r="D46" s="49">
        <v>46115</v>
      </c>
      <c r="E46" s="57" t="str">
        <v>JOSE QUESADA SOLIS</v>
      </c>
      <c r="F46" s="32">
        <v>8</v>
      </c>
      <c r="H46" s="36">
        <v>0</v>
      </c>
      <c r="I46" s="36">
        <v>0</v>
      </c>
      <c r="J46" s="36">
        <v>0</v>
      </c>
      <c r="K46" s="36">
        <v>0</v>
      </c>
      <c r="L46" s="37">
        <v>0</v>
      </c>
      <c r="M46" s="37">
        <v>0</v>
      </c>
      <c r="O46" s="36">
        <v>0</v>
      </c>
      <c r="Q46" s="58"/>
      <c r="R46" s="36"/>
      <c r="S46" s="36"/>
      <c r="T46" s="37"/>
      <c r="U46" s="59"/>
    </row>
    <row r="47" spans="1:21">
      <c r="A47" t="str">
        <v>L-S</v>
      </c>
      <c r="B47" s="59">
        <v>2.86</v>
      </c>
      <c r="C47" s="12">
        <v>5</v>
      </c>
      <c r="D47" s="49">
        <v>46115</v>
      </c>
      <c r="E47" s="57" t="str">
        <v>MARIA FERNANDA ARAYA ARGUEDAS</v>
      </c>
      <c r="F47" s="32">
        <v>8</v>
      </c>
      <c r="H47" s="36">
        <v>0</v>
      </c>
      <c r="I47" s="36">
        <v>0</v>
      </c>
      <c r="J47" s="36">
        <v>0</v>
      </c>
      <c r="K47" s="36">
        <v>0</v>
      </c>
      <c r="L47" s="37">
        <v>0</v>
      </c>
      <c r="M47" s="37">
        <v>0</v>
      </c>
      <c r="O47" s="36">
        <v>0</v>
      </c>
      <c r="Q47" s="58"/>
      <c r="R47" s="36"/>
      <c r="S47" s="36"/>
      <c r="T47" s="37"/>
      <c r="U47" s="59"/>
    </row>
    <row r="48" spans="1:21">
      <c r="A48" t="str">
        <v>L-S</v>
      </c>
      <c r="B48" s="59">
        <v>2.93</v>
      </c>
      <c r="C48" s="12">
        <v>5</v>
      </c>
      <c r="D48" s="49">
        <v>46115</v>
      </c>
      <c r="E48" s="57" t="str">
        <v>ANDREY ALONSO PALACIOS ALVAREZ</v>
      </c>
      <c r="F48" s="32">
        <v>8</v>
      </c>
      <c r="H48" s="36">
        <v>0</v>
      </c>
      <c r="I48" s="36">
        <v>0</v>
      </c>
      <c r="J48" s="36">
        <v>0</v>
      </c>
      <c r="K48" s="36">
        <v>0</v>
      </c>
      <c r="L48" s="37">
        <v>0</v>
      </c>
      <c r="M48" s="37">
        <v>0</v>
      </c>
      <c r="O48" s="36">
        <v>0</v>
      </c>
      <c r="Q48" s="58"/>
      <c r="R48" s="36"/>
      <c r="S48" s="36"/>
      <c r="T48" s="37"/>
      <c r="U48" s="59"/>
    </row>
    <row r="49" spans="1:21">
      <c r="A49" t="str">
        <v>L-S</v>
      </c>
      <c r="B49" s="59">
        <v>3</v>
      </c>
      <c r="C49" s="12">
        <v>6</v>
      </c>
      <c r="D49" s="49">
        <v>46116</v>
      </c>
      <c r="E49" s="57" t="str">
        <v>ELIER CORTES BALTODANO</v>
      </c>
      <c r="F49" s="32">
        <v>0</v>
      </c>
      <c r="H49" s="36">
        <v>0</v>
      </c>
      <c r="I49" s="36">
        <v>0</v>
      </c>
      <c r="J49" s="36">
        <v>0</v>
      </c>
      <c r="K49" s="36">
        <v>0</v>
      </c>
      <c r="L49" s="37">
        <v>0</v>
      </c>
      <c r="M49" s="37">
        <v>0</v>
      </c>
      <c r="O49" s="36">
        <v>0</v>
      </c>
      <c r="Q49" s="58"/>
      <c r="R49" s="36"/>
      <c r="S49" s="36"/>
      <c r="T49" s="37"/>
      <c r="U49" s="59"/>
    </row>
    <row r="50" spans="1:21">
      <c r="A50" t="str">
        <v>L-S</v>
      </c>
      <c r="B50" s="59">
        <v>3.07</v>
      </c>
      <c r="C50" s="12">
        <v>6</v>
      </c>
      <c r="D50" s="49">
        <v>46116</v>
      </c>
      <c r="E50" s="57" t="str">
        <v>NEIL JOSE GARCIA VARGAS</v>
      </c>
      <c r="F50" s="32">
        <v>0</v>
      </c>
      <c r="H50" s="36">
        <v>0</v>
      </c>
      <c r="I50" s="36">
        <v>0</v>
      </c>
      <c r="J50" s="36">
        <v>0</v>
      </c>
      <c r="K50" s="36">
        <v>0</v>
      </c>
      <c r="L50" s="37">
        <v>0</v>
      </c>
      <c r="M50" s="37">
        <v>0</v>
      </c>
      <c r="O50" s="36">
        <v>0</v>
      </c>
      <c r="Q50" s="58"/>
      <c r="R50" s="36"/>
      <c r="S50" s="36"/>
      <c r="T50" s="37"/>
      <c r="U50" s="59"/>
    </row>
    <row r="51" spans="1:21">
      <c r="A51" t="str">
        <v>L-S</v>
      </c>
      <c r="B51" s="59">
        <v>3.14</v>
      </c>
      <c r="C51" s="12">
        <v>6</v>
      </c>
      <c r="D51" s="49">
        <v>46116</v>
      </c>
      <c r="E51" s="57" t="str">
        <v>JOSE DANIEL CHINCHILLA CERDAS</v>
      </c>
      <c r="F51" s="32">
        <v>0</v>
      </c>
      <c r="H51" s="36">
        <v>0</v>
      </c>
      <c r="I51" s="36">
        <v>0</v>
      </c>
      <c r="J51" s="36">
        <v>0</v>
      </c>
      <c r="K51" s="36">
        <v>0</v>
      </c>
      <c r="L51" s="37">
        <v>0</v>
      </c>
      <c r="M51" s="37">
        <v>0</v>
      </c>
      <c r="O51" s="36">
        <v>0</v>
      </c>
      <c r="Q51" s="58"/>
      <c r="R51" s="36"/>
      <c r="S51" s="36"/>
      <c r="T51" s="37"/>
      <c r="U51" s="59"/>
    </row>
    <row r="52" spans="1:21">
      <c r="A52" t="str">
        <v>L-S</v>
      </c>
      <c r="B52" s="59">
        <v>3.21</v>
      </c>
      <c r="C52" s="12">
        <v>6</v>
      </c>
      <c r="D52" s="49">
        <v>46116</v>
      </c>
      <c r="E52" s="57" t="str">
        <v>MARIELA ARCE GARCIA</v>
      </c>
      <c r="F52" s="32">
        <v>0</v>
      </c>
      <c r="H52" s="36">
        <v>0</v>
      </c>
      <c r="I52" s="36">
        <v>0</v>
      </c>
      <c r="J52" s="36">
        <v>0</v>
      </c>
      <c r="K52" s="36">
        <v>0</v>
      </c>
      <c r="L52" s="37">
        <v>0</v>
      </c>
      <c r="M52" s="37">
        <v>0</v>
      </c>
      <c r="O52" s="36">
        <v>0</v>
      </c>
      <c r="Q52" s="58"/>
      <c r="R52" s="36"/>
      <c r="S52" s="36"/>
      <c r="T52" s="37"/>
      <c r="U52" s="59"/>
    </row>
    <row r="53" spans="1:21">
      <c r="A53" t="str">
        <v>L-S</v>
      </c>
      <c r="B53" s="59">
        <v>3.29</v>
      </c>
      <c r="C53" s="12">
        <v>6</v>
      </c>
      <c r="D53" s="49">
        <v>46116</v>
      </c>
      <c r="E53" s="57" t="str">
        <v>ANTHONY ALVAREZ NAVARRO</v>
      </c>
      <c r="F53" s="32">
        <v>0</v>
      </c>
      <c r="H53" s="36">
        <v>0</v>
      </c>
      <c r="I53" s="36">
        <v>0</v>
      </c>
      <c r="J53" s="36">
        <v>0</v>
      </c>
      <c r="K53" s="36">
        <v>0</v>
      </c>
      <c r="L53" s="37">
        <v>0</v>
      </c>
      <c r="M53" s="37">
        <v>0</v>
      </c>
      <c r="O53" s="36">
        <v>0</v>
      </c>
      <c r="Q53" s="58"/>
      <c r="R53" s="36"/>
      <c r="S53" s="36"/>
      <c r="T53" s="37"/>
      <c r="U53" s="59"/>
    </row>
    <row r="54" spans="1:21">
      <c r="A54" t="str">
        <v>L-S</v>
      </c>
      <c r="B54" s="59">
        <v>3.36</v>
      </c>
      <c r="C54" s="12">
        <v>6</v>
      </c>
      <c r="D54" s="49">
        <v>46116</v>
      </c>
      <c r="E54" s="57" t="str">
        <v>CESAR MATARRITA MATARRITA</v>
      </c>
      <c r="F54" s="32">
        <v>0</v>
      </c>
      <c r="H54" s="36">
        <v>0</v>
      </c>
      <c r="I54" s="36">
        <v>0</v>
      </c>
      <c r="J54" s="36">
        <v>0</v>
      </c>
      <c r="K54" s="36">
        <v>0</v>
      </c>
      <c r="L54" s="37">
        <v>0</v>
      </c>
      <c r="M54" s="37">
        <v>0</v>
      </c>
      <c r="O54" s="36">
        <v>0</v>
      </c>
      <c r="Q54" s="58"/>
      <c r="R54" s="36"/>
      <c r="S54" s="36"/>
      <c r="T54" s="37"/>
      <c r="U54" s="59"/>
    </row>
    <row r="55" spans="1:21">
      <c r="A55" t="str">
        <v>L-S</v>
      </c>
      <c r="B55" s="59">
        <v>3.43</v>
      </c>
      <c r="C55" s="12">
        <v>6</v>
      </c>
      <c r="D55" s="49">
        <v>46116</v>
      </c>
      <c r="E55" s="57" t="str">
        <v>GERARDO BOLIVAR VARGAS FERNANDEZ</v>
      </c>
      <c r="F55" s="32">
        <v>0</v>
      </c>
      <c r="H55" s="36">
        <v>0</v>
      </c>
      <c r="I55" s="36">
        <v>0</v>
      </c>
      <c r="J55" s="36">
        <v>0</v>
      </c>
      <c r="K55" s="36">
        <v>0</v>
      </c>
      <c r="L55" s="37">
        <v>0</v>
      </c>
      <c r="M55" s="37">
        <v>0</v>
      </c>
      <c r="O55" s="36">
        <v>0</v>
      </c>
      <c r="Q55" s="58"/>
      <c r="R55" s="36"/>
      <c r="S55" s="36"/>
      <c r="T55" s="37"/>
      <c r="U55" s="59"/>
    </row>
    <row r="56" spans="1:21">
      <c r="A56" t="str">
        <v>L-S</v>
      </c>
      <c r="B56" s="59">
        <v>3.5</v>
      </c>
      <c r="C56" s="12">
        <v>6</v>
      </c>
      <c r="D56" s="49">
        <v>46116</v>
      </c>
      <c r="E56" s="57" t="str">
        <v>LAURA REBECA CORDOBA FERNANDEZ</v>
      </c>
      <c r="F56" s="32">
        <v>0</v>
      </c>
      <c r="H56" s="36">
        <v>0</v>
      </c>
      <c r="I56" s="36">
        <v>0</v>
      </c>
      <c r="J56" s="36">
        <v>0</v>
      </c>
      <c r="K56" s="36">
        <v>0</v>
      </c>
      <c r="L56" s="37">
        <v>0</v>
      </c>
      <c r="M56" s="37">
        <v>0</v>
      </c>
      <c r="O56" s="36">
        <v>0</v>
      </c>
      <c r="Q56" s="58"/>
      <c r="R56" s="36"/>
      <c r="S56" s="36"/>
      <c r="T56" s="37"/>
      <c r="U56" s="59"/>
    </row>
    <row r="57" spans="1:21">
      <c r="A57" t="str">
        <v>L-S</v>
      </c>
      <c r="B57" s="59">
        <v>3.57</v>
      </c>
      <c r="C57" s="12">
        <v>6</v>
      </c>
      <c r="D57" s="49">
        <v>46116</v>
      </c>
      <c r="E57" s="57" t="str">
        <v>VICTOR CHAVES MONTERO</v>
      </c>
      <c r="F57" s="32">
        <v>0</v>
      </c>
      <c r="H57" s="36">
        <v>0</v>
      </c>
      <c r="I57" s="36">
        <v>0</v>
      </c>
      <c r="J57" s="36">
        <v>0</v>
      </c>
      <c r="K57" s="36">
        <v>0</v>
      </c>
      <c r="L57" s="37">
        <v>0</v>
      </c>
      <c r="M57" s="37">
        <v>0</v>
      </c>
      <c r="O57" s="36">
        <v>0</v>
      </c>
      <c r="Q57" s="58"/>
      <c r="R57" s="36"/>
      <c r="S57" s="36"/>
      <c r="T57" s="37"/>
      <c r="U57" s="59"/>
    </row>
    <row r="58" spans="1:21">
      <c r="A58" t="str">
        <v>L-S</v>
      </c>
      <c r="B58" s="59">
        <v>3.64</v>
      </c>
      <c r="C58" s="12">
        <v>6</v>
      </c>
      <c r="D58" s="49">
        <v>46116</v>
      </c>
      <c r="E58" s="57" t="str">
        <v>MEYLIN ALEJANDRA ZUÑIGA NUÑEZ</v>
      </c>
      <c r="F58" s="32">
        <v>0</v>
      </c>
      <c r="H58" s="36">
        <v>0</v>
      </c>
      <c r="I58" s="36">
        <v>0</v>
      </c>
      <c r="J58" s="36">
        <v>0</v>
      </c>
      <c r="K58" s="36">
        <v>0</v>
      </c>
      <c r="L58" s="37">
        <v>0</v>
      </c>
      <c r="M58" s="37">
        <v>0</v>
      </c>
      <c r="O58" s="36">
        <v>0</v>
      </c>
      <c r="Q58" s="58"/>
      <c r="R58" s="36"/>
      <c r="S58" s="36"/>
      <c r="T58" s="37"/>
      <c r="U58" s="59"/>
    </row>
    <row r="59" spans="1:21">
      <c r="A59" t="str">
        <v>L-S</v>
      </c>
      <c r="B59" s="59">
        <v>3.71</v>
      </c>
      <c r="C59" s="12">
        <v>6</v>
      </c>
      <c r="D59" s="49">
        <v>46116</v>
      </c>
      <c r="E59" s="57" t="str">
        <v>RAFAEL VEGA ALVAREZ</v>
      </c>
      <c r="F59" s="32">
        <v>0</v>
      </c>
      <c r="H59" s="36">
        <v>0</v>
      </c>
      <c r="I59" s="36">
        <v>0</v>
      </c>
      <c r="J59" s="36">
        <v>0</v>
      </c>
      <c r="K59" s="36">
        <v>0</v>
      </c>
      <c r="L59" s="37">
        <v>0</v>
      </c>
      <c r="M59" s="37">
        <v>0</v>
      </c>
      <c r="O59" s="36">
        <v>0</v>
      </c>
      <c r="Q59" s="58"/>
      <c r="R59" s="36"/>
      <c r="S59" s="36"/>
      <c r="T59" s="37"/>
      <c r="U59" s="59"/>
    </row>
    <row r="60" spans="1:21">
      <c r="A60" t="str">
        <v>L-S</v>
      </c>
      <c r="B60" s="59">
        <v>3.79</v>
      </c>
      <c r="C60" s="12">
        <v>6</v>
      </c>
      <c r="D60" s="49">
        <v>46116</v>
      </c>
      <c r="E60" s="57" t="str">
        <v>JOSE QUESADA SOLIS</v>
      </c>
      <c r="F60" s="32">
        <v>0</v>
      </c>
      <c r="H60" s="36">
        <v>0</v>
      </c>
      <c r="I60" s="36">
        <v>0</v>
      </c>
      <c r="J60" s="36">
        <v>0</v>
      </c>
      <c r="K60" s="36">
        <v>0</v>
      </c>
      <c r="L60" s="37">
        <v>0</v>
      </c>
      <c r="M60" s="37">
        <v>0</v>
      </c>
      <c r="O60" s="36">
        <v>0</v>
      </c>
      <c r="Q60" s="58"/>
      <c r="R60" s="36"/>
      <c r="S60" s="36"/>
      <c r="T60" s="37"/>
      <c r="U60" s="59"/>
    </row>
    <row r="61" spans="1:21">
      <c r="A61" t="str">
        <v>L-S</v>
      </c>
      <c r="B61" s="59">
        <v>3.86</v>
      </c>
      <c r="C61" s="12">
        <v>6</v>
      </c>
      <c r="D61" s="49">
        <v>46116</v>
      </c>
      <c r="E61" s="57" t="str">
        <v>MARIA FERNANDA ARAYA ARGUEDAS</v>
      </c>
      <c r="F61" s="32">
        <v>0</v>
      </c>
      <c r="H61" s="36">
        <v>0</v>
      </c>
      <c r="I61" s="36">
        <v>0</v>
      </c>
      <c r="J61" s="36">
        <v>0</v>
      </c>
      <c r="K61" s="36">
        <v>0</v>
      </c>
      <c r="L61" s="37">
        <v>0</v>
      </c>
      <c r="M61" s="37">
        <v>0</v>
      </c>
      <c r="O61" s="36">
        <v>0</v>
      </c>
      <c r="Q61" s="58"/>
      <c r="R61" s="36"/>
      <c r="S61" s="36"/>
      <c r="T61" s="37"/>
      <c r="U61" s="59"/>
    </row>
    <row r="62" spans="1:21">
      <c r="A62" t="str">
        <v>L-S</v>
      </c>
      <c r="B62" s="59">
        <v>3.93</v>
      </c>
      <c r="C62" s="12">
        <v>6</v>
      </c>
      <c r="D62" s="49">
        <v>46116</v>
      </c>
      <c r="E62" s="57" t="str">
        <v>ANDREY ALONSO PALACIOS ALVAREZ</v>
      </c>
      <c r="F62" s="32">
        <v>0</v>
      </c>
      <c r="H62" s="36">
        <v>0</v>
      </c>
      <c r="I62" s="36">
        <v>0</v>
      </c>
      <c r="J62" s="36">
        <v>0</v>
      </c>
      <c r="K62" s="36">
        <v>0</v>
      </c>
      <c r="L62" s="37">
        <v>0</v>
      </c>
      <c r="M62" s="37">
        <v>0</v>
      </c>
      <c r="O62" s="36">
        <v>0</v>
      </c>
      <c r="Q62" s="58"/>
      <c r="R62" s="36"/>
      <c r="S62" s="36"/>
      <c r="T62" s="37"/>
      <c r="U62" s="59"/>
    </row>
    <row r="63" spans="1:21">
      <c r="A63" t="str">
        <v>DyF</v>
      </c>
      <c r="B63" s="59">
        <v>4</v>
      </c>
      <c r="C63" s="12">
        <v>7</v>
      </c>
      <c r="D63" s="49">
        <v>46117</v>
      </c>
      <c r="E63" s="57" t="str">
        <v>ELIER CORTES BALTODANO</v>
      </c>
      <c r="F63" s="32">
        <v>0</v>
      </c>
      <c r="H63" s="36">
        <v>0</v>
      </c>
      <c r="I63" s="36">
        <v>0</v>
      </c>
      <c r="J63" s="36">
        <v>0</v>
      </c>
      <c r="K63" s="36">
        <v>0</v>
      </c>
      <c r="L63" s="37">
        <v>0</v>
      </c>
      <c r="M63" s="37">
        <v>0</v>
      </c>
      <c r="O63" s="36">
        <v>0</v>
      </c>
      <c r="Q63" s="58"/>
      <c r="R63" s="36"/>
      <c r="S63" s="36"/>
      <c r="T63" s="37"/>
      <c r="U63" s="59"/>
    </row>
    <row r="64" spans="1:21">
      <c r="A64" t="str">
        <v>DyF</v>
      </c>
      <c r="B64" s="59">
        <v>4.07</v>
      </c>
      <c r="C64" s="12">
        <v>7</v>
      </c>
      <c r="D64" s="49">
        <v>46117</v>
      </c>
      <c r="E64" s="57" t="str">
        <v>NEIL JOSE GARCIA VARGAS</v>
      </c>
      <c r="F64" s="32">
        <v>0</v>
      </c>
      <c r="H64" s="36">
        <v>0</v>
      </c>
      <c r="I64" s="36">
        <v>0</v>
      </c>
      <c r="J64" s="36">
        <v>0</v>
      </c>
      <c r="K64" s="36">
        <v>0</v>
      </c>
      <c r="L64" s="37">
        <v>0</v>
      </c>
      <c r="M64" s="37">
        <v>0</v>
      </c>
      <c r="O64" s="36">
        <v>0</v>
      </c>
      <c r="Q64" s="58"/>
      <c r="R64" s="36"/>
      <c r="S64" s="36"/>
      <c r="T64" s="37"/>
      <c r="U64" s="59"/>
    </row>
    <row r="65" spans="1:21">
      <c r="A65" t="str">
        <v>DyF</v>
      </c>
      <c r="B65" s="59">
        <v>4.1399999999999997</v>
      </c>
      <c r="C65" s="12">
        <v>7</v>
      </c>
      <c r="D65" s="49">
        <v>46117</v>
      </c>
      <c r="E65" s="57" t="str">
        <v>JOSE DANIEL CHINCHILLA CERDAS</v>
      </c>
      <c r="F65" s="32">
        <v>0</v>
      </c>
      <c r="H65" s="36">
        <v>0</v>
      </c>
      <c r="I65" s="36">
        <v>0</v>
      </c>
      <c r="J65" s="36">
        <v>0</v>
      </c>
      <c r="K65" s="36">
        <v>0</v>
      </c>
      <c r="L65" s="37">
        <v>0</v>
      </c>
      <c r="M65" s="37">
        <v>0</v>
      </c>
      <c r="O65" s="36">
        <v>0</v>
      </c>
      <c r="Q65" s="58"/>
      <c r="R65" s="36"/>
      <c r="S65" s="36"/>
      <c r="T65" s="37"/>
      <c r="U65" s="59"/>
    </row>
    <row r="66" spans="1:21">
      <c r="A66" t="str">
        <v>DyF</v>
      </c>
      <c r="B66" s="59">
        <v>4.21</v>
      </c>
      <c r="C66" s="12">
        <v>7</v>
      </c>
      <c r="D66" s="49">
        <v>46117</v>
      </c>
      <c r="E66" s="57" t="str">
        <v>MARIELA ARCE GARCIA</v>
      </c>
      <c r="F66" s="32">
        <v>0</v>
      </c>
      <c r="H66" s="36">
        <v>0</v>
      </c>
      <c r="I66" s="36">
        <v>0</v>
      </c>
      <c r="J66" s="36">
        <v>0</v>
      </c>
      <c r="K66" s="36">
        <v>0</v>
      </c>
      <c r="L66" s="37">
        <v>0</v>
      </c>
      <c r="M66" s="37">
        <v>0</v>
      </c>
      <c r="O66" s="36">
        <v>0</v>
      </c>
      <c r="Q66" s="58"/>
      <c r="R66" s="36"/>
      <c r="S66" s="36"/>
      <c r="T66" s="37"/>
      <c r="U66" s="59"/>
    </row>
    <row r="67" spans="1:21">
      <c r="A67" t="str">
        <v>DyF</v>
      </c>
      <c r="B67" s="59">
        <v>4.29</v>
      </c>
      <c r="C67" s="12">
        <v>7</v>
      </c>
      <c r="D67" s="49">
        <v>46117</v>
      </c>
      <c r="E67" s="57" t="str">
        <v>ANTHONY ALVAREZ NAVARRO</v>
      </c>
      <c r="F67" s="32">
        <v>0</v>
      </c>
      <c r="H67" s="36">
        <v>0</v>
      </c>
      <c r="I67" s="36">
        <v>0</v>
      </c>
      <c r="J67" s="36">
        <v>0</v>
      </c>
      <c r="K67" s="36">
        <v>0</v>
      </c>
      <c r="L67" s="37">
        <v>0</v>
      </c>
      <c r="M67" s="37">
        <v>0</v>
      </c>
      <c r="O67" s="36">
        <v>0</v>
      </c>
      <c r="Q67" s="58"/>
      <c r="R67" s="36"/>
      <c r="S67" s="36"/>
      <c r="T67" s="37"/>
      <c r="U67" s="59"/>
    </row>
    <row r="68" spans="1:21">
      <c r="A68" t="str">
        <v>DyF</v>
      </c>
      <c r="B68" s="59">
        <v>4.3600000000000003</v>
      </c>
      <c r="C68" s="12">
        <v>7</v>
      </c>
      <c r="D68" s="49">
        <v>46117</v>
      </c>
      <c r="E68" s="57" t="str">
        <v>CESAR MATARRITA MATARRITA</v>
      </c>
      <c r="F68" s="32">
        <v>0</v>
      </c>
      <c r="H68" s="36">
        <v>0</v>
      </c>
      <c r="I68" s="36">
        <v>0</v>
      </c>
      <c r="J68" s="36">
        <v>0</v>
      </c>
      <c r="K68" s="36">
        <v>0</v>
      </c>
      <c r="L68" s="37">
        <v>0</v>
      </c>
      <c r="M68" s="37">
        <v>0</v>
      </c>
      <c r="O68" s="36">
        <v>0</v>
      </c>
      <c r="Q68" s="58"/>
      <c r="R68" s="36"/>
      <c r="S68" s="36"/>
      <c r="T68" s="37"/>
      <c r="U68" s="59"/>
    </row>
    <row r="69" spans="1:21">
      <c r="A69" t="str">
        <v>DyF</v>
      </c>
      <c r="B69" s="59">
        <v>4.43</v>
      </c>
      <c r="C69" s="12">
        <v>7</v>
      </c>
      <c r="D69" s="49">
        <v>46117</v>
      </c>
      <c r="E69" s="57" t="str">
        <v>GERARDO BOLIVAR VARGAS FERNANDEZ</v>
      </c>
      <c r="F69" s="32">
        <v>0</v>
      </c>
      <c r="H69" s="36">
        <v>0</v>
      </c>
      <c r="I69" s="36">
        <v>0</v>
      </c>
      <c r="J69" s="36">
        <v>0</v>
      </c>
      <c r="K69" s="36">
        <v>0</v>
      </c>
      <c r="L69" s="37">
        <v>0</v>
      </c>
      <c r="M69" s="37">
        <v>0</v>
      </c>
      <c r="O69" s="36">
        <v>0</v>
      </c>
      <c r="Q69" s="58"/>
      <c r="R69" s="36"/>
      <c r="S69" s="36"/>
      <c r="T69" s="37"/>
      <c r="U69" s="59"/>
    </row>
    <row r="70" spans="1:21">
      <c r="A70" t="str">
        <v>DyF</v>
      </c>
      <c r="B70" s="59">
        <v>4.5</v>
      </c>
      <c r="C70" s="12">
        <v>7</v>
      </c>
      <c r="D70" s="49">
        <v>46117</v>
      </c>
      <c r="E70" s="57" t="str">
        <v>LAURA REBECA CORDOBA FERNANDEZ</v>
      </c>
      <c r="F70" s="32">
        <v>0</v>
      </c>
      <c r="H70" s="36">
        <v>0</v>
      </c>
      <c r="I70" s="36">
        <v>0</v>
      </c>
      <c r="J70" s="36">
        <v>0</v>
      </c>
      <c r="K70" s="36">
        <v>0</v>
      </c>
      <c r="L70" s="37">
        <v>0</v>
      </c>
      <c r="M70" s="37">
        <v>0</v>
      </c>
      <c r="O70" s="36">
        <v>0</v>
      </c>
      <c r="Q70" s="58"/>
      <c r="R70" s="36"/>
      <c r="S70" s="36"/>
      <c r="T70" s="37"/>
      <c r="U70" s="59"/>
    </row>
    <row r="71" spans="1:21">
      <c r="A71" t="str">
        <v>DyF</v>
      </c>
      <c r="B71" s="59">
        <v>4.57</v>
      </c>
      <c r="C71" s="12">
        <v>7</v>
      </c>
      <c r="D71" s="49">
        <v>46117</v>
      </c>
      <c r="E71" s="57" t="str">
        <v>VICTOR CHAVES MONTERO</v>
      </c>
      <c r="F71" s="32">
        <v>0</v>
      </c>
      <c r="H71" s="36">
        <v>0</v>
      </c>
      <c r="I71" s="36">
        <v>0</v>
      </c>
      <c r="J71" s="36">
        <v>0</v>
      </c>
      <c r="K71" s="36">
        <v>0</v>
      </c>
      <c r="L71" s="37">
        <v>0</v>
      </c>
      <c r="M71" s="37">
        <v>0</v>
      </c>
      <c r="O71" s="36">
        <v>0</v>
      </c>
      <c r="Q71" s="58"/>
      <c r="R71" s="36"/>
      <c r="S71" s="36"/>
      <c r="T71" s="37"/>
      <c r="U71" s="59"/>
    </row>
    <row r="72" spans="1:21">
      <c r="A72" t="str">
        <v>DyF</v>
      </c>
      <c r="B72" s="59">
        <v>4.6399999999999997</v>
      </c>
      <c r="C72" s="12">
        <v>7</v>
      </c>
      <c r="D72" s="49">
        <v>46117</v>
      </c>
      <c r="E72" s="57" t="str">
        <v>MEYLIN ALEJANDRA ZUÑIGA NUÑEZ</v>
      </c>
      <c r="F72" s="32">
        <v>0</v>
      </c>
      <c r="H72" s="36">
        <v>0</v>
      </c>
      <c r="I72" s="36">
        <v>0</v>
      </c>
      <c r="J72" s="36">
        <v>0</v>
      </c>
      <c r="K72" s="36">
        <v>0</v>
      </c>
      <c r="L72" s="37">
        <v>0</v>
      </c>
      <c r="M72" s="37">
        <v>0</v>
      </c>
      <c r="O72" s="36">
        <v>0</v>
      </c>
      <c r="Q72" s="58"/>
      <c r="R72" s="36"/>
      <c r="S72" s="36"/>
      <c r="T72" s="37"/>
      <c r="U72" s="59"/>
    </row>
    <row r="73" spans="1:21">
      <c r="A73" t="str">
        <v>DyF</v>
      </c>
      <c r="B73" s="59">
        <v>4.71</v>
      </c>
      <c r="C73" s="12">
        <v>7</v>
      </c>
      <c r="D73" s="49">
        <v>46117</v>
      </c>
      <c r="E73" s="57" t="str">
        <v>RAFAEL VEGA ALVAREZ</v>
      </c>
      <c r="F73" s="32">
        <v>0</v>
      </c>
      <c r="H73" s="36">
        <v>0</v>
      </c>
      <c r="I73" s="36">
        <v>0</v>
      </c>
      <c r="J73" s="36">
        <v>0</v>
      </c>
      <c r="K73" s="36">
        <v>0</v>
      </c>
      <c r="L73" s="37">
        <v>0</v>
      </c>
      <c r="M73" s="37">
        <v>0</v>
      </c>
      <c r="O73" s="36">
        <v>0</v>
      </c>
      <c r="Q73" s="58"/>
      <c r="R73" s="36"/>
      <c r="S73" s="36"/>
      <c r="T73" s="37"/>
      <c r="U73" s="59"/>
    </row>
    <row r="74" spans="1:21">
      <c r="A74" t="str">
        <v>DyF</v>
      </c>
      <c r="B74" s="59">
        <v>4.79</v>
      </c>
      <c r="C74" s="12">
        <v>7</v>
      </c>
      <c r="D74" s="49">
        <v>46117</v>
      </c>
      <c r="E74" s="57" t="str">
        <v>JOSE QUESADA SOLIS</v>
      </c>
      <c r="F74" s="32">
        <v>0</v>
      </c>
      <c r="H74" s="36">
        <v>0</v>
      </c>
      <c r="I74" s="36">
        <v>0</v>
      </c>
      <c r="J74" s="36">
        <v>0</v>
      </c>
      <c r="K74" s="36">
        <v>0</v>
      </c>
      <c r="L74" s="37">
        <v>0</v>
      </c>
      <c r="M74" s="37">
        <v>0</v>
      </c>
      <c r="O74" s="36">
        <v>0</v>
      </c>
      <c r="Q74" s="58"/>
      <c r="R74" s="36"/>
      <c r="S74" s="36"/>
      <c r="T74" s="37"/>
      <c r="U74" s="59"/>
    </row>
    <row r="75" spans="1:21">
      <c r="A75" t="str">
        <v>DyF</v>
      </c>
      <c r="B75" s="59">
        <v>4.8600000000000003</v>
      </c>
      <c r="C75" s="12">
        <v>7</v>
      </c>
      <c r="D75" s="49">
        <v>46117</v>
      </c>
      <c r="E75" s="57" t="str">
        <v>MARIA FERNANDA ARAYA ARGUEDAS</v>
      </c>
      <c r="F75" s="32">
        <v>0</v>
      </c>
      <c r="H75" s="36">
        <v>0</v>
      </c>
      <c r="I75" s="36">
        <v>0</v>
      </c>
      <c r="J75" s="36">
        <v>0</v>
      </c>
      <c r="K75" s="36">
        <v>0</v>
      </c>
      <c r="L75" s="37">
        <v>0</v>
      </c>
      <c r="M75" s="37">
        <v>0</v>
      </c>
      <c r="O75" s="36">
        <v>0</v>
      </c>
      <c r="Q75" s="58"/>
      <c r="R75" s="36"/>
      <c r="S75" s="36"/>
      <c r="T75" s="37"/>
      <c r="U75" s="59"/>
    </row>
    <row r="76" spans="1:21">
      <c r="A76" t="str">
        <v>DyF</v>
      </c>
      <c r="B76" s="59">
        <v>4.93</v>
      </c>
      <c r="C76" s="12">
        <v>7</v>
      </c>
      <c r="D76" s="49">
        <v>46117</v>
      </c>
      <c r="E76" s="57" t="str">
        <v>ANDREY ALONSO PALACIOS ALVAREZ</v>
      </c>
      <c r="F76" s="32">
        <v>0</v>
      </c>
      <c r="H76" s="36">
        <v>0</v>
      </c>
      <c r="I76" s="36">
        <v>0</v>
      </c>
      <c r="J76" s="36">
        <v>0</v>
      </c>
      <c r="K76" s="36">
        <v>0</v>
      </c>
      <c r="L76" s="37">
        <v>0</v>
      </c>
      <c r="M76" s="37">
        <v>0</v>
      </c>
      <c r="O76" s="36">
        <v>0</v>
      </c>
      <c r="Q76" s="58"/>
      <c r="R76" s="36"/>
      <c r="S76" s="36"/>
      <c r="T76" s="37"/>
      <c r="U76" s="59"/>
    </row>
    <row r="77" spans="1:21">
      <c r="A77" t="str">
        <v>L-S</v>
      </c>
      <c r="B77" s="59">
        <v>5</v>
      </c>
      <c r="C77" s="12">
        <v>1</v>
      </c>
      <c r="D77" s="49">
        <v>46118</v>
      </c>
      <c r="E77" s="57" t="str">
        <v>ELIER CORTES BALTODANO</v>
      </c>
      <c r="F77" s="32">
        <v>8</v>
      </c>
      <c r="H77" s="36">
        <v>0</v>
      </c>
      <c r="I77" s="36">
        <v>0</v>
      </c>
      <c r="J77" s="36">
        <v>0.5</v>
      </c>
      <c r="K77" s="36">
        <v>0</v>
      </c>
      <c r="L77" s="37">
        <v>0.5</v>
      </c>
      <c r="M77" s="37">
        <v>0</v>
      </c>
      <c r="O77" s="36">
        <v>0</v>
      </c>
      <c r="Q77" s="58"/>
      <c r="R77" s="36"/>
      <c r="S77" s="36"/>
      <c r="T77" s="37"/>
      <c r="U77" s="59"/>
    </row>
    <row r="78" spans="1:21">
      <c r="A78" t="str">
        <v>L-S</v>
      </c>
      <c r="B78" s="59">
        <v>5.07</v>
      </c>
      <c r="C78" s="12">
        <v>1</v>
      </c>
      <c r="D78" s="49">
        <v>46118</v>
      </c>
      <c r="E78" s="57" t="str">
        <v>NEIL JOSE GARCIA VARGAS</v>
      </c>
      <c r="F78" s="32">
        <v>8</v>
      </c>
      <c r="H78" s="36">
        <v>0</v>
      </c>
      <c r="I78" s="36">
        <v>0</v>
      </c>
      <c r="J78" s="36">
        <v>0</v>
      </c>
      <c r="K78" s="36">
        <v>0</v>
      </c>
      <c r="L78" s="37">
        <v>0</v>
      </c>
      <c r="M78" s="37">
        <v>0</v>
      </c>
      <c r="O78" s="36">
        <v>0</v>
      </c>
      <c r="Q78" s="58"/>
      <c r="R78" s="36"/>
      <c r="S78" s="36"/>
      <c r="T78" s="37"/>
      <c r="U78" s="59"/>
    </row>
    <row r="79" spans="1:21">
      <c r="A79" t="str">
        <v>L-S</v>
      </c>
      <c r="B79" s="59">
        <v>5.14</v>
      </c>
      <c r="C79" s="12">
        <v>1</v>
      </c>
      <c r="D79" s="49">
        <v>46118</v>
      </c>
      <c r="E79" s="57" t="str">
        <v>JOSE DANIEL CHINCHILLA CERDAS</v>
      </c>
      <c r="F79" s="32">
        <v>8</v>
      </c>
      <c r="H79" s="36">
        <v>0</v>
      </c>
      <c r="I79" s="36">
        <v>0</v>
      </c>
      <c r="J79" s="36">
        <v>1.5</v>
      </c>
      <c r="K79" s="36">
        <v>0</v>
      </c>
      <c r="L79" s="37">
        <v>1.5</v>
      </c>
      <c r="M79" s="37">
        <v>0</v>
      </c>
      <c r="O79" s="36">
        <v>0</v>
      </c>
      <c r="Q79" s="58"/>
      <c r="R79" s="36"/>
      <c r="S79" s="36"/>
      <c r="T79" s="37"/>
      <c r="U79" s="59"/>
    </row>
    <row r="80" spans="1:21">
      <c r="A80" t="str">
        <v>L-S</v>
      </c>
      <c r="B80" s="59">
        <v>5.21</v>
      </c>
      <c r="C80" s="12">
        <v>1</v>
      </c>
      <c r="D80" s="49">
        <v>46118</v>
      </c>
      <c r="E80" s="57" t="str">
        <v>MARIELA ARCE GARCIA</v>
      </c>
      <c r="F80" s="32">
        <v>8</v>
      </c>
      <c r="H80" s="36">
        <v>0</v>
      </c>
      <c r="I80" s="36">
        <v>0</v>
      </c>
      <c r="J80" s="36">
        <v>2</v>
      </c>
      <c r="K80" s="36">
        <v>0</v>
      </c>
      <c r="L80" s="37">
        <v>2</v>
      </c>
      <c r="M80" s="37">
        <v>0</v>
      </c>
      <c r="O80" s="36">
        <v>0</v>
      </c>
      <c r="Q80" s="58"/>
      <c r="R80" s="36"/>
      <c r="S80" s="36"/>
      <c r="T80" s="37"/>
      <c r="U80" s="59"/>
    </row>
    <row r="81" spans="1:21">
      <c r="A81" t="str">
        <v>L-S</v>
      </c>
      <c r="B81" s="59">
        <v>5.29</v>
      </c>
      <c r="C81" s="12">
        <v>1</v>
      </c>
      <c r="D81" s="49">
        <v>46118</v>
      </c>
      <c r="E81" s="57" t="str">
        <v>ANTHONY ALVAREZ NAVARRO</v>
      </c>
      <c r="F81" s="32">
        <v>8</v>
      </c>
      <c r="H81" s="36">
        <v>0</v>
      </c>
      <c r="I81" s="36">
        <v>0</v>
      </c>
      <c r="J81" s="36">
        <v>0</v>
      </c>
      <c r="K81" s="36">
        <v>0</v>
      </c>
      <c r="L81" s="37">
        <v>0</v>
      </c>
      <c r="M81" s="37">
        <v>0</v>
      </c>
      <c r="O81" s="36">
        <v>0</v>
      </c>
      <c r="Q81" s="58"/>
      <c r="R81" s="36"/>
      <c r="S81" s="36"/>
      <c r="T81" s="37"/>
      <c r="U81" s="59"/>
    </row>
    <row r="82" spans="1:21">
      <c r="A82" t="str">
        <v>L-S</v>
      </c>
      <c r="B82" s="59">
        <v>5.36</v>
      </c>
      <c r="C82" s="12">
        <v>1</v>
      </c>
      <c r="D82" s="49">
        <v>46118</v>
      </c>
      <c r="E82" s="57" t="str">
        <v>CESAR MATARRITA MATARRITA</v>
      </c>
      <c r="F82" s="32">
        <v>8</v>
      </c>
      <c r="H82" s="36">
        <v>0</v>
      </c>
      <c r="I82" s="36">
        <v>0</v>
      </c>
      <c r="J82" s="36">
        <v>4</v>
      </c>
      <c r="K82" s="36">
        <v>0</v>
      </c>
      <c r="L82" s="37">
        <v>4</v>
      </c>
      <c r="M82" s="37">
        <v>0</v>
      </c>
      <c r="O82" s="36">
        <v>0</v>
      </c>
      <c r="Q82" s="58"/>
      <c r="R82" s="36"/>
      <c r="S82" s="36"/>
      <c r="T82" s="37"/>
      <c r="U82" s="59"/>
    </row>
    <row r="83" spans="1:21">
      <c r="A83" t="str">
        <v>L-S</v>
      </c>
      <c r="B83" s="59">
        <v>5.43</v>
      </c>
      <c r="C83" s="12">
        <v>1</v>
      </c>
      <c r="D83" s="49">
        <v>46118</v>
      </c>
      <c r="E83" s="57" t="str">
        <v>GERARDO BOLIVAR VARGAS FERNANDEZ</v>
      </c>
      <c r="F83" s="32">
        <v>8</v>
      </c>
      <c r="H83" s="36">
        <v>0</v>
      </c>
      <c r="I83" s="36">
        <v>0</v>
      </c>
      <c r="J83" s="36">
        <v>3</v>
      </c>
      <c r="K83" s="36">
        <v>0</v>
      </c>
      <c r="L83" s="37">
        <v>3</v>
      </c>
      <c r="M83" s="37">
        <v>0</v>
      </c>
      <c r="O83" s="36">
        <v>0</v>
      </c>
      <c r="Q83" s="58"/>
      <c r="R83" s="36"/>
      <c r="S83" s="36"/>
      <c r="T83" s="37"/>
      <c r="U83" s="59"/>
    </row>
    <row r="84" spans="1:21">
      <c r="A84" t="str">
        <v>L-S</v>
      </c>
      <c r="B84" s="59">
        <v>5.5</v>
      </c>
      <c r="C84" s="12">
        <v>1</v>
      </c>
      <c r="D84" s="49">
        <v>46118</v>
      </c>
      <c r="E84" s="57" t="str">
        <v>LAURA REBECA CORDOBA FERNANDEZ</v>
      </c>
      <c r="F84" s="32">
        <v>8</v>
      </c>
      <c r="H84" s="36">
        <v>0</v>
      </c>
      <c r="I84" s="36">
        <v>0</v>
      </c>
      <c r="J84" s="36">
        <v>0</v>
      </c>
      <c r="K84" s="36">
        <v>0</v>
      </c>
      <c r="L84" s="37">
        <v>0</v>
      </c>
      <c r="M84" s="37">
        <v>0</v>
      </c>
      <c r="O84" s="36">
        <v>0</v>
      </c>
      <c r="Q84" s="58"/>
      <c r="R84" s="36"/>
      <c r="S84" s="36"/>
      <c r="T84" s="37"/>
      <c r="U84" s="59"/>
    </row>
    <row r="85" spans="1:21">
      <c r="A85" t="str">
        <v>L-S</v>
      </c>
      <c r="B85" s="59">
        <v>5.57</v>
      </c>
      <c r="C85" s="12">
        <v>1</v>
      </c>
      <c r="D85" s="49">
        <v>46118</v>
      </c>
      <c r="E85" s="57" t="str">
        <v>VICTOR CHAVES MONTERO</v>
      </c>
      <c r="F85" s="32">
        <v>8</v>
      </c>
      <c r="H85" s="36">
        <v>0</v>
      </c>
      <c r="I85" s="36">
        <v>0</v>
      </c>
      <c r="J85" s="36">
        <v>8</v>
      </c>
      <c r="K85" s="36">
        <v>0</v>
      </c>
      <c r="L85" s="37">
        <v>8</v>
      </c>
      <c r="M85" s="37">
        <v>0</v>
      </c>
      <c r="O85" s="36">
        <v>0</v>
      </c>
      <c r="Q85" s="58"/>
      <c r="R85" s="36"/>
      <c r="S85" s="36"/>
      <c r="T85" s="37"/>
      <c r="U85" s="59"/>
    </row>
    <row r="86" spans="1:21">
      <c r="A86" t="str">
        <v>L-S</v>
      </c>
      <c r="B86" s="59">
        <v>5.64</v>
      </c>
      <c r="C86" s="12">
        <v>1</v>
      </c>
      <c r="D86" s="49">
        <v>46118</v>
      </c>
      <c r="E86" s="57" t="str">
        <v>MEYLIN ALEJANDRA ZUÑIGA NUÑEZ</v>
      </c>
      <c r="F86" s="32">
        <v>8</v>
      </c>
      <c r="H86" s="36">
        <v>0</v>
      </c>
      <c r="I86" s="36">
        <v>0</v>
      </c>
      <c r="J86" s="36">
        <v>0</v>
      </c>
      <c r="K86" s="36">
        <v>0</v>
      </c>
      <c r="L86" s="37">
        <v>0</v>
      </c>
      <c r="M86" s="37">
        <v>0</v>
      </c>
      <c r="O86" s="36">
        <v>0</v>
      </c>
      <c r="Q86" s="58"/>
      <c r="R86" s="36"/>
      <c r="S86" s="36"/>
      <c r="T86" s="37"/>
      <c r="U86" s="59"/>
    </row>
    <row r="87" spans="1:21">
      <c r="A87" t="str">
        <v>L-S</v>
      </c>
      <c r="B87" s="59">
        <v>5.71</v>
      </c>
      <c r="C87" s="12">
        <v>1</v>
      </c>
      <c r="D87" s="49">
        <v>46118</v>
      </c>
      <c r="E87" s="57" t="str">
        <v>RAFAEL VEGA ALVAREZ</v>
      </c>
      <c r="F87" s="32">
        <v>8</v>
      </c>
      <c r="H87" s="36">
        <v>0</v>
      </c>
      <c r="I87" s="36">
        <v>0</v>
      </c>
      <c r="J87" s="36">
        <v>1</v>
      </c>
      <c r="K87" s="36">
        <v>0</v>
      </c>
      <c r="L87" s="37">
        <v>1</v>
      </c>
      <c r="M87" s="37">
        <v>0</v>
      </c>
      <c r="O87" s="36">
        <v>0</v>
      </c>
      <c r="Q87" s="58"/>
      <c r="R87" s="36"/>
      <c r="S87" s="36"/>
      <c r="T87" s="37"/>
      <c r="U87" s="59"/>
    </row>
    <row r="88" spans="1:21">
      <c r="A88" t="str">
        <v>L-S</v>
      </c>
      <c r="B88" s="59">
        <v>5.79</v>
      </c>
      <c r="C88" s="12">
        <v>1</v>
      </c>
      <c r="D88" s="49">
        <v>46118</v>
      </c>
      <c r="E88" s="57" t="str">
        <v>JOSE QUESADA SOLIS</v>
      </c>
      <c r="F88" s="32">
        <v>8</v>
      </c>
      <c r="H88" s="36">
        <v>0</v>
      </c>
      <c r="I88" s="36">
        <v>0</v>
      </c>
      <c r="J88" s="36">
        <v>0</v>
      </c>
      <c r="K88" s="36">
        <v>0</v>
      </c>
      <c r="L88" s="37">
        <v>0</v>
      </c>
      <c r="M88" s="37">
        <v>0</v>
      </c>
      <c r="O88" s="36">
        <v>0</v>
      </c>
      <c r="Q88" s="58"/>
      <c r="R88" s="36"/>
      <c r="S88" s="36"/>
      <c r="T88" s="37"/>
      <c r="U88" s="59"/>
    </row>
    <row r="89" spans="1:21">
      <c r="A89" t="str">
        <v>L-S</v>
      </c>
      <c r="B89" s="59">
        <v>5.86</v>
      </c>
      <c r="C89" s="12">
        <v>1</v>
      </c>
      <c r="D89" s="49">
        <v>46118</v>
      </c>
      <c r="E89" s="57" t="str">
        <v>MARIA FERNANDA ARAYA ARGUEDAS</v>
      </c>
      <c r="F89" s="32">
        <v>8</v>
      </c>
      <c r="H89" s="36">
        <v>0</v>
      </c>
      <c r="I89" s="36">
        <v>0</v>
      </c>
      <c r="J89" s="36">
        <v>0</v>
      </c>
      <c r="K89" s="36">
        <v>0</v>
      </c>
      <c r="L89" s="37">
        <v>0</v>
      </c>
      <c r="M89" s="37">
        <v>0</v>
      </c>
      <c r="O89" s="36">
        <v>0</v>
      </c>
      <c r="Q89" s="58"/>
      <c r="R89" s="36"/>
      <c r="S89" s="36"/>
      <c r="T89" s="37"/>
      <c r="U89" s="59"/>
    </row>
    <row r="90" spans="1:21">
      <c r="A90" t="str">
        <v>L-S</v>
      </c>
      <c r="B90" s="59">
        <v>5.93</v>
      </c>
      <c r="C90" s="12">
        <v>1</v>
      </c>
      <c r="D90" s="49">
        <v>46118</v>
      </c>
      <c r="E90" s="57" t="str">
        <v>ANDREY ALONSO PALACIOS ALVAREZ</v>
      </c>
      <c r="F90" s="32">
        <v>8</v>
      </c>
      <c r="H90" s="36">
        <v>0</v>
      </c>
      <c r="I90" s="36">
        <v>0</v>
      </c>
      <c r="J90" s="36">
        <v>0</v>
      </c>
      <c r="K90" s="36">
        <v>0</v>
      </c>
      <c r="L90" s="37">
        <v>0</v>
      </c>
      <c r="M90" s="37">
        <v>0</v>
      </c>
      <c r="O90" s="36">
        <v>0</v>
      </c>
      <c r="Q90" s="58"/>
      <c r="R90" s="36"/>
      <c r="S90" s="36"/>
      <c r="T90" s="37"/>
      <c r="U90" s="59"/>
    </row>
    <row r="91" spans="1:21">
      <c r="A91" t="str">
        <v>L-S</v>
      </c>
      <c r="B91" s="59">
        <v>6</v>
      </c>
      <c r="C91" s="12">
        <v>2</v>
      </c>
      <c r="D91" s="49">
        <v>46119</v>
      </c>
      <c r="E91" s="57" t="str">
        <v>ELIER CORTES BALTODANO</v>
      </c>
      <c r="F91" s="32">
        <v>8</v>
      </c>
      <c r="H91" s="36">
        <v>0</v>
      </c>
      <c r="I91" s="36">
        <v>0</v>
      </c>
      <c r="J91" s="36">
        <v>0.25</v>
      </c>
      <c r="K91" s="36">
        <v>0</v>
      </c>
      <c r="L91" s="37">
        <v>0.25</v>
      </c>
      <c r="M91" s="37">
        <v>0</v>
      </c>
      <c r="O91" s="36">
        <v>0</v>
      </c>
      <c r="Q91" s="58"/>
      <c r="R91" s="36"/>
      <c r="S91" s="36"/>
      <c r="T91" s="37"/>
      <c r="U91" s="59"/>
    </row>
    <row r="92" spans="1:21">
      <c r="A92" t="str">
        <v>L-S</v>
      </c>
      <c r="B92" s="59">
        <v>6.07</v>
      </c>
      <c r="C92" s="12">
        <v>2</v>
      </c>
      <c r="D92" s="49">
        <v>46119</v>
      </c>
      <c r="E92" s="57" t="str">
        <v>NEIL JOSE GARCIA VARGAS</v>
      </c>
      <c r="F92" s="32">
        <v>8</v>
      </c>
      <c r="H92" s="36">
        <v>0</v>
      </c>
      <c r="I92" s="36">
        <v>0</v>
      </c>
      <c r="J92" s="36">
        <v>0</v>
      </c>
      <c r="K92" s="36">
        <v>0</v>
      </c>
      <c r="L92" s="37">
        <v>0</v>
      </c>
      <c r="M92" s="37">
        <v>0</v>
      </c>
      <c r="O92" s="36">
        <v>0</v>
      </c>
      <c r="Q92" s="58"/>
      <c r="R92" s="36"/>
      <c r="S92" s="36"/>
      <c r="T92" s="37"/>
      <c r="U92" s="59"/>
    </row>
    <row r="93" spans="1:21">
      <c r="A93" t="str">
        <v>L-S</v>
      </c>
      <c r="B93" s="59">
        <v>6.14</v>
      </c>
      <c r="C93" s="12">
        <v>2</v>
      </c>
      <c r="D93" s="49">
        <v>46119</v>
      </c>
      <c r="E93" s="57" t="str">
        <v>JOSE DANIEL CHINCHILLA CERDAS</v>
      </c>
      <c r="F93" s="32">
        <v>8</v>
      </c>
      <c r="H93" s="36">
        <v>0</v>
      </c>
      <c r="I93" s="36">
        <v>0</v>
      </c>
      <c r="J93" s="36">
        <v>0.5</v>
      </c>
      <c r="K93" s="36">
        <v>0</v>
      </c>
      <c r="L93" s="37">
        <v>0.5</v>
      </c>
      <c r="M93" s="37">
        <v>0</v>
      </c>
      <c r="O93" s="36">
        <v>0</v>
      </c>
      <c r="Q93" s="58"/>
      <c r="R93" s="36"/>
      <c r="S93" s="36"/>
      <c r="T93" s="37"/>
      <c r="U93" s="59"/>
    </row>
    <row r="94" spans="1:21">
      <c r="A94" t="str">
        <v>L-S</v>
      </c>
      <c r="B94" s="59">
        <v>6.21</v>
      </c>
      <c r="C94" s="12">
        <v>2</v>
      </c>
      <c r="D94" s="49">
        <v>46119</v>
      </c>
      <c r="E94" s="57" t="str">
        <v>MARIELA ARCE GARCIA</v>
      </c>
      <c r="F94" s="32">
        <v>8</v>
      </c>
      <c r="H94" s="36">
        <v>0</v>
      </c>
      <c r="I94" s="36">
        <v>0</v>
      </c>
      <c r="J94" s="36">
        <v>1.5</v>
      </c>
      <c r="K94" s="36">
        <v>0</v>
      </c>
      <c r="L94" s="37">
        <v>1.5</v>
      </c>
      <c r="M94" s="37">
        <v>0</v>
      </c>
      <c r="O94" s="36">
        <v>0</v>
      </c>
      <c r="Q94" s="58"/>
      <c r="R94" s="36"/>
      <c r="S94" s="36"/>
      <c r="T94" s="37"/>
      <c r="U94" s="59"/>
    </row>
    <row r="95" spans="1:21">
      <c r="A95" t="str">
        <v>L-S</v>
      </c>
      <c r="B95" s="59">
        <v>6.29</v>
      </c>
      <c r="C95" s="12">
        <v>2</v>
      </c>
      <c r="D95" s="49">
        <v>46119</v>
      </c>
      <c r="E95" s="57" t="str">
        <v>ANTHONY ALVAREZ NAVARRO</v>
      </c>
      <c r="F95" s="32">
        <v>8</v>
      </c>
      <c r="H95" s="36">
        <v>0</v>
      </c>
      <c r="I95" s="36">
        <v>0</v>
      </c>
      <c r="J95" s="36">
        <v>0</v>
      </c>
      <c r="K95" s="36">
        <v>0</v>
      </c>
      <c r="L95" s="37">
        <v>0</v>
      </c>
      <c r="M95" s="37">
        <v>0</v>
      </c>
      <c r="O95" s="36">
        <v>0</v>
      </c>
      <c r="Q95" s="58"/>
      <c r="R95" s="36"/>
      <c r="S95" s="36"/>
      <c r="T95" s="37"/>
      <c r="U95" s="59"/>
    </row>
    <row r="96" spans="1:21">
      <c r="A96" t="str">
        <v>L-S</v>
      </c>
      <c r="B96" s="59">
        <v>6.36</v>
      </c>
      <c r="C96" s="12">
        <v>2</v>
      </c>
      <c r="D96" s="49">
        <v>46119</v>
      </c>
      <c r="E96" s="57" t="str">
        <v>CESAR MATARRITA MATARRITA</v>
      </c>
      <c r="F96" s="32">
        <v>8</v>
      </c>
      <c r="H96" s="36">
        <v>0</v>
      </c>
      <c r="I96" s="36">
        <v>0</v>
      </c>
      <c r="J96" s="36">
        <v>1</v>
      </c>
      <c r="K96" s="36">
        <v>0</v>
      </c>
      <c r="L96" s="37">
        <v>1</v>
      </c>
      <c r="M96" s="37">
        <v>0</v>
      </c>
      <c r="O96" s="36">
        <v>0</v>
      </c>
      <c r="Q96" s="58"/>
      <c r="R96" s="36"/>
      <c r="S96" s="36"/>
      <c r="T96" s="37"/>
      <c r="U96" s="59"/>
    </row>
    <row r="97" spans="1:21">
      <c r="A97" t="str">
        <v>L-S</v>
      </c>
      <c r="B97" s="59">
        <v>6.43</v>
      </c>
      <c r="C97" s="12">
        <v>2</v>
      </c>
      <c r="D97" s="49">
        <v>46119</v>
      </c>
      <c r="E97" s="57" t="str">
        <v>GERARDO BOLIVAR VARGAS FERNANDEZ</v>
      </c>
      <c r="F97" s="32">
        <v>8</v>
      </c>
      <c r="H97" s="36">
        <v>0</v>
      </c>
      <c r="I97" s="36">
        <v>0</v>
      </c>
      <c r="J97" s="36">
        <v>0.5</v>
      </c>
      <c r="K97" s="36">
        <v>0</v>
      </c>
      <c r="L97" s="37">
        <v>0.5</v>
      </c>
      <c r="M97" s="37">
        <v>0</v>
      </c>
      <c r="O97" s="36">
        <v>0</v>
      </c>
      <c r="Q97" s="58"/>
      <c r="R97" s="36"/>
      <c r="S97" s="36"/>
      <c r="T97" s="37"/>
      <c r="U97" s="59"/>
    </row>
    <row r="98" spans="1:21">
      <c r="A98" t="str">
        <v>L-S</v>
      </c>
      <c r="B98" s="59">
        <v>6.5</v>
      </c>
      <c r="C98" s="12">
        <v>2</v>
      </c>
      <c r="D98" s="49">
        <v>46119</v>
      </c>
      <c r="E98" s="57" t="str">
        <v>LAURA REBECA CORDOBA FERNANDEZ</v>
      </c>
      <c r="F98" s="32">
        <v>8</v>
      </c>
      <c r="H98" s="36">
        <v>0</v>
      </c>
      <c r="I98" s="36">
        <v>0</v>
      </c>
      <c r="J98" s="36">
        <v>0</v>
      </c>
      <c r="K98" s="36">
        <v>0</v>
      </c>
      <c r="L98" s="37">
        <v>0</v>
      </c>
      <c r="M98" s="37">
        <v>0</v>
      </c>
      <c r="O98" s="36">
        <v>0</v>
      </c>
      <c r="Q98" s="58"/>
      <c r="R98" s="36"/>
      <c r="S98" s="36"/>
      <c r="T98" s="37"/>
      <c r="U98" s="59"/>
    </row>
    <row r="99" spans="1:21">
      <c r="A99" t="str">
        <v>L-S</v>
      </c>
      <c r="B99" s="59">
        <v>6.57</v>
      </c>
      <c r="C99" s="12">
        <v>2</v>
      </c>
      <c r="D99" s="49">
        <v>46119</v>
      </c>
      <c r="E99" s="57" t="str">
        <v>VICTOR CHAVES MONTERO</v>
      </c>
      <c r="F99" s="32">
        <v>8</v>
      </c>
      <c r="H99" s="36">
        <v>0</v>
      </c>
      <c r="I99" s="36">
        <v>0</v>
      </c>
      <c r="J99" s="36">
        <v>8</v>
      </c>
      <c r="K99" s="36">
        <v>0</v>
      </c>
      <c r="L99" s="37">
        <v>8</v>
      </c>
      <c r="M99" s="37">
        <v>0</v>
      </c>
      <c r="O99" s="36">
        <v>0</v>
      </c>
      <c r="Q99" s="58"/>
      <c r="R99" s="36"/>
      <c r="S99" s="36"/>
      <c r="T99" s="37"/>
      <c r="U99" s="59"/>
    </row>
    <row r="100" spans="1:21">
      <c r="A100" t="str">
        <v>L-S</v>
      </c>
      <c r="B100" s="59">
        <v>6.64</v>
      </c>
      <c r="C100" s="12">
        <v>2</v>
      </c>
      <c r="D100" s="49">
        <v>46119</v>
      </c>
      <c r="E100" s="57" t="str">
        <v>MEYLIN ALEJANDRA ZUÑIGA NUÑEZ</v>
      </c>
      <c r="F100" s="32">
        <v>8</v>
      </c>
      <c r="H100" s="36">
        <v>0</v>
      </c>
      <c r="I100" s="36">
        <v>0</v>
      </c>
      <c r="J100" s="36">
        <v>2</v>
      </c>
      <c r="K100" s="36">
        <v>0</v>
      </c>
      <c r="L100" s="37">
        <v>2</v>
      </c>
      <c r="M100" s="37">
        <v>0</v>
      </c>
      <c r="O100" s="36">
        <v>0</v>
      </c>
      <c r="Q100" s="58"/>
      <c r="R100" s="36"/>
      <c r="S100" s="36"/>
      <c r="T100" s="37"/>
      <c r="U100" s="59"/>
    </row>
    <row r="101" spans="1:21">
      <c r="A101" t="str">
        <v>L-S</v>
      </c>
      <c r="B101" s="59">
        <v>6.71</v>
      </c>
      <c r="C101" s="12">
        <v>2</v>
      </c>
      <c r="D101" s="49">
        <v>46119</v>
      </c>
      <c r="E101" s="57" t="str">
        <v>RAFAEL VEGA ALVAREZ</v>
      </c>
      <c r="F101" s="32">
        <v>8</v>
      </c>
      <c r="H101" s="36">
        <v>0</v>
      </c>
      <c r="I101" s="36">
        <v>0</v>
      </c>
      <c r="J101" s="36">
        <v>1.25</v>
      </c>
      <c r="K101" s="36">
        <v>0</v>
      </c>
      <c r="L101" s="37">
        <v>1.25</v>
      </c>
      <c r="M101" s="37">
        <v>0</v>
      </c>
      <c r="O101" s="36">
        <v>0</v>
      </c>
      <c r="Q101" s="58"/>
      <c r="R101" s="36"/>
      <c r="S101" s="36"/>
      <c r="T101" s="37"/>
      <c r="U101" s="59"/>
    </row>
    <row r="102" spans="1:21">
      <c r="A102" t="str">
        <v>L-S</v>
      </c>
      <c r="B102" s="59">
        <v>6.79</v>
      </c>
      <c r="C102" s="12">
        <v>2</v>
      </c>
      <c r="D102" s="49">
        <v>46119</v>
      </c>
      <c r="E102" s="57" t="str">
        <v>JOSE QUESADA SOLIS</v>
      </c>
      <c r="F102" s="32">
        <v>8</v>
      </c>
      <c r="H102" s="36">
        <v>0</v>
      </c>
      <c r="I102" s="36">
        <v>0</v>
      </c>
      <c r="J102" s="36">
        <v>0</v>
      </c>
      <c r="K102" s="36">
        <v>0</v>
      </c>
      <c r="L102" s="37">
        <v>0</v>
      </c>
      <c r="M102" s="37">
        <v>0</v>
      </c>
      <c r="O102" s="36">
        <v>0</v>
      </c>
      <c r="Q102" s="58"/>
      <c r="R102" s="36"/>
      <c r="S102" s="36"/>
      <c r="T102" s="37"/>
      <c r="U102" s="59"/>
    </row>
    <row r="103" spans="1:21">
      <c r="A103" t="str">
        <v>L-S</v>
      </c>
      <c r="B103" s="59">
        <v>6.86</v>
      </c>
      <c r="C103" s="12">
        <v>2</v>
      </c>
      <c r="D103" s="49">
        <v>46119</v>
      </c>
      <c r="E103" s="57" t="str">
        <v>MARIA FERNANDA ARAYA ARGUEDAS</v>
      </c>
      <c r="F103" s="32">
        <v>8</v>
      </c>
      <c r="H103" s="36">
        <v>0</v>
      </c>
      <c r="I103" s="36">
        <v>0</v>
      </c>
      <c r="J103" s="36">
        <v>0</v>
      </c>
      <c r="K103" s="36">
        <v>0</v>
      </c>
      <c r="L103" s="37">
        <v>0</v>
      </c>
      <c r="M103" s="37">
        <v>0</v>
      </c>
      <c r="O103" s="36">
        <v>0</v>
      </c>
      <c r="Q103" s="58"/>
      <c r="R103" s="36"/>
      <c r="S103" s="36"/>
      <c r="T103" s="37"/>
      <c r="U103" s="59"/>
    </row>
    <row r="104" spans="1:21">
      <c r="A104" t="str">
        <v>L-S</v>
      </c>
      <c r="B104" s="59">
        <v>6.93</v>
      </c>
      <c r="C104" s="12">
        <v>2</v>
      </c>
      <c r="D104" s="49">
        <v>46119</v>
      </c>
      <c r="E104" s="57" t="str">
        <v>ANDREY ALONSO PALACIOS ALVAREZ</v>
      </c>
      <c r="F104" s="32">
        <v>8</v>
      </c>
      <c r="H104" s="36">
        <v>0</v>
      </c>
      <c r="I104" s="36">
        <v>0</v>
      </c>
      <c r="J104" s="36">
        <v>0</v>
      </c>
      <c r="K104" s="36">
        <v>0</v>
      </c>
      <c r="L104" s="37">
        <v>0</v>
      </c>
      <c r="M104" s="37">
        <v>0</v>
      </c>
      <c r="O104" s="36">
        <v>0</v>
      </c>
      <c r="Q104" s="58"/>
      <c r="R104" s="36"/>
      <c r="S104" s="36"/>
      <c r="T104" s="37"/>
      <c r="U104" s="59"/>
    </row>
    <row r="105" spans="1:21">
      <c r="A105" t="str">
        <v>L-S</v>
      </c>
      <c r="B105" s="59">
        <v>7</v>
      </c>
      <c r="C105" s="12">
        <v>3</v>
      </c>
      <c r="D105" s="49">
        <v>46120</v>
      </c>
      <c r="E105" s="57" t="str">
        <v>ELIER CORTES BALTODANO</v>
      </c>
      <c r="F105" s="32">
        <v>8</v>
      </c>
      <c r="H105" s="36">
        <v>0</v>
      </c>
      <c r="I105" s="36">
        <v>0</v>
      </c>
      <c r="J105" s="36">
        <v>0</v>
      </c>
      <c r="K105" s="36">
        <v>0</v>
      </c>
      <c r="L105" s="37">
        <v>0</v>
      </c>
      <c r="M105" s="37">
        <v>0</v>
      </c>
      <c r="O105" s="36">
        <v>0</v>
      </c>
      <c r="Q105" s="58"/>
      <c r="R105" s="36"/>
      <c r="S105" s="36"/>
      <c r="T105" s="37"/>
      <c r="U105" s="59"/>
    </row>
    <row r="106" spans="1:21">
      <c r="A106" t="str">
        <v>L-S</v>
      </c>
      <c r="B106" s="59">
        <v>7.07</v>
      </c>
      <c r="C106" s="12">
        <v>3</v>
      </c>
      <c r="D106" s="49">
        <v>46120</v>
      </c>
      <c r="E106" s="57" t="str">
        <v>NEIL JOSE GARCIA VARGAS</v>
      </c>
      <c r="F106" s="32">
        <v>8</v>
      </c>
      <c r="H106" s="36">
        <v>0</v>
      </c>
      <c r="I106" s="36">
        <v>0</v>
      </c>
      <c r="J106" s="36">
        <v>0</v>
      </c>
      <c r="K106" s="36">
        <v>0</v>
      </c>
      <c r="L106" s="37">
        <v>0</v>
      </c>
      <c r="M106" s="37">
        <v>0</v>
      </c>
      <c r="O106" s="36">
        <v>0</v>
      </c>
      <c r="Q106" s="58"/>
      <c r="R106" s="36"/>
      <c r="S106" s="36"/>
      <c r="T106" s="37"/>
      <c r="U106" s="59"/>
    </row>
    <row r="107" spans="1:21">
      <c r="A107" t="str">
        <v>L-S</v>
      </c>
      <c r="B107" s="59">
        <v>7.14</v>
      </c>
      <c r="C107" s="12">
        <v>3</v>
      </c>
      <c r="D107" s="49">
        <v>46120</v>
      </c>
      <c r="E107" s="57" t="str">
        <v>JOSE DANIEL CHINCHILLA CERDAS</v>
      </c>
      <c r="F107" s="32">
        <v>8</v>
      </c>
      <c r="H107" s="36">
        <v>0</v>
      </c>
      <c r="I107" s="36">
        <v>0</v>
      </c>
      <c r="J107" s="36">
        <v>0</v>
      </c>
      <c r="K107" s="36">
        <v>0</v>
      </c>
      <c r="L107" s="37">
        <v>0</v>
      </c>
      <c r="M107" s="37">
        <v>0</v>
      </c>
      <c r="O107" s="36">
        <v>0</v>
      </c>
      <c r="Q107" s="58"/>
      <c r="R107" s="36"/>
      <c r="S107" s="36"/>
      <c r="T107" s="37"/>
      <c r="U107" s="59"/>
    </row>
    <row r="108" spans="1:21">
      <c r="A108" t="str">
        <v>L-S</v>
      </c>
      <c r="B108" s="59">
        <v>7.21</v>
      </c>
      <c r="C108" s="12">
        <v>3</v>
      </c>
      <c r="D108" s="49">
        <v>46120</v>
      </c>
      <c r="E108" s="57" t="str">
        <v>MARIELA ARCE GARCIA</v>
      </c>
      <c r="F108" s="32">
        <v>8</v>
      </c>
      <c r="H108" s="36">
        <v>0</v>
      </c>
      <c r="I108" s="36">
        <v>0</v>
      </c>
      <c r="J108" s="36">
        <v>1.5</v>
      </c>
      <c r="K108" s="36">
        <v>0</v>
      </c>
      <c r="L108" s="37">
        <v>1.5</v>
      </c>
      <c r="M108" s="37">
        <v>0</v>
      </c>
      <c r="O108" s="36">
        <v>0</v>
      </c>
      <c r="Q108" s="58"/>
      <c r="R108" s="36"/>
      <c r="S108" s="36"/>
      <c r="T108" s="37"/>
      <c r="U108" s="59"/>
    </row>
    <row r="109" spans="1:21">
      <c r="A109" t="str">
        <v>L-S</v>
      </c>
      <c r="B109" s="59">
        <v>7.29</v>
      </c>
      <c r="C109" s="12">
        <v>3</v>
      </c>
      <c r="D109" s="49">
        <v>46120</v>
      </c>
      <c r="E109" s="57" t="str">
        <v>ANTHONY ALVAREZ NAVARRO</v>
      </c>
      <c r="F109" s="32">
        <v>8</v>
      </c>
      <c r="H109" s="36">
        <v>0</v>
      </c>
      <c r="I109" s="36">
        <v>0</v>
      </c>
      <c r="J109" s="36">
        <v>0</v>
      </c>
      <c r="K109" s="36">
        <v>0</v>
      </c>
      <c r="L109" s="37">
        <v>0</v>
      </c>
      <c r="M109" s="37">
        <v>0</v>
      </c>
      <c r="O109" s="36">
        <v>0</v>
      </c>
      <c r="Q109" s="58"/>
      <c r="R109" s="36"/>
      <c r="S109" s="36"/>
      <c r="T109" s="37"/>
      <c r="U109" s="59"/>
    </row>
    <row r="110" spans="1:21">
      <c r="A110" t="str">
        <v>L-S</v>
      </c>
      <c r="B110" s="59">
        <v>7.36</v>
      </c>
      <c r="C110" s="12">
        <v>3</v>
      </c>
      <c r="D110" s="49">
        <v>46120</v>
      </c>
      <c r="E110" s="57" t="str">
        <v>CESAR MATARRITA MATARRITA</v>
      </c>
      <c r="F110" s="32">
        <v>8</v>
      </c>
      <c r="H110" s="36">
        <v>0</v>
      </c>
      <c r="I110" s="36">
        <v>0</v>
      </c>
      <c r="J110" s="36">
        <v>3</v>
      </c>
      <c r="K110" s="36">
        <v>0</v>
      </c>
      <c r="L110" s="37">
        <v>3</v>
      </c>
      <c r="M110" s="37">
        <v>0</v>
      </c>
      <c r="O110" s="36">
        <v>0</v>
      </c>
      <c r="Q110" s="58"/>
      <c r="R110" s="36"/>
      <c r="S110" s="36"/>
      <c r="T110" s="37"/>
      <c r="U110" s="59"/>
    </row>
    <row r="111" spans="1:21">
      <c r="A111" t="str">
        <v>L-S</v>
      </c>
      <c r="B111" s="59">
        <v>7.43</v>
      </c>
      <c r="C111" s="12">
        <v>3</v>
      </c>
      <c r="D111" s="49">
        <v>46120</v>
      </c>
      <c r="E111" s="57" t="str">
        <v>GERARDO BOLIVAR VARGAS FERNANDEZ</v>
      </c>
      <c r="F111" s="32">
        <v>8</v>
      </c>
      <c r="H111" s="36">
        <v>0</v>
      </c>
      <c r="I111" s="36">
        <v>0</v>
      </c>
      <c r="J111" s="36">
        <v>1.75</v>
      </c>
      <c r="K111" s="36">
        <v>0</v>
      </c>
      <c r="L111" s="37">
        <v>1.75</v>
      </c>
      <c r="M111" s="37">
        <v>0</v>
      </c>
      <c r="O111" s="36">
        <v>0</v>
      </c>
      <c r="Q111" s="58"/>
      <c r="R111" s="36"/>
      <c r="S111" s="36"/>
      <c r="T111" s="37"/>
      <c r="U111" s="59"/>
    </row>
    <row r="112" spans="1:21">
      <c r="A112" t="str">
        <v>L-S</v>
      </c>
      <c r="B112" s="59">
        <v>7.5</v>
      </c>
      <c r="C112" s="12">
        <v>3</v>
      </c>
      <c r="D112" s="49">
        <v>46120</v>
      </c>
      <c r="E112" s="57" t="str">
        <v>LAURA REBECA CORDOBA FERNANDEZ</v>
      </c>
      <c r="F112" s="32">
        <v>8</v>
      </c>
      <c r="H112" s="36">
        <v>0</v>
      </c>
      <c r="I112" s="36">
        <v>0</v>
      </c>
      <c r="J112" s="36">
        <v>0</v>
      </c>
      <c r="K112" s="36">
        <v>0</v>
      </c>
      <c r="L112" s="37">
        <v>0</v>
      </c>
      <c r="M112" s="37">
        <v>0</v>
      </c>
      <c r="O112" s="36">
        <v>0</v>
      </c>
      <c r="Q112" s="58"/>
      <c r="R112" s="36"/>
      <c r="S112" s="36"/>
      <c r="T112" s="37"/>
      <c r="U112" s="59"/>
    </row>
    <row r="113" spans="1:21">
      <c r="A113" t="str">
        <v>L-S</v>
      </c>
      <c r="B113" s="59">
        <v>7.57</v>
      </c>
      <c r="C113" s="12">
        <v>3</v>
      </c>
      <c r="D113" s="49">
        <v>46120</v>
      </c>
      <c r="E113" s="57" t="str">
        <v>VICTOR CHAVES MONTERO</v>
      </c>
      <c r="F113" s="32">
        <v>8</v>
      </c>
      <c r="H113" s="36">
        <v>0</v>
      </c>
      <c r="I113" s="36">
        <v>0</v>
      </c>
      <c r="J113" s="36">
        <v>8</v>
      </c>
      <c r="K113" s="36">
        <v>0</v>
      </c>
      <c r="L113" s="37">
        <v>8</v>
      </c>
      <c r="M113" s="37">
        <v>0</v>
      </c>
      <c r="O113" s="36">
        <v>0</v>
      </c>
      <c r="Q113" s="58"/>
      <c r="R113" s="36"/>
      <c r="S113" s="36"/>
      <c r="T113" s="37"/>
      <c r="U113" s="59"/>
    </row>
    <row r="114" spans="1:21">
      <c r="A114" t="str">
        <v>L-S</v>
      </c>
      <c r="B114" s="59">
        <v>7.64</v>
      </c>
      <c r="C114" s="12">
        <v>3</v>
      </c>
      <c r="D114" s="49">
        <v>46120</v>
      </c>
      <c r="E114" s="57" t="str">
        <v>MEYLIN ALEJANDRA ZUÑIGA NUÑEZ</v>
      </c>
      <c r="F114" s="32">
        <v>8</v>
      </c>
      <c r="H114" s="36">
        <v>0</v>
      </c>
      <c r="I114" s="36">
        <v>0</v>
      </c>
      <c r="J114" s="36">
        <v>0</v>
      </c>
      <c r="K114" s="36">
        <v>0</v>
      </c>
      <c r="L114" s="37">
        <v>0</v>
      </c>
      <c r="M114" s="37">
        <v>0</v>
      </c>
      <c r="O114" s="36">
        <v>0</v>
      </c>
      <c r="Q114" s="58"/>
      <c r="R114" s="36"/>
      <c r="S114" s="36"/>
      <c r="T114" s="37"/>
      <c r="U114" s="59"/>
    </row>
    <row r="115" spans="1:21">
      <c r="A115" t="str">
        <v>L-S</v>
      </c>
      <c r="B115" s="59">
        <v>7.71</v>
      </c>
      <c r="C115" s="12">
        <v>3</v>
      </c>
      <c r="D115" s="49">
        <v>46120</v>
      </c>
      <c r="E115" s="57" t="str">
        <v>RAFAEL VEGA ALVAREZ</v>
      </c>
      <c r="F115" s="32">
        <v>8</v>
      </c>
      <c r="H115" s="36">
        <v>0</v>
      </c>
      <c r="I115" s="36">
        <v>0</v>
      </c>
      <c r="J115" s="36">
        <v>1.25</v>
      </c>
      <c r="K115" s="36">
        <v>0</v>
      </c>
      <c r="L115" s="37">
        <v>1.25</v>
      </c>
      <c r="M115" s="37">
        <v>0</v>
      </c>
      <c r="O115" s="36">
        <v>0</v>
      </c>
      <c r="Q115" s="58"/>
      <c r="R115" s="36"/>
      <c r="S115" s="36"/>
      <c r="T115" s="37"/>
      <c r="U115" s="59"/>
    </row>
    <row r="116" spans="1:21">
      <c r="A116" t="str">
        <v>L-S</v>
      </c>
      <c r="B116" s="59">
        <v>7.79</v>
      </c>
      <c r="C116" s="12">
        <v>3</v>
      </c>
      <c r="D116" s="49">
        <v>46120</v>
      </c>
      <c r="E116" s="57" t="str">
        <v>JOSE QUESADA SOLIS</v>
      </c>
      <c r="F116" s="32">
        <v>8</v>
      </c>
      <c r="H116" s="36">
        <v>0</v>
      </c>
      <c r="I116" s="36">
        <v>0</v>
      </c>
      <c r="J116" s="36">
        <v>0</v>
      </c>
      <c r="K116" s="36">
        <v>0</v>
      </c>
      <c r="L116" s="37">
        <v>0</v>
      </c>
      <c r="M116" s="37">
        <v>0</v>
      </c>
      <c r="O116" s="36">
        <v>0</v>
      </c>
      <c r="Q116" s="58"/>
      <c r="R116" s="36"/>
      <c r="S116" s="36"/>
      <c r="T116" s="37"/>
      <c r="U116" s="59"/>
    </row>
    <row r="117" spans="1:21">
      <c r="A117" t="str">
        <v>L-S</v>
      </c>
      <c r="B117" s="59">
        <v>7.86</v>
      </c>
      <c r="C117" s="12">
        <v>3</v>
      </c>
      <c r="D117" s="49">
        <v>46120</v>
      </c>
      <c r="E117" s="57" t="str">
        <v>MARIA FERNANDA ARAYA ARGUEDAS</v>
      </c>
      <c r="F117" s="32">
        <v>8</v>
      </c>
      <c r="H117" s="36">
        <v>0</v>
      </c>
      <c r="I117" s="36">
        <v>0</v>
      </c>
      <c r="J117" s="36">
        <v>0</v>
      </c>
      <c r="K117" s="36">
        <v>0</v>
      </c>
      <c r="L117" s="37">
        <v>0</v>
      </c>
      <c r="M117" s="37">
        <v>0</v>
      </c>
      <c r="O117" s="36">
        <v>0</v>
      </c>
      <c r="Q117" s="58"/>
      <c r="R117" s="36"/>
      <c r="S117" s="36"/>
      <c r="T117" s="37"/>
      <c r="U117" s="59"/>
    </row>
    <row r="118" spans="1:21">
      <c r="A118" t="str">
        <v>L-S</v>
      </c>
      <c r="B118" s="59">
        <v>7.93</v>
      </c>
      <c r="C118" s="12">
        <v>3</v>
      </c>
      <c r="D118" s="49">
        <v>46120</v>
      </c>
      <c r="E118" s="57" t="str">
        <v>ANDREY ALONSO PALACIOS ALVAREZ</v>
      </c>
      <c r="F118" s="32">
        <v>8</v>
      </c>
      <c r="H118" s="36">
        <v>0</v>
      </c>
      <c r="I118" s="36">
        <v>0</v>
      </c>
      <c r="J118" s="36">
        <v>0</v>
      </c>
      <c r="K118" s="36">
        <v>0</v>
      </c>
      <c r="L118" s="37">
        <v>0</v>
      </c>
      <c r="M118" s="37">
        <v>0</v>
      </c>
      <c r="O118" s="36">
        <v>0</v>
      </c>
      <c r="Q118" s="58"/>
      <c r="R118" s="36"/>
      <c r="S118" s="36"/>
      <c r="T118" s="37"/>
      <c r="U118" s="59"/>
    </row>
    <row r="119" spans="1:21">
      <c r="A119" t="str">
        <v>L-S</v>
      </c>
      <c r="B119" s="59">
        <v>8</v>
      </c>
      <c r="C119" s="12">
        <v>4</v>
      </c>
      <c r="D119" s="49">
        <v>46121</v>
      </c>
      <c r="E119" s="57" t="str">
        <v>ELIER CORTES BALTODANO</v>
      </c>
      <c r="F119" s="32">
        <v>8</v>
      </c>
      <c r="H119" s="36">
        <v>0</v>
      </c>
      <c r="I119" s="36">
        <v>0</v>
      </c>
      <c r="J119" s="36">
        <v>0.75</v>
      </c>
      <c r="K119" s="36">
        <v>0</v>
      </c>
      <c r="L119" s="37">
        <v>0.75</v>
      </c>
      <c r="M119" s="37">
        <v>0</v>
      </c>
      <c r="O119" s="36">
        <v>0</v>
      </c>
      <c r="Q119" s="58"/>
      <c r="R119" s="36"/>
      <c r="S119" s="36"/>
      <c r="T119" s="37"/>
      <c r="U119" s="59"/>
    </row>
    <row r="120" spans="1:21">
      <c r="A120" t="str">
        <v>L-S</v>
      </c>
      <c r="B120" s="59">
        <v>8.07</v>
      </c>
      <c r="C120" s="12">
        <v>4</v>
      </c>
      <c r="D120" s="49">
        <v>46121</v>
      </c>
      <c r="E120" s="57" t="str">
        <v>NEIL JOSE GARCIA VARGAS</v>
      </c>
      <c r="F120" s="32">
        <v>8</v>
      </c>
      <c r="H120" s="36">
        <v>0</v>
      </c>
      <c r="I120" s="36">
        <v>0</v>
      </c>
      <c r="J120" s="36">
        <v>0</v>
      </c>
      <c r="K120" s="36">
        <v>0</v>
      </c>
      <c r="L120" s="37">
        <v>0</v>
      </c>
      <c r="M120" s="37">
        <v>0</v>
      </c>
      <c r="O120" s="36">
        <v>0</v>
      </c>
      <c r="Q120" s="58"/>
      <c r="R120" s="36"/>
      <c r="S120" s="36"/>
      <c r="T120" s="37"/>
      <c r="U120" s="59"/>
    </row>
    <row r="121" spans="1:21">
      <c r="A121" t="str">
        <v>L-S</v>
      </c>
      <c r="B121" s="59">
        <v>8.14</v>
      </c>
      <c r="C121" s="12">
        <v>4</v>
      </c>
      <c r="D121" s="49">
        <v>46121</v>
      </c>
      <c r="E121" s="57" t="str">
        <v>JOSE DANIEL CHINCHILLA CERDAS</v>
      </c>
      <c r="F121" s="32">
        <v>8</v>
      </c>
      <c r="H121" s="36">
        <v>0</v>
      </c>
      <c r="I121" s="36">
        <v>0</v>
      </c>
      <c r="J121" s="36">
        <v>1.5</v>
      </c>
      <c r="K121" s="36">
        <v>0</v>
      </c>
      <c r="L121" s="37">
        <v>1.5</v>
      </c>
      <c r="M121" s="37">
        <v>0</v>
      </c>
      <c r="O121" s="36">
        <v>0</v>
      </c>
      <c r="Q121" s="58"/>
      <c r="R121" s="36"/>
      <c r="S121" s="36"/>
      <c r="T121" s="37"/>
      <c r="U121" s="59"/>
    </row>
    <row r="122" spans="1:21">
      <c r="A122" t="str">
        <v>L-S</v>
      </c>
      <c r="B122" s="59">
        <v>8.2100000000000009</v>
      </c>
      <c r="C122" s="12">
        <v>4</v>
      </c>
      <c r="D122" s="49">
        <v>46121</v>
      </c>
      <c r="E122" s="57" t="str">
        <v>MARIELA ARCE GARCIA</v>
      </c>
      <c r="F122" s="32">
        <v>8</v>
      </c>
      <c r="H122" s="36">
        <v>0</v>
      </c>
      <c r="I122" s="36">
        <v>0</v>
      </c>
      <c r="J122" s="36">
        <v>1.5</v>
      </c>
      <c r="K122" s="36">
        <v>0</v>
      </c>
      <c r="L122" s="37">
        <v>1.5</v>
      </c>
      <c r="M122" s="37">
        <v>0</v>
      </c>
      <c r="O122" s="36">
        <v>0</v>
      </c>
      <c r="Q122" s="58"/>
      <c r="R122" s="36"/>
      <c r="S122" s="36"/>
      <c r="T122" s="37"/>
      <c r="U122" s="59"/>
    </row>
    <row r="123" spans="1:21">
      <c r="A123" t="str">
        <v>L-S</v>
      </c>
      <c r="B123" s="59">
        <v>8.2899999999999991</v>
      </c>
      <c r="C123" s="12">
        <v>4</v>
      </c>
      <c r="D123" s="49">
        <v>46121</v>
      </c>
      <c r="E123" s="57" t="str">
        <v>ANTHONY ALVAREZ NAVARRO</v>
      </c>
      <c r="F123" s="32">
        <v>8</v>
      </c>
      <c r="H123" s="36">
        <v>0</v>
      </c>
      <c r="I123" s="36">
        <v>0</v>
      </c>
      <c r="J123" s="36">
        <v>0</v>
      </c>
      <c r="K123" s="36">
        <v>0</v>
      </c>
      <c r="L123" s="37">
        <v>0</v>
      </c>
      <c r="M123" s="37">
        <v>0</v>
      </c>
      <c r="O123" s="36">
        <v>0</v>
      </c>
      <c r="Q123" s="58"/>
      <c r="R123" s="36"/>
      <c r="S123" s="36"/>
      <c r="T123" s="37"/>
      <c r="U123" s="59"/>
    </row>
    <row r="124" spans="1:21">
      <c r="A124" t="str">
        <v>L-S</v>
      </c>
      <c r="B124" s="59">
        <v>8.36</v>
      </c>
      <c r="C124" s="12">
        <v>4</v>
      </c>
      <c r="D124" s="49">
        <v>46121</v>
      </c>
      <c r="E124" s="57" t="str">
        <v>CESAR MATARRITA MATARRITA</v>
      </c>
      <c r="F124" s="32">
        <v>8</v>
      </c>
      <c r="H124" s="36">
        <v>0</v>
      </c>
      <c r="I124" s="36">
        <v>0</v>
      </c>
      <c r="J124" s="36">
        <v>2</v>
      </c>
      <c r="K124" s="36">
        <v>0</v>
      </c>
      <c r="L124" s="37">
        <v>2</v>
      </c>
      <c r="M124" s="37">
        <v>0</v>
      </c>
      <c r="O124" s="36">
        <v>0</v>
      </c>
      <c r="Q124" s="58"/>
      <c r="R124" s="36"/>
      <c r="S124" s="36"/>
      <c r="T124" s="37"/>
      <c r="U124" s="59"/>
    </row>
    <row r="125" spans="1:21">
      <c r="A125" t="str">
        <v>L-S</v>
      </c>
      <c r="B125" s="59">
        <v>8.43</v>
      </c>
      <c r="C125" s="12">
        <v>4</v>
      </c>
      <c r="D125" s="49">
        <v>46121</v>
      </c>
      <c r="E125" s="57" t="str">
        <v>GERARDO BOLIVAR VARGAS FERNANDEZ</v>
      </c>
      <c r="F125" s="32">
        <v>8</v>
      </c>
      <c r="H125" s="36">
        <v>0</v>
      </c>
      <c r="I125" s="36">
        <v>0</v>
      </c>
      <c r="J125" s="36">
        <v>0.5</v>
      </c>
      <c r="K125" s="36">
        <v>0</v>
      </c>
      <c r="L125" s="37">
        <v>0.5</v>
      </c>
      <c r="M125" s="37">
        <v>0</v>
      </c>
      <c r="O125" s="36">
        <v>0</v>
      </c>
      <c r="Q125" s="58"/>
      <c r="R125" s="36"/>
      <c r="S125" s="36"/>
      <c r="T125" s="37"/>
      <c r="U125" s="59"/>
    </row>
    <row r="126" spans="1:21">
      <c r="A126" t="str">
        <v>L-S</v>
      </c>
      <c r="B126" s="59">
        <v>8.5</v>
      </c>
      <c r="C126" s="12">
        <v>4</v>
      </c>
      <c r="D126" s="49">
        <v>46121</v>
      </c>
      <c r="E126" s="57" t="str">
        <v>LAURA REBECA CORDOBA FERNANDEZ</v>
      </c>
      <c r="F126" s="32">
        <v>8</v>
      </c>
      <c r="H126" s="36">
        <v>0</v>
      </c>
      <c r="I126" s="36">
        <v>0</v>
      </c>
      <c r="J126" s="36">
        <v>3</v>
      </c>
      <c r="K126" s="36">
        <v>0</v>
      </c>
      <c r="L126" s="37">
        <v>3</v>
      </c>
      <c r="M126" s="37">
        <v>0</v>
      </c>
      <c r="O126" s="36">
        <v>0</v>
      </c>
      <c r="Q126" s="58"/>
      <c r="R126" s="36"/>
      <c r="S126" s="36"/>
      <c r="T126" s="37"/>
      <c r="U126" s="59"/>
    </row>
    <row r="127" spans="1:21">
      <c r="A127" t="str">
        <v>L-S</v>
      </c>
      <c r="B127" s="59">
        <v>8.57</v>
      </c>
      <c r="C127" s="12">
        <v>4</v>
      </c>
      <c r="D127" s="49">
        <v>46121</v>
      </c>
      <c r="E127" s="57" t="str">
        <v>VICTOR CHAVES MONTERO</v>
      </c>
      <c r="F127" s="32">
        <v>8</v>
      </c>
      <c r="H127" s="36">
        <v>0</v>
      </c>
      <c r="I127" s="36">
        <v>0</v>
      </c>
      <c r="J127" s="36">
        <v>8</v>
      </c>
      <c r="K127" s="36">
        <v>0</v>
      </c>
      <c r="L127" s="37">
        <v>8</v>
      </c>
      <c r="M127" s="37">
        <v>0</v>
      </c>
      <c r="O127" s="36">
        <v>0</v>
      </c>
      <c r="Q127" s="58"/>
      <c r="R127" s="36"/>
      <c r="S127" s="36"/>
      <c r="T127" s="37"/>
      <c r="U127" s="59"/>
    </row>
    <row r="128" spans="1:21">
      <c r="A128" t="str">
        <v>L-S</v>
      </c>
      <c r="B128" s="59">
        <v>8.64</v>
      </c>
      <c r="C128" s="12">
        <v>4</v>
      </c>
      <c r="D128" s="49">
        <v>46121</v>
      </c>
      <c r="E128" s="57" t="str">
        <v>MEYLIN ALEJANDRA ZUÑIGA NUÑEZ</v>
      </c>
      <c r="F128" s="32">
        <v>8</v>
      </c>
      <c r="H128" s="36">
        <v>0</v>
      </c>
      <c r="I128" s="36">
        <v>0</v>
      </c>
      <c r="J128" s="36">
        <v>0</v>
      </c>
      <c r="K128" s="36">
        <v>0</v>
      </c>
      <c r="L128" s="37">
        <v>0</v>
      </c>
      <c r="M128" s="37">
        <v>0</v>
      </c>
      <c r="O128" s="36">
        <v>0</v>
      </c>
      <c r="Q128" s="58"/>
      <c r="R128" s="36"/>
      <c r="S128" s="36"/>
      <c r="T128" s="37"/>
      <c r="U128" s="59"/>
    </row>
    <row r="129" spans="1:21">
      <c r="A129" t="str">
        <v>L-S</v>
      </c>
      <c r="B129" s="59">
        <v>8.7100000000000009</v>
      </c>
      <c r="C129" s="12">
        <v>4</v>
      </c>
      <c r="D129" s="49">
        <v>46121</v>
      </c>
      <c r="E129" s="57" t="str">
        <v>RAFAEL VEGA ALVAREZ</v>
      </c>
      <c r="F129" s="32">
        <v>8</v>
      </c>
      <c r="H129" s="36">
        <v>0</v>
      </c>
      <c r="I129" s="36">
        <v>0</v>
      </c>
      <c r="J129" s="36">
        <v>1</v>
      </c>
      <c r="K129" s="36">
        <v>0</v>
      </c>
      <c r="L129" s="37">
        <v>1</v>
      </c>
      <c r="M129" s="37">
        <v>0</v>
      </c>
      <c r="O129" s="36">
        <v>0</v>
      </c>
      <c r="Q129" s="58"/>
      <c r="R129" s="36"/>
      <c r="S129" s="36"/>
      <c r="T129" s="37"/>
      <c r="U129" s="59"/>
    </row>
    <row r="130" spans="1:21">
      <c r="A130" t="str">
        <v>L-S</v>
      </c>
      <c r="B130" s="59">
        <v>8.7899999999999991</v>
      </c>
      <c r="C130" s="12">
        <v>4</v>
      </c>
      <c r="D130" s="49">
        <v>46121</v>
      </c>
      <c r="E130" s="57" t="str">
        <v>JOSE QUESADA SOLIS</v>
      </c>
      <c r="F130" s="32">
        <v>8</v>
      </c>
      <c r="H130" s="36">
        <v>0</v>
      </c>
      <c r="I130" s="36">
        <v>0</v>
      </c>
      <c r="J130" s="36">
        <v>0</v>
      </c>
      <c r="K130" s="36">
        <v>0</v>
      </c>
      <c r="L130" s="37">
        <v>0</v>
      </c>
      <c r="M130" s="37">
        <v>0</v>
      </c>
      <c r="O130" s="36">
        <v>0</v>
      </c>
      <c r="Q130" s="58"/>
      <c r="R130" s="36"/>
      <c r="S130" s="36"/>
      <c r="T130" s="37"/>
      <c r="U130" s="59"/>
    </row>
    <row r="131" spans="1:21">
      <c r="A131" t="str">
        <v>L-S</v>
      </c>
      <c r="B131" s="59">
        <v>8.86</v>
      </c>
      <c r="C131" s="12">
        <v>4</v>
      </c>
      <c r="D131" s="49">
        <v>46121</v>
      </c>
      <c r="E131" s="57" t="str">
        <v>MARIA FERNANDA ARAYA ARGUEDAS</v>
      </c>
      <c r="F131" s="32">
        <v>8</v>
      </c>
      <c r="H131" s="36">
        <v>0</v>
      </c>
      <c r="I131" s="36">
        <v>0</v>
      </c>
      <c r="J131" s="36">
        <v>0</v>
      </c>
      <c r="K131" s="36">
        <v>0</v>
      </c>
      <c r="L131" s="37">
        <v>0</v>
      </c>
      <c r="M131" s="37">
        <v>0</v>
      </c>
      <c r="O131" s="36">
        <v>0</v>
      </c>
      <c r="Q131" s="58"/>
      <c r="R131" s="36"/>
      <c r="S131" s="36"/>
      <c r="T131" s="37"/>
      <c r="U131" s="59"/>
    </row>
    <row r="132" spans="1:21">
      <c r="A132" t="str">
        <v>L-S</v>
      </c>
      <c r="B132" s="59">
        <v>8.93</v>
      </c>
      <c r="C132" s="12">
        <v>4</v>
      </c>
      <c r="D132" s="49">
        <v>46121</v>
      </c>
      <c r="E132" s="57" t="str">
        <v>ANDREY ALONSO PALACIOS ALVAREZ</v>
      </c>
      <c r="F132" s="32">
        <v>8</v>
      </c>
      <c r="H132" s="36">
        <v>0</v>
      </c>
      <c r="I132" s="36">
        <v>0</v>
      </c>
      <c r="J132" s="36">
        <v>0</v>
      </c>
      <c r="K132" s="36">
        <v>0</v>
      </c>
      <c r="L132" s="37">
        <v>0</v>
      </c>
      <c r="M132" s="37">
        <v>0</v>
      </c>
      <c r="O132" s="36">
        <v>0</v>
      </c>
      <c r="Q132" s="58"/>
      <c r="R132" s="36"/>
      <c r="S132" s="36"/>
      <c r="T132" s="37"/>
      <c r="U132" s="59"/>
    </row>
    <row r="133" spans="1:21">
      <c r="A133" t="str">
        <v>L-S</v>
      </c>
      <c r="B133" s="59">
        <v>9</v>
      </c>
      <c r="C133" s="12">
        <v>5</v>
      </c>
      <c r="D133" s="49">
        <v>46122</v>
      </c>
      <c r="E133" s="57" t="str">
        <v>ELIER CORTES BALTODANO</v>
      </c>
      <c r="F133" s="32">
        <v>8</v>
      </c>
      <c r="H133" s="36">
        <v>0</v>
      </c>
      <c r="I133" s="36">
        <v>0</v>
      </c>
      <c r="J133" s="36">
        <v>0</v>
      </c>
      <c r="K133" s="36">
        <v>0</v>
      </c>
      <c r="L133" s="37">
        <v>0</v>
      </c>
      <c r="M133" s="37">
        <v>0</v>
      </c>
      <c r="O133" s="36">
        <v>0</v>
      </c>
      <c r="Q133" s="58"/>
      <c r="R133" s="36"/>
      <c r="S133" s="36"/>
      <c r="T133" s="37"/>
      <c r="U133" s="59"/>
    </row>
    <row r="134" spans="1:21">
      <c r="A134" t="str">
        <v>L-S</v>
      </c>
      <c r="B134" s="59">
        <v>9.07</v>
      </c>
      <c r="C134" s="12">
        <v>5</v>
      </c>
      <c r="D134" s="49">
        <v>46122</v>
      </c>
      <c r="E134" s="57" t="str">
        <v>NEIL JOSE GARCIA VARGAS</v>
      </c>
      <c r="F134" s="32">
        <v>8</v>
      </c>
      <c r="H134" s="36">
        <v>0</v>
      </c>
      <c r="I134" s="36">
        <v>0</v>
      </c>
      <c r="J134" s="36">
        <v>0</v>
      </c>
      <c r="K134" s="36">
        <v>0</v>
      </c>
      <c r="L134" s="37">
        <v>0</v>
      </c>
      <c r="M134" s="37">
        <v>0</v>
      </c>
      <c r="O134" s="36">
        <v>0</v>
      </c>
      <c r="Q134" s="58"/>
      <c r="R134" s="36"/>
      <c r="S134" s="36"/>
      <c r="T134" s="37"/>
      <c r="U134" s="59"/>
    </row>
    <row r="135" spans="1:21">
      <c r="A135" t="str">
        <v>L-S</v>
      </c>
      <c r="B135" s="59">
        <v>9.14</v>
      </c>
      <c r="C135" s="12">
        <v>5</v>
      </c>
      <c r="D135" s="49">
        <v>46122</v>
      </c>
      <c r="E135" s="57" t="str">
        <v>JOSE DANIEL CHINCHILLA CERDAS</v>
      </c>
      <c r="F135" s="32">
        <v>8</v>
      </c>
      <c r="H135" s="36">
        <v>0</v>
      </c>
      <c r="I135" s="36">
        <v>0</v>
      </c>
      <c r="J135" s="36">
        <v>0</v>
      </c>
      <c r="K135" s="36">
        <v>0</v>
      </c>
      <c r="L135" s="37">
        <v>0</v>
      </c>
      <c r="M135" s="37">
        <v>0</v>
      </c>
      <c r="O135" s="36">
        <v>0</v>
      </c>
      <c r="Q135" s="58"/>
      <c r="R135" s="36"/>
      <c r="S135" s="36"/>
      <c r="T135" s="37"/>
      <c r="U135" s="59"/>
    </row>
    <row r="136" spans="1:21">
      <c r="A136" t="str">
        <v>L-S</v>
      </c>
      <c r="B136" s="59">
        <v>9.2100000000000009</v>
      </c>
      <c r="C136" s="12">
        <v>5</v>
      </c>
      <c r="D136" s="49">
        <v>46122</v>
      </c>
      <c r="E136" s="57" t="str">
        <v>MARIELA ARCE GARCIA</v>
      </c>
      <c r="F136" s="32">
        <v>8</v>
      </c>
      <c r="H136" s="36">
        <v>0</v>
      </c>
      <c r="I136" s="36">
        <v>0</v>
      </c>
      <c r="J136" s="36">
        <v>0.5</v>
      </c>
      <c r="K136" s="36">
        <v>0</v>
      </c>
      <c r="L136" s="37">
        <v>0.5</v>
      </c>
      <c r="M136" s="37">
        <v>0</v>
      </c>
      <c r="O136" s="36">
        <v>0</v>
      </c>
      <c r="Q136" s="58"/>
      <c r="R136" s="36"/>
      <c r="S136" s="36"/>
      <c r="T136" s="37"/>
      <c r="U136" s="59"/>
    </row>
    <row r="137" spans="1:21">
      <c r="A137" t="str">
        <v>L-S</v>
      </c>
      <c r="B137" s="59">
        <v>9.2899999999999991</v>
      </c>
      <c r="C137" s="12">
        <v>5</v>
      </c>
      <c r="D137" s="49">
        <v>46122</v>
      </c>
      <c r="E137" s="57" t="str">
        <v>ANTHONY ALVAREZ NAVARRO</v>
      </c>
      <c r="F137" s="32">
        <v>8</v>
      </c>
      <c r="H137" s="36">
        <v>0</v>
      </c>
      <c r="I137" s="36">
        <v>0</v>
      </c>
      <c r="J137" s="36">
        <v>1</v>
      </c>
      <c r="K137" s="36">
        <v>0</v>
      </c>
      <c r="L137" s="37">
        <v>1</v>
      </c>
      <c r="M137" s="37">
        <v>0</v>
      </c>
      <c r="O137" s="36">
        <v>0</v>
      </c>
      <c r="Q137" s="58"/>
      <c r="R137" s="36"/>
      <c r="S137" s="36"/>
      <c r="T137" s="37"/>
      <c r="U137" s="59"/>
    </row>
    <row r="138" spans="1:21">
      <c r="A138" t="str">
        <v>L-S</v>
      </c>
      <c r="B138" s="59">
        <v>9.36</v>
      </c>
      <c r="C138" s="12">
        <v>5</v>
      </c>
      <c r="D138" s="49">
        <v>46122</v>
      </c>
      <c r="E138" s="57" t="str">
        <v>CESAR MATARRITA MATARRITA</v>
      </c>
      <c r="F138" s="32">
        <v>8</v>
      </c>
      <c r="H138" s="36">
        <v>0</v>
      </c>
      <c r="I138" s="36">
        <v>0</v>
      </c>
      <c r="J138" s="36">
        <v>2.5</v>
      </c>
      <c r="K138" s="36">
        <v>0</v>
      </c>
      <c r="L138" s="37">
        <v>2.5</v>
      </c>
      <c r="M138" s="37">
        <v>0</v>
      </c>
      <c r="O138" s="36">
        <v>0</v>
      </c>
      <c r="Q138" s="58"/>
      <c r="R138" s="36"/>
      <c r="S138" s="36"/>
      <c r="T138" s="37"/>
      <c r="U138" s="59"/>
    </row>
    <row r="139" spans="1:21">
      <c r="A139" t="str">
        <v>L-S</v>
      </c>
      <c r="B139" s="59">
        <v>9.43</v>
      </c>
      <c r="C139" s="12">
        <v>5</v>
      </c>
      <c r="D139" s="49">
        <v>46122</v>
      </c>
      <c r="E139" s="57" t="str">
        <v>GERARDO BOLIVAR VARGAS FERNANDEZ</v>
      </c>
      <c r="F139" s="32">
        <v>8</v>
      </c>
      <c r="H139" s="36">
        <v>0</v>
      </c>
      <c r="I139" s="36">
        <v>0</v>
      </c>
      <c r="J139" s="36">
        <v>0</v>
      </c>
      <c r="K139" s="36">
        <v>0</v>
      </c>
      <c r="L139" s="37">
        <v>0</v>
      </c>
      <c r="M139" s="37">
        <v>0</v>
      </c>
      <c r="O139" s="36">
        <v>0</v>
      </c>
      <c r="Q139" s="58"/>
      <c r="R139" s="36"/>
      <c r="S139" s="36"/>
      <c r="T139" s="37"/>
      <c r="U139" s="59"/>
    </row>
    <row r="140" spans="1:21">
      <c r="A140" t="str">
        <v>L-S</v>
      </c>
      <c r="B140" s="59">
        <v>9.5</v>
      </c>
      <c r="C140" s="12">
        <v>5</v>
      </c>
      <c r="D140" s="49">
        <v>46122</v>
      </c>
      <c r="E140" s="57" t="str">
        <v>LAURA REBECA CORDOBA FERNANDEZ</v>
      </c>
      <c r="F140" s="32">
        <v>8</v>
      </c>
      <c r="H140" s="36">
        <v>0</v>
      </c>
      <c r="I140" s="36">
        <v>0</v>
      </c>
      <c r="J140" s="36">
        <v>0</v>
      </c>
      <c r="K140" s="36">
        <v>0</v>
      </c>
      <c r="L140" s="37">
        <v>0</v>
      </c>
      <c r="M140" s="37">
        <v>0</v>
      </c>
      <c r="O140" s="36">
        <v>0</v>
      </c>
      <c r="Q140" s="58"/>
      <c r="R140" s="36"/>
      <c r="S140" s="36"/>
      <c r="T140" s="37"/>
      <c r="U140" s="59"/>
    </row>
    <row r="141" spans="1:21">
      <c r="A141" t="str">
        <v>L-S</v>
      </c>
      <c r="B141" s="59">
        <v>9.57</v>
      </c>
      <c r="C141" s="12">
        <v>5</v>
      </c>
      <c r="D141" s="49">
        <v>46122</v>
      </c>
      <c r="E141" s="57" t="str">
        <v>VICTOR CHAVES MONTERO</v>
      </c>
      <c r="F141" s="32">
        <v>8</v>
      </c>
      <c r="H141" s="36">
        <v>0</v>
      </c>
      <c r="I141" s="36">
        <v>0</v>
      </c>
      <c r="J141" s="36">
        <v>8</v>
      </c>
      <c r="K141" s="36">
        <v>0</v>
      </c>
      <c r="L141" s="37">
        <v>8</v>
      </c>
      <c r="M141" s="37">
        <v>0</v>
      </c>
      <c r="O141" s="36">
        <v>0</v>
      </c>
      <c r="Q141" s="58"/>
      <c r="R141" s="36"/>
      <c r="S141" s="36"/>
      <c r="T141" s="37"/>
      <c r="U141" s="59"/>
    </row>
    <row r="142" spans="1:21">
      <c r="A142" t="str">
        <v>L-S</v>
      </c>
      <c r="B142" s="59">
        <v>9.64</v>
      </c>
      <c r="C142" s="12">
        <v>5</v>
      </c>
      <c r="D142" s="49">
        <v>46122</v>
      </c>
      <c r="E142" s="57" t="str">
        <v>MEYLIN ALEJANDRA ZUÑIGA NUÑEZ</v>
      </c>
      <c r="F142" s="32">
        <v>8</v>
      </c>
      <c r="H142" s="36">
        <v>0</v>
      </c>
      <c r="I142" s="36">
        <v>0</v>
      </c>
      <c r="J142" s="36">
        <v>0</v>
      </c>
      <c r="K142" s="36">
        <v>0</v>
      </c>
      <c r="L142" s="37">
        <v>0</v>
      </c>
      <c r="M142" s="37">
        <v>0</v>
      </c>
      <c r="O142" s="36">
        <v>0</v>
      </c>
      <c r="Q142" s="58"/>
      <c r="R142" s="36"/>
      <c r="S142" s="36"/>
      <c r="T142" s="37"/>
      <c r="U142" s="59"/>
    </row>
    <row r="143" spans="1:21">
      <c r="A143" t="str">
        <v>L-S</v>
      </c>
      <c r="B143" s="59">
        <v>9.7100000000000009</v>
      </c>
      <c r="C143" s="12">
        <v>5</v>
      </c>
      <c r="D143" s="49">
        <v>46122</v>
      </c>
      <c r="E143" s="57" t="str">
        <v>RAFAEL VEGA ALVAREZ</v>
      </c>
      <c r="F143" s="32">
        <v>8</v>
      </c>
      <c r="H143" s="36">
        <v>0</v>
      </c>
      <c r="I143" s="36">
        <v>0</v>
      </c>
      <c r="J143" s="36">
        <v>1.25</v>
      </c>
      <c r="K143" s="36">
        <v>0</v>
      </c>
      <c r="L143" s="37">
        <v>1.25</v>
      </c>
      <c r="M143" s="37">
        <v>0</v>
      </c>
      <c r="O143" s="36">
        <v>0</v>
      </c>
      <c r="Q143" s="58"/>
      <c r="R143" s="36"/>
      <c r="S143" s="36"/>
      <c r="T143" s="37"/>
      <c r="U143" s="59"/>
    </row>
    <row r="144" spans="1:21">
      <c r="A144" t="str">
        <v>L-S</v>
      </c>
      <c r="B144" s="59">
        <v>9.7899999999999991</v>
      </c>
      <c r="C144" s="12">
        <v>5</v>
      </c>
      <c r="D144" s="49">
        <v>46122</v>
      </c>
      <c r="E144" s="57" t="str">
        <v>JOSE QUESADA SOLIS</v>
      </c>
      <c r="F144" s="32">
        <v>8</v>
      </c>
      <c r="H144" s="36">
        <v>0</v>
      </c>
      <c r="I144" s="36">
        <v>0</v>
      </c>
      <c r="J144" s="36">
        <v>0</v>
      </c>
      <c r="K144" s="36">
        <v>0</v>
      </c>
      <c r="L144" s="37">
        <v>0</v>
      </c>
      <c r="M144" s="37">
        <v>0</v>
      </c>
      <c r="O144" s="36">
        <v>0</v>
      </c>
      <c r="Q144" s="58"/>
      <c r="R144" s="36"/>
      <c r="S144" s="36"/>
      <c r="T144" s="37"/>
      <c r="U144" s="59"/>
    </row>
    <row r="145" spans="1:21">
      <c r="A145" t="str">
        <v>L-S</v>
      </c>
      <c r="B145" s="59">
        <v>9.86</v>
      </c>
      <c r="C145" s="12">
        <v>5</v>
      </c>
      <c r="D145" s="49">
        <v>46122</v>
      </c>
      <c r="E145" s="57" t="str">
        <v>MARIA FERNANDA ARAYA ARGUEDAS</v>
      </c>
      <c r="F145" s="32">
        <v>8</v>
      </c>
      <c r="H145" s="36">
        <v>0</v>
      </c>
      <c r="I145" s="36">
        <v>0</v>
      </c>
      <c r="J145" s="36">
        <v>0</v>
      </c>
      <c r="K145" s="36">
        <v>0</v>
      </c>
      <c r="L145" s="37">
        <v>0</v>
      </c>
      <c r="M145" s="37">
        <v>0</v>
      </c>
      <c r="O145" s="36">
        <v>0</v>
      </c>
      <c r="Q145" s="58"/>
      <c r="R145" s="36"/>
      <c r="S145" s="36"/>
      <c r="T145" s="37"/>
      <c r="U145" s="59"/>
    </row>
    <row r="146" spans="1:21">
      <c r="A146" t="str">
        <v>L-S</v>
      </c>
      <c r="B146" s="59">
        <v>9.93</v>
      </c>
      <c r="C146" s="12">
        <v>5</v>
      </c>
      <c r="D146" s="49">
        <v>46122</v>
      </c>
      <c r="E146" s="57" t="str">
        <v>ANDREY ALONSO PALACIOS ALVAREZ</v>
      </c>
      <c r="F146" s="32">
        <v>8</v>
      </c>
      <c r="H146" s="36">
        <v>0</v>
      </c>
      <c r="I146" s="36">
        <v>0</v>
      </c>
      <c r="J146" s="36">
        <v>0</v>
      </c>
      <c r="K146" s="36">
        <v>0</v>
      </c>
      <c r="L146" s="37">
        <v>0</v>
      </c>
      <c r="M146" s="37">
        <v>0</v>
      </c>
      <c r="O146" s="36">
        <v>0</v>
      </c>
      <c r="Q146" s="58"/>
      <c r="R146" s="36"/>
      <c r="S146" s="36"/>
      <c r="T146" s="37"/>
      <c r="U146" s="59"/>
    </row>
    <row r="147" spans="1:21">
      <c r="A147" t="str">
        <v>L-S</v>
      </c>
      <c r="B147" s="59">
        <v>10</v>
      </c>
      <c r="C147" s="12">
        <v>6</v>
      </c>
      <c r="D147" s="49">
        <v>46123</v>
      </c>
      <c r="E147" s="57" t="str">
        <v>ELIER CORTES BALTODANO</v>
      </c>
      <c r="F147" s="32">
        <v>0</v>
      </c>
      <c r="H147" s="36">
        <v>0</v>
      </c>
      <c r="I147" s="36">
        <v>0</v>
      </c>
      <c r="J147" s="36">
        <v>0</v>
      </c>
      <c r="K147" s="36">
        <v>0</v>
      </c>
      <c r="L147" s="37">
        <v>0</v>
      </c>
      <c r="M147" s="37">
        <v>0</v>
      </c>
      <c r="O147" s="36">
        <v>0</v>
      </c>
      <c r="Q147" s="58"/>
      <c r="R147" s="36"/>
      <c r="S147" s="36"/>
      <c r="T147" s="37"/>
      <c r="U147" s="59"/>
    </row>
    <row r="148" spans="1:21">
      <c r="A148" t="str">
        <v>L-S</v>
      </c>
      <c r="B148" s="59">
        <v>10.07</v>
      </c>
      <c r="C148" s="12">
        <v>6</v>
      </c>
      <c r="D148" s="49">
        <v>46123</v>
      </c>
      <c r="E148" s="57" t="str">
        <v>NEIL JOSE GARCIA VARGAS</v>
      </c>
      <c r="F148" s="32">
        <v>0</v>
      </c>
      <c r="H148" s="36">
        <v>0</v>
      </c>
      <c r="I148" s="36">
        <v>0</v>
      </c>
      <c r="J148" s="36">
        <v>0</v>
      </c>
      <c r="K148" s="36">
        <v>0</v>
      </c>
      <c r="L148" s="37">
        <v>0</v>
      </c>
      <c r="M148" s="37">
        <v>0</v>
      </c>
      <c r="O148" s="36">
        <v>0</v>
      </c>
      <c r="Q148" s="58"/>
      <c r="R148" s="36"/>
      <c r="S148" s="36"/>
      <c r="T148" s="37"/>
      <c r="U148" s="59"/>
    </row>
    <row r="149" spans="1:21">
      <c r="A149" t="str">
        <v>L-S</v>
      </c>
      <c r="B149" s="59">
        <v>10.14</v>
      </c>
      <c r="C149" s="12">
        <v>6</v>
      </c>
      <c r="D149" s="49">
        <v>46123</v>
      </c>
      <c r="E149" s="57" t="str">
        <v>JOSE DANIEL CHINCHILLA CERDAS</v>
      </c>
      <c r="F149" s="32">
        <v>0</v>
      </c>
      <c r="H149" s="36">
        <v>0</v>
      </c>
      <c r="I149" s="36">
        <v>0</v>
      </c>
      <c r="J149" s="36">
        <v>0</v>
      </c>
      <c r="K149" s="36">
        <v>0</v>
      </c>
      <c r="L149" s="37">
        <v>0</v>
      </c>
      <c r="M149" s="37">
        <v>0</v>
      </c>
      <c r="O149" s="36">
        <v>0</v>
      </c>
      <c r="Q149" s="58"/>
      <c r="R149" s="36"/>
      <c r="S149" s="36"/>
      <c r="T149" s="37"/>
      <c r="U149" s="59"/>
    </row>
    <row r="150" spans="1:21">
      <c r="A150" t="str">
        <v>L-S</v>
      </c>
      <c r="B150" s="59">
        <v>10.210000000000001</v>
      </c>
      <c r="C150" s="12">
        <v>6</v>
      </c>
      <c r="D150" s="49">
        <v>46123</v>
      </c>
      <c r="E150" s="57" t="str">
        <v>MARIELA ARCE GARCIA</v>
      </c>
      <c r="F150" s="32">
        <v>0</v>
      </c>
      <c r="H150" s="36">
        <v>0</v>
      </c>
      <c r="I150" s="36">
        <v>0</v>
      </c>
      <c r="J150" s="36">
        <v>0</v>
      </c>
      <c r="K150" s="36">
        <v>0</v>
      </c>
      <c r="L150" s="37">
        <v>0</v>
      </c>
      <c r="M150" s="37">
        <v>0</v>
      </c>
      <c r="O150" s="36">
        <v>0</v>
      </c>
      <c r="Q150" s="58"/>
      <c r="R150" s="36"/>
      <c r="S150" s="36"/>
      <c r="T150" s="37"/>
      <c r="U150" s="59"/>
    </row>
    <row r="151" spans="1:21">
      <c r="A151" t="str">
        <v>L-S</v>
      </c>
      <c r="B151" s="59">
        <v>10.29</v>
      </c>
      <c r="C151" s="12">
        <v>6</v>
      </c>
      <c r="D151" s="49">
        <v>46123</v>
      </c>
      <c r="E151" s="57" t="str">
        <v>ANTHONY ALVAREZ NAVARRO</v>
      </c>
      <c r="F151" s="32">
        <v>0</v>
      </c>
      <c r="H151" s="36">
        <v>0</v>
      </c>
      <c r="I151" s="36">
        <v>0</v>
      </c>
      <c r="J151" s="36">
        <v>0</v>
      </c>
      <c r="K151" s="36">
        <v>0</v>
      </c>
      <c r="L151" s="37">
        <v>0</v>
      </c>
      <c r="M151" s="37">
        <v>0</v>
      </c>
      <c r="O151" s="36">
        <v>0</v>
      </c>
      <c r="Q151" s="58"/>
      <c r="R151" s="36"/>
      <c r="S151" s="36"/>
      <c r="T151" s="37"/>
      <c r="U151" s="59"/>
    </row>
    <row r="152" spans="1:21">
      <c r="A152" t="str">
        <v>L-S</v>
      </c>
      <c r="B152" s="59">
        <v>10.36</v>
      </c>
      <c r="C152" s="12">
        <v>6</v>
      </c>
      <c r="D152" s="49">
        <v>46123</v>
      </c>
      <c r="E152" s="57" t="str">
        <v>CESAR MATARRITA MATARRITA</v>
      </c>
      <c r="F152" s="32">
        <v>0</v>
      </c>
      <c r="H152" s="36">
        <v>0</v>
      </c>
      <c r="I152" s="36">
        <v>0</v>
      </c>
      <c r="J152" s="36">
        <v>0</v>
      </c>
      <c r="K152" s="36">
        <v>0</v>
      </c>
      <c r="L152" s="37">
        <v>0</v>
      </c>
      <c r="M152" s="37">
        <v>0</v>
      </c>
      <c r="O152" s="36">
        <v>0</v>
      </c>
      <c r="Q152" s="58"/>
      <c r="R152" s="36"/>
      <c r="S152" s="36"/>
      <c r="T152" s="37"/>
    </row>
    <row r="153" spans="1:21">
      <c r="A153" t="str">
        <v>L-S</v>
      </c>
      <c r="B153" s="59">
        <v>10.43</v>
      </c>
      <c r="C153" s="12">
        <v>6</v>
      </c>
      <c r="D153" s="49">
        <v>46123</v>
      </c>
      <c r="E153" s="57" t="str">
        <v>GERARDO BOLIVAR VARGAS FERNANDEZ</v>
      </c>
      <c r="F153" s="32">
        <v>0</v>
      </c>
      <c r="H153" s="36">
        <v>0</v>
      </c>
      <c r="I153" s="36">
        <v>0</v>
      </c>
      <c r="J153" s="36">
        <v>0</v>
      </c>
      <c r="K153" s="36">
        <v>0</v>
      </c>
      <c r="L153" s="37">
        <v>0</v>
      </c>
      <c r="M153" s="37">
        <v>0</v>
      </c>
      <c r="O153" s="36">
        <v>0</v>
      </c>
      <c r="Q153" s="58"/>
      <c r="R153" s="36"/>
      <c r="S153" s="36"/>
      <c r="T153" s="37"/>
    </row>
    <row r="154" spans="1:21">
      <c r="A154" t="str">
        <v>L-S</v>
      </c>
      <c r="B154" s="59">
        <v>10.5</v>
      </c>
      <c r="C154" s="12">
        <v>6</v>
      </c>
      <c r="D154" s="49">
        <v>46123</v>
      </c>
      <c r="E154" s="57" t="str">
        <v>LAURA REBECA CORDOBA FERNANDEZ</v>
      </c>
      <c r="F154" s="32">
        <v>0</v>
      </c>
      <c r="H154" s="36">
        <v>0</v>
      </c>
      <c r="I154" s="36">
        <v>0</v>
      </c>
      <c r="J154" s="36">
        <v>0</v>
      </c>
      <c r="K154" s="36">
        <v>0</v>
      </c>
      <c r="L154" s="37">
        <v>0</v>
      </c>
      <c r="M154" s="37">
        <v>0</v>
      </c>
      <c r="O154" s="36">
        <v>0</v>
      </c>
      <c r="Q154" s="58"/>
      <c r="R154" s="36"/>
      <c r="S154" s="36"/>
      <c r="T154" s="37"/>
    </row>
    <row r="155" spans="1:21">
      <c r="A155" t="str">
        <v>L-S</v>
      </c>
      <c r="B155" s="59">
        <v>10.57</v>
      </c>
      <c r="C155" s="12">
        <v>6</v>
      </c>
      <c r="D155" s="49">
        <v>46123</v>
      </c>
      <c r="E155" s="57" t="str">
        <v>VICTOR CHAVES MONTERO</v>
      </c>
      <c r="F155" s="32">
        <v>0</v>
      </c>
      <c r="H155" s="36">
        <v>0</v>
      </c>
      <c r="I155" s="36">
        <v>0</v>
      </c>
      <c r="J155" s="36">
        <v>0</v>
      </c>
      <c r="K155" s="36">
        <v>0</v>
      </c>
      <c r="L155" s="37">
        <v>0</v>
      </c>
      <c r="M155" s="37">
        <v>0</v>
      </c>
      <c r="O155" s="36">
        <v>0</v>
      </c>
      <c r="Q155" s="58"/>
      <c r="R155" s="36"/>
      <c r="S155" s="36"/>
      <c r="T155" s="37"/>
    </row>
    <row r="156" spans="1:21">
      <c r="A156" t="str">
        <v>L-S</v>
      </c>
      <c r="B156" s="59">
        <v>10.64</v>
      </c>
      <c r="C156" s="12">
        <v>6</v>
      </c>
      <c r="D156" s="49">
        <v>46123</v>
      </c>
      <c r="E156" s="57" t="str">
        <v>MEYLIN ALEJANDRA ZUÑIGA NUÑEZ</v>
      </c>
      <c r="F156" s="32">
        <v>0</v>
      </c>
      <c r="H156" s="36">
        <v>0</v>
      </c>
      <c r="I156" s="36">
        <v>0</v>
      </c>
      <c r="J156" s="36">
        <v>0</v>
      </c>
      <c r="K156" s="36">
        <v>0</v>
      </c>
      <c r="L156" s="37">
        <v>0</v>
      </c>
      <c r="M156" s="37">
        <v>0</v>
      </c>
      <c r="O156" s="36">
        <v>0</v>
      </c>
      <c r="Q156" s="58"/>
      <c r="R156" s="36"/>
      <c r="S156" s="36"/>
      <c r="T156" s="37"/>
    </row>
    <row r="157" spans="1:21">
      <c r="A157" t="str">
        <v>L-S</v>
      </c>
      <c r="B157" s="59">
        <v>10.71</v>
      </c>
      <c r="C157" s="12">
        <v>6</v>
      </c>
      <c r="D157" s="49">
        <v>46123</v>
      </c>
      <c r="E157" s="57" t="str">
        <v>RAFAEL VEGA ALVAREZ</v>
      </c>
      <c r="F157" s="32">
        <v>0</v>
      </c>
      <c r="H157" s="36">
        <v>0</v>
      </c>
      <c r="I157" s="36">
        <v>0</v>
      </c>
      <c r="J157" s="36">
        <v>0</v>
      </c>
      <c r="K157" s="36">
        <v>0</v>
      </c>
      <c r="L157" s="37">
        <v>0</v>
      </c>
      <c r="M157" s="37">
        <v>0</v>
      </c>
      <c r="O157" s="36">
        <v>0</v>
      </c>
      <c r="Q157" s="58"/>
      <c r="R157" s="36"/>
      <c r="S157" s="36"/>
      <c r="T157" s="37"/>
    </row>
    <row r="158" spans="1:21">
      <c r="A158" t="str">
        <v>L-S</v>
      </c>
      <c r="B158" s="59">
        <v>10.79</v>
      </c>
      <c r="C158" s="12">
        <v>6</v>
      </c>
      <c r="D158" s="49">
        <v>46123</v>
      </c>
      <c r="E158" s="57" t="str">
        <v>JOSE QUESADA SOLIS</v>
      </c>
      <c r="F158" s="32">
        <v>0</v>
      </c>
      <c r="H158" s="36">
        <v>0</v>
      </c>
      <c r="I158" s="36">
        <v>0</v>
      </c>
      <c r="J158" s="36">
        <v>0</v>
      </c>
      <c r="K158" s="36">
        <v>0</v>
      </c>
      <c r="L158" s="37">
        <v>0</v>
      </c>
      <c r="M158" s="37">
        <v>0</v>
      </c>
      <c r="O158" s="36">
        <v>0</v>
      </c>
      <c r="Q158" s="58"/>
      <c r="R158" s="36"/>
      <c r="S158" s="36"/>
      <c r="T158" s="37"/>
    </row>
    <row r="159" spans="1:21">
      <c r="A159" t="str">
        <v>L-S</v>
      </c>
      <c r="B159" s="59">
        <v>10.86</v>
      </c>
      <c r="C159" s="12">
        <v>6</v>
      </c>
      <c r="D159" s="49">
        <v>46123</v>
      </c>
      <c r="E159" s="57" t="str">
        <v>MARIA FERNANDA ARAYA ARGUEDAS</v>
      </c>
      <c r="F159" s="32">
        <v>0</v>
      </c>
      <c r="H159" s="36">
        <v>0</v>
      </c>
      <c r="I159" s="36">
        <v>0</v>
      </c>
      <c r="J159" s="36">
        <v>0</v>
      </c>
      <c r="K159" s="36">
        <v>0</v>
      </c>
      <c r="L159" s="37">
        <v>0</v>
      </c>
      <c r="M159" s="37">
        <v>0</v>
      </c>
      <c r="O159" s="36">
        <v>0</v>
      </c>
      <c r="Q159" s="58"/>
      <c r="R159" s="36"/>
      <c r="S159" s="36"/>
      <c r="T159" s="37"/>
    </row>
    <row r="160" spans="1:21">
      <c r="A160" t="str">
        <v>L-S</v>
      </c>
      <c r="B160" s="59">
        <v>10.93</v>
      </c>
      <c r="C160" s="12">
        <v>6</v>
      </c>
      <c r="D160" s="49">
        <v>46123</v>
      </c>
      <c r="E160" s="57" t="str">
        <v>ANDREY ALONSO PALACIOS ALVAREZ</v>
      </c>
      <c r="F160" s="32">
        <v>0</v>
      </c>
      <c r="H160" s="36">
        <v>0</v>
      </c>
      <c r="I160" s="36">
        <v>0</v>
      </c>
      <c r="J160" s="36">
        <v>0</v>
      </c>
      <c r="K160" s="36">
        <v>0</v>
      </c>
      <c r="L160" s="37">
        <v>0</v>
      </c>
      <c r="M160" s="37">
        <v>0</v>
      </c>
      <c r="O160" s="36">
        <v>0</v>
      </c>
      <c r="Q160" s="58"/>
      <c r="R160" s="36"/>
      <c r="S160" s="36"/>
      <c r="T160" s="37"/>
    </row>
    <row r="161" spans="1:20">
      <c r="A161" t="str">
        <v>DyF</v>
      </c>
      <c r="B161" s="59">
        <v>11</v>
      </c>
      <c r="C161" s="12">
        <v>7</v>
      </c>
      <c r="D161" s="49">
        <v>46124</v>
      </c>
      <c r="E161" s="57" t="str">
        <v>ELIER CORTES BALTODANO</v>
      </c>
      <c r="F161" s="32">
        <v>0</v>
      </c>
      <c r="H161" s="36">
        <v>0</v>
      </c>
      <c r="I161" s="36">
        <v>0</v>
      </c>
      <c r="J161" s="36">
        <v>0</v>
      </c>
      <c r="K161" s="36">
        <v>0</v>
      </c>
      <c r="L161" s="37">
        <v>0</v>
      </c>
      <c r="M161" s="37">
        <v>0</v>
      </c>
      <c r="O161" s="36">
        <v>0</v>
      </c>
      <c r="Q161" s="58"/>
      <c r="R161" s="36"/>
      <c r="S161" s="36"/>
      <c r="T161" s="37"/>
    </row>
    <row r="162" spans="1:20">
      <c r="A162" t="str">
        <v>DyF</v>
      </c>
      <c r="B162" s="59">
        <v>11.07</v>
      </c>
      <c r="C162" s="12">
        <v>7</v>
      </c>
      <c r="D162" s="49">
        <v>46124</v>
      </c>
      <c r="E162" s="57" t="str">
        <v>NEIL JOSE GARCIA VARGAS</v>
      </c>
      <c r="F162" s="32">
        <v>0</v>
      </c>
      <c r="H162" s="36">
        <v>0</v>
      </c>
      <c r="I162" s="36">
        <v>0</v>
      </c>
      <c r="J162" s="36">
        <v>0</v>
      </c>
      <c r="K162" s="36">
        <v>0</v>
      </c>
      <c r="L162" s="37">
        <v>0</v>
      </c>
      <c r="M162" s="37">
        <v>0</v>
      </c>
      <c r="O162" s="36">
        <v>0</v>
      </c>
      <c r="Q162" s="58"/>
      <c r="R162" s="36"/>
      <c r="S162" s="36"/>
      <c r="T162" s="37"/>
    </row>
    <row r="163" spans="1:20">
      <c r="A163" t="str">
        <v>DyF</v>
      </c>
      <c r="B163" s="59">
        <v>11.14</v>
      </c>
      <c r="C163" s="12">
        <v>7</v>
      </c>
      <c r="D163" s="49">
        <v>46124</v>
      </c>
      <c r="E163" s="57" t="str">
        <v>JOSE DANIEL CHINCHILLA CERDAS</v>
      </c>
      <c r="F163" s="32">
        <v>0</v>
      </c>
      <c r="H163" s="36">
        <v>0</v>
      </c>
      <c r="I163" s="36">
        <v>0</v>
      </c>
      <c r="J163" s="36">
        <v>0</v>
      </c>
      <c r="K163" s="36">
        <v>0</v>
      </c>
      <c r="L163" s="37">
        <v>0</v>
      </c>
      <c r="M163" s="37">
        <v>0</v>
      </c>
      <c r="O163" s="36">
        <v>0</v>
      </c>
      <c r="Q163" s="58"/>
      <c r="R163" s="36"/>
      <c r="S163" s="36"/>
      <c r="T163" s="37"/>
    </row>
    <row r="164" spans="1:20">
      <c r="A164" t="str">
        <v>DyF</v>
      </c>
      <c r="B164" s="59">
        <v>11.21</v>
      </c>
      <c r="C164" s="12">
        <v>7</v>
      </c>
      <c r="D164" s="49">
        <v>46124</v>
      </c>
      <c r="E164" s="57" t="str">
        <v>MARIELA ARCE GARCIA</v>
      </c>
      <c r="F164" s="32">
        <v>0</v>
      </c>
      <c r="H164" s="36">
        <v>0</v>
      </c>
      <c r="I164" s="36">
        <v>0</v>
      </c>
      <c r="J164" s="36">
        <v>0</v>
      </c>
      <c r="K164" s="36">
        <v>0</v>
      </c>
      <c r="L164" s="37">
        <v>0</v>
      </c>
      <c r="M164" s="37">
        <v>0</v>
      </c>
      <c r="O164" s="36">
        <v>0</v>
      </c>
      <c r="Q164" s="58"/>
      <c r="R164" s="36"/>
      <c r="S164" s="36"/>
      <c r="T164" s="37"/>
    </row>
    <row r="165" spans="1:20">
      <c r="A165" t="str">
        <v>DyF</v>
      </c>
      <c r="B165" s="59">
        <v>11.29</v>
      </c>
      <c r="C165" s="12">
        <v>7</v>
      </c>
      <c r="D165" s="49">
        <v>46124</v>
      </c>
      <c r="E165" s="57" t="str">
        <v>ANTHONY ALVAREZ NAVARRO</v>
      </c>
      <c r="F165" s="32">
        <v>0</v>
      </c>
      <c r="H165" s="36">
        <v>0</v>
      </c>
      <c r="I165" s="36">
        <v>0</v>
      </c>
      <c r="J165" s="36">
        <v>0</v>
      </c>
      <c r="K165" s="36">
        <v>0</v>
      </c>
      <c r="L165" s="37">
        <v>0</v>
      </c>
      <c r="M165" s="37">
        <v>0</v>
      </c>
      <c r="O165" s="36">
        <v>0</v>
      </c>
      <c r="Q165" s="58"/>
      <c r="R165" s="36"/>
      <c r="S165" s="36"/>
      <c r="T165" s="37"/>
    </row>
    <row r="166" spans="1:20">
      <c r="A166" t="str">
        <v>DyF</v>
      </c>
      <c r="B166" s="59">
        <v>11.36</v>
      </c>
      <c r="C166" s="12">
        <v>7</v>
      </c>
      <c r="D166" s="49">
        <v>46124</v>
      </c>
      <c r="E166" s="57" t="str">
        <v>CESAR MATARRITA MATARRITA</v>
      </c>
      <c r="F166" s="32">
        <v>0</v>
      </c>
      <c r="H166" s="36">
        <v>0</v>
      </c>
      <c r="I166" s="36">
        <v>0</v>
      </c>
      <c r="J166" s="36">
        <v>0</v>
      </c>
      <c r="K166" s="36">
        <v>0</v>
      </c>
      <c r="L166" s="37">
        <v>0</v>
      </c>
      <c r="M166" s="37">
        <v>0</v>
      </c>
      <c r="O166" s="36">
        <v>0</v>
      </c>
      <c r="Q166" s="58"/>
      <c r="R166" s="36"/>
      <c r="S166" s="36"/>
      <c r="T166" s="37"/>
    </row>
    <row r="167" spans="1:20">
      <c r="A167" t="str">
        <v>DyF</v>
      </c>
      <c r="B167" s="59">
        <v>11.43</v>
      </c>
      <c r="C167" s="12">
        <v>7</v>
      </c>
      <c r="D167" s="49">
        <v>46124</v>
      </c>
      <c r="E167" s="57" t="str">
        <v>GERARDO BOLIVAR VARGAS FERNANDEZ</v>
      </c>
      <c r="F167" s="32">
        <v>0</v>
      </c>
      <c r="H167" s="36">
        <v>0</v>
      </c>
      <c r="I167" s="36">
        <v>0</v>
      </c>
      <c r="J167" s="36">
        <v>0</v>
      </c>
      <c r="K167" s="36">
        <v>0</v>
      </c>
      <c r="L167" s="37">
        <v>0</v>
      </c>
      <c r="M167" s="37">
        <v>0</v>
      </c>
      <c r="O167" s="36">
        <v>0</v>
      </c>
      <c r="Q167" s="58"/>
      <c r="R167" s="36"/>
      <c r="S167" s="36"/>
      <c r="T167" s="37"/>
    </row>
    <row r="168" spans="1:20">
      <c r="A168" t="str">
        <v>DyF</v>
      </c>
      <c r="B168" s="59">
        <v>11.5</v>
      </c>
      <c r="C168" s="12">
        <v>7</v>
      </c>
      <c r="D168" s="49">
        <v>46124</v>
      </c>
      <c r="E168" s="57" t="str">
        <v>LAURA REBECA CORDOBA FERNANDEZ</v>
      </c>
      <c r="F168" s="32">
        <v>0</v>
      </c>
      <c r="H168" s="36">
        <v>0</v>
      </c>
      <c r="I168" s="36">
        <v>0</v>
      </c>
      <c r="J168" s="36">
        <v>0</v>
      </c>
      <c r="K168" s="36">
        <v>0</v>
      </c>
      <c r="L168" s="37">
        <v>0</v>
      </c>
      <c r="M168" s="37">
        <v>0</v>
      </c>
      <c r="O168" s="36">
        <v>0</v>
      </c>
      <c r="Q168" s="58"/>
      <c r="R168" s="36"/>
      <c r="S168" s="36"/>
      <c r="T168" s="37"/>
    </row>
    <row r="169" spans="1:20">
      <c r="A169" t="str">
        <v>DyF</v>
      </c>
      <c r="B169" s="59">
        <v>11.57</v>
      </c>
      <c r="C169" s="12">
        <v>7</v>
      </c>
      <c r="D169" s="49">
        <v>46124</v>
      </c>
      <c r="E169" s="57" t="str">
        <v>VICTOR CHAVES MONTERO</v>
      </c>
      <c r="F169" s="32">
        <v>0</v>
      </c>
      <c r="H169" s="36">
        <v>0</v>
      </c>
      <c r="I169" s="36">
        <v>0</v>
      </c>
      <c r="J169" s="36">
        <v>0</v>
      </c>
      <c r="K169" s="36">
        <v>0</v>
      </c>
      <c r="L169" s="37">
        <v>0</v>
      </c>
      <c r="M169" s="37">
        <v>0</v>
      </c>
      <c r="O169" s="36">
        <v>0</v>
      </c>
      <c r="Q169" s="58"/>
      <c r="R169" s="36"/>
      <c r="S169" s="36"/>
      <c r="T169" s="37"/>
    </row>
    <row r="170" spans="1:20">
      <c r="A170" t="str">
        <v>DyF</v>
      </c>
      <c r="B170" s="59">
        <v>11.64</v>
      </c>
      <c r="C170" s="12">
        <v>7</v>
      </c>
      <c r="D170" s="49">
        <v>46124</v>
      </c>
      <c r="E170" s="57" t="str">
        <v>MEYLIN ALEJANDRA ZUÑIGA NUÑEZ</v>
      </c>
      <c r="F170" s="32">
        <v>0</v>
      </c>
      <c r="H170" s="36">
        <v>0</v>
      </c>
      <c r="I170" s="36">
        <v>0</v>
      </c>
      <c r="J170" s="36">
        <v>0</v>
      </c>
      <c r="K170" s="36">
        <v>0</v>
      </c>
      <c r="L170" s="37">
        <v>0</v>
      </c>
      <c r="M170" s="37">
        <v>0</v>
      </c>
      <c r="O170" s="36">
        <v>0</v>
      </c>
      <c r="Q170" s="58"/>
      <c r="R170" s="36"/>
      <c r="S170" s="36"/>
      <c r="T170" s="37"/>
    </row>
    <row r="171" spans="1:20">
      <c r="A171" t="str">
        <v>DyF</v>
      </c>
      <c r="B171" s="59">
        <v>11.71</v>
      </c>
      <c r="C171" s="12">
        <v>7</v>
      </c>
      <c r="D171" s="49">
        <v>46124</v>
      </c>
      <c r="E171" s="57" t="str">
        <v>RAFAEL VEGA ALVAREZ</v>
      </c>
      <c r="F171" s="32">
        <v>0</v>
      </c>
      <c r="H171" s="36">
        <v>0</v>
      </c>
      <c r="I171" s="36">
        <v>0</v>
      </c>
      <c r="J171" s="36">
        <v>0</v>
      </c>
      <c r="K171" s="36">
        <v>0</v>
      </c>
      <c r="L171" s="37">
        <v>0</v>
      </c>
      <c r="M171" s="37">
        <v>0</v>
      </c>
      <c r="O171" s="36">
        <v>0</v>
      </c>
      <c r="Q171" s="58"/>
      <c r="R171" s="36"/>
      <c r="S171" s="36"/>
      <c r="T171" s="37"/>
    </row>
    <row r="172" spans="1:20">
      <c r="A172" t="str">
        <v>DyF</v>
      </c>
      <c r="B172" s="59">
        <v>11.79</v>
      </c>
      <c r="C172" s="12">
        <v>7</v>
      </c>
      <c r="D172" s="49">
        <v>46124</v>
      </c>
      <c r="E172" s="57" t="str">
        <v>JOSE QUESADA SOLIS</v>
      </c>
      <c r="F172" s="32">
        <v>0</v>
      </c>
      <c r="H172" s="36">
        <v>0</v>
      </c>
      <c r="I172" s="36">
        <v>0</v>
      </c>
      <c r="J172" s="36">
        <v>0</v>
      </c>
      <c r="K172" s="36">
        <v>0</v>
      </c>
      <c r="L172" s="37">
        <v>0</v>
      </c>
      <c r="M172" s="37">
        <v>0</v>
      </c>
      <c r="O172" s="36">
        <v>0</v>
      </c>
      <c r="Q172" s="58"/>
      <c r="R172" s="36"/>
      <c r="S172" s="36"/>
      <c r="T172" s="37"/>
    </row>
    <row r="173" spans="1:20">
      <c r="A173" t="str">
        <v>DyF</v>
      </c>
      <c r="B173" s="59">
        <v>11.86</v>
      </c>
      <c r="C173" s="12">
        <v>7</v>
      </c>
      <c r="D173" s="49">
        <v>46124</v>
      </c>
      <c r="E173" s="57" t="str">
        <v>MARIA FERNANDA ARAYA ARGUEDAS</v>
      </c>
      <c r="F173" s="32">
        <v>0</v>
      </c>
      <c r="H173" s="36">
        <v>0</v>
      </c>
      <c r="I173" s="36">
        <v>0</v>
      </c>
      <c r="J173" s="36">
        <v>0</v>
      </c>
      <c r="K173" s="36">
        <v>0</v>
      </c>
      <c r="L173" s="37">
        <v>0</v>
      </c>
      <c r="M173" s="37">
        <v>0</v>
      </c>
      <c r="O173" s="36">
        <v>0</v>
      </c>
      <c r="Q173" s="58"/>
      <c r="R173" s="36"/>
      <c r="S173" s="36"/>
      <c r="T173" s="37"/>
    </row>
    <row r="174" spans="1:20">
      <c r="A174" t="str">
        <v>DyF</v>
      </c>
      <c r="B174" s="59">
        <v>11.93</v>
      </c>
      <c r="C174" s="12">
        <v>7</v>
      </c>
      <c r="D174" s="49">
        <v>46124</v>
      </c>
      <c r="E174" s="57" t="str">
        <v>ANDREY ALONSO PALACIOS ALVAREZ</v>
      </c>
      <c r="F174" s="32">
        <v>0</v>
      </c>
      <c r="H174" s="36">
        <v>0</v>
      </c>
      <c r="I174" s="36">
        <v>0</v>
      </c>
      <c r="J174" s="36">
        <v>0</v>
      </c>
      <c r="K174" s="36">
        <v>0</v>
      </c>
      <c r="L174" s="37">
        <v>0</v>
      </c>
      <c r="M174" s="37">
        <v>0</v>
      </c>
      <c r="O174" s="36">
        <v>0</v>
      </c>
      <c r="Q174" s="58"/>
      <c r="R174" s="36"/>
      <c r="S174" s="36"/>
      <c r="T174" s="37"/>
    </row>
    <row r="175" spans="1:20">
      <c r="A175" t="str">
        <v>L-S</v>
      </c>
      <c r="B175" s="59">
        <v>12</v>
      </c>
      <c r="C175" s="12">
        <v>1</v>
      </c>
      <c r="D175" s="49">
        <v>46125</v>
      </c>
      <c r="E175" s="57" t="str">
        <v>ELIER CORTES BALTODANO</v>
      </c>
      <c r="F175" s="32">
        <v>8</v>
      </c>
      <c r="H175" s="36">
        <v>0</v>
      </c>
      <c r="I175" s="36">
        <v>0</v>
      </c>
      <c r="J175" s="36">
        <v>0.25</v>
      </c>
      <c r="K175" s="36">
        <v>0</v>
      </c>
      <c r="L175" s="37">
        <v>0.25</v>
      </c>
      <c r="M175" s="37">
        <v>0</v>
      </c>
      <c r="O175" s="36">
        <v>0</v>
      </c>
      <c r="Q175" s="58"/>
      <c r="R175" s="36"/>
      <c r="S175" s="36"/>
      <c r="T175" s="37"/>
    </row>
    <row r="176" spans="1:20">
      <c r="A176" t="str">
        <v>L-S</v>
      </c>
      <c r="B176" s="59">
        <v>12.07</v>
      </c>
      <c r="C176" s="12">
        <v>1</v>
      </c>
      <c r="D176" s="49">
        <v>46125</v>
      </c>
      <c r="E176" s="57" t="str">
        <v>NEIL JOSE GARCIA VARGAS</v>
      </c>
      <c r="F176" s="32">
        <v>8</v>
      </c>
      <c r="H176" s="36">
        <v>0</v>
      </c>
      <c r="I176" s="36">
        <v>0</v>
      </c>
      <c r="J176" s="36">
        <v>0</v>
      </c>
      <c r="K176" s="36">
        <v>0</v>
      </c>
      <c r="L176" s="37">
        <v>0</v>
      </c>
      <c r="M176" s="37">
        <v>0</v>
      </c>
      <c r="O176" s="36">
        <v>0</v>
      </c>
      <c r="Q176" s="58"/>
      <c r="R176" s="36"/>
      <c r="S176" s="36"/>
      <c r="T176" s="37"/>
    </row>
    <row r="177" spans="1:20">
      <c r="A177" t="str">
        <v>L-S</v>
      </c>
      <c r="B177" s="59">
        <v>12.14</v>
      </c>
      <c r="C177" s="12">
        <v>1</v>
      </c>
      <c r="D177" s="49">
        <v>46125</v>
      </c>
      <c r="E177" s="57" t="str">
        <v>JOSE DANIEL CHINCHILLA CERDAS</v>
      </c>
      <c r="F177" s="32">
        <v>8</v>
      </c>
      <c r="H177" s="36">
        <v>0</v>
      </c>
      <c r="I177" s="36">
        <v>0</v>
      </c>
      <c r="J177" s="36">
        <v>1.5</v>
      </c>
      <c r="K177" s="36">
        <v>0</v>
      </c>
      <c r="L177" s="37">
        <v>1.5</v>
      </c>
      <c r="M177" s="37">
        <v>0</v>
      </c>
      <c r="O177" s="36">
        <v>0</v>
      </c>
      <c r="Q177" s="58"/>
      <c r="R177" s="36"/>
      <c r="S177" s="36"/>
      <c r="T177" s="37"/>
    </row>
    <row r="178" spans="1:20">
      <c r="A178" t="str">
        <v>L-S</v>
      </c>
      <c r="B178" s="59">
        <v>12.21</v>
      </c>
      <c r="C178" s="12">
        <v>1</v>
      </c>
      <c r="D178" s="49">
        <v>46125</v>
      </c>
      <c r="E178" s="57" t="str">
        <v>MARIELA ARCE GARCIA</v>
      </c>
      <c r="F178" s="32">
        <v>8</v>
      </c>
      <c r="H178" s="36">
        <v>0</v>
      </c>
      <c r="I178" s="36">
        <v>0</v>
      </c>
      <c r="J178" s="36">
        <v>0.5</v>
      </c>
      <c r="K178" s="36">
        <v>0</v>
      </c>
      <c r="L178" s="37">
        <v>0.5</v>
      </c>
      <c r="M178" s="37">
        <v>0</v>
      </c>
      <c r="O178" s="36">
        <v>0</v>
      </c>
      <c r="Q178" s="58"/>
      <c r="R178" s="36"/>
      <c r="S178" s="36"/>
      <c r="T178" s="37"/>
    </row>
    <row r="179" spans="1:20">
      <c r="A179" t="str">
        <v>L-S</v>
      </c>
      <c r="B179" s="59">
        <v>12.29</v>
      </c>
      <c r="C179" s="12">
        <v>1</v>
      </c>
      <c r="D179" s="49">
        <v>46125</v>
      </c>
      <c r="E179" s="57" t="str">
        <v>ANTHONY ALVAREZ NAVARRO</v>
      </c>
      <c r="F179" s="32">
        <v>8</v>
      </c>
      <c r="H179" s="36">
        <v>0</v>
      </c>
      <c r="I179" s="36">
        <v>0</v>
      </c>
      <c r="J179" s="36">
        <v>1</v>
      </c>
      <c r="K179" s="36">
        <v>0</v>
      </c>
      <c r="L179" s="37">
        <v>1</v>
      </c>
      <c r="M179" s="37">
        <v>0</v>
      </c>
      <c r="O179" s="36">
        <v>0</v>
      </c>
      <c r="Q179" s="58"/>
      <c r="R179" s="36"/>
      <c r="S179" s="36"/>
      <c r="T179" s="37"/>
    </row>
    <row r="180" spans="1:20">
      <c r="A180" t="str">
        <v>L-S</v>
      </c>
      <c r="B180" s="59">
        <v>12.36</v>
      </c>
      <c r="C180" s="12">
        <v>1</v>
      </c>
      <c r="D180" s="49">
        <v>46125</v>
      </c>
      <c r="E180" s="57" t="str">
        <v>CESAR MATARRITA MATARRITA</v>
      </c>
      <c r="F180" s="32">
        <v>8</v>
      </c>
      <c r="H180" s="36">
        <v>0</v>
      </c>
      <c r="I180" s="36">
        <v>0</v>
      </c>
      <c r="J180" s="36">
        <v>1</v>
      </c>
      <c r="K180" s="36">
        <v>0</v>
      </c>
      <c r="L180" s="37">
        <v>1</v>
      </c>
      <c r="M180" s="37">
        <v>0</v>
      </c>
      <c r="O180" s="36">
        <v>0</v>
      </c>
      <c r="Q180" s="58"/>
      <c r="R180" s="36"/>
      <c r="S180" s="36"/>
      <c r="T180" s="37"/>
    </row>
    <row r="181" spans="1:20">
      <c r="A181" t="str">
        <v>L-S</v>
      </c>
      <c r="B181" s="59">
        <v>12.43</v>
      </c>
      <c r="C181" s="12">
        <v>1</v>
      </c>
      <c r="D181" s="49">
        <v>46125</v>
      </c>
      <c r="E181" s="57" t="str">
        <v>GERARDO BOLIVAR VARGAS FERNANDEZ</v>
      </c>
      <c r="F181" s="32">
        <v>8</v>
      </c>
      <c r="H181" s="36">
        <v>0</v>
      </c>
      <c r="I181" s="36">
        <v>0</v>
      </c>
      <c r="J181" s="36">
        <v>0</v>
      </c>
      <c r="K181" s="36">
        <v>0</v>
      </c>
      <c r="L181" s="37">
        <v>0</v>
      </c>
      <c r="M181" s="37">
        <v>0</v>
      </c>
      <c r="O181" s="36">
        <v>0</v>
      </c>
      <c r="Q181" s="58"/>
      <c r="R181" s="36"/>
      <c r="S181" s="36"/>
      <c r="T181" s="37"/>
    </row>
    <row r="182" spans="1:20">
      <c r="A182" t="str">
        <v>L-S</v>
      </c>
      <c r="B182" s="59">
        <v>12.5</v>
      </c>
      <c r="C182" s="12">
        <v>1</v>
      </c>
      <c r="D182" s="49">
        <v>46125</v>
      </c>
      <c r="E182" s="57" t="str">
        <v>LAURA REBECA CORDOBA FERNANDEZ</v>
      </c>
      <c r="F182" s="32">
        <v>8</v>
      </c>
      <c r="H182" s="36">
        <v>0</v>
      </c>
      <c r="I182" s="36">
        <v>0</v>
      </c>
      <c r="J182" s="36">
        <v>3.5</v>
      </c>
      <c r="K182" s="36">
        <v>0</v>
      </c>
      <c r="L182" s="37">
        <v>3.5</v>
      </c>
      <c r="M182" s="37">
        <v>0</v>
      </c>
      <c r="O182" s="36">
        <v>0</v>
      </c>
      <c r="Q182" s="58"/>
      <c r="R182" s="36"/>
      <c r="S182" s="36"/>
      <c r="T182" s="37"/>
    </row>
    <row r="183" spans="1:20">
      <c r="A183" t="str">
        <v>L-S</v>
      </c>
      <c r="B183" s="59">
        <v>12.57</v>
      </c>
      <c r="C183" s="12">
        <v>1</v>
      </c>
      <c r="D183" s="49">
        <v>46125</v>
      </c>
      <c r="E183" s="57" t="str">
        <v>VICTOR CHAVES MONTERO</v>
      </c>
      <c r="F183" s="32">
        <v>8</v>
      </c>
      <c r="H183" s="36">
        <v>0</v>
      </c>
      <c r="I183" s="36">
        <v>0</v>
      </c>
      <c r="J183" s="36">
        <v>8</v>
      </c>
      <c r="K183" s="36">
        <v>0</v>
      </c>
      <c r="L183" s="37">
        <v>8</v>
      </c>
      <c r="M183" s="37">
        <v>0</v>
      </c>
      <c r="O183" s="36">
        <v>0</v>
      </c>
      <c r="Q183" s="58"/>
      <c r="R183" s="36"/>
      <c r="S183" s="36"/>
      <c r="T183" s="37"/>
    </row>
    <row r="184" spans="1:20">
      <c r="A184" t="str">
        <v>L-S</v>
      </c>
      <c r="B184" s="59">
        <v>12.64</v>
      </c>
      <c r="C184" s="12">
        <v>1</v>
      </c>
      <c r="D184" s="49">
        <v>46125</v>
      </c>
      <c r="E184" s="57" t="str">
        <v>MEYLIN ALEJANDRA ZUÑIGA NUÑEZ</v>
      </c>
      <c r="F184" s="32">
        <v>8</v>
      </c>
      <c r="H184" s="36">
        <v>0</v>
      </c>
      <c r="I184" s="36">
        <v>0</v>
      </c>
      <c r="J184" s="36">
        <v>0</v>
      </c>
      <c r="K184" s="36">
        <v>0</v>
      </c>
      <c r="L184" s="37">
        <v>0</v>
      </c>
      <c r="M184" s="37">
        <v>0</v>
      </c>
      <c r="O184" s="36">
        <v>0</v>
      </c>
      <c r="Q184" s="58"/>
      <c r="R184" s="36"/>
      <c r="S184" s="36"/>
      <c r="T184" s="37"/>
    </row>
    <row r="185" spans="1:20">
      <c r="A185" t="str">
        <v>L-S</v>
      </c>
      <c r="B185" s="59">
        <v>12.71</v>
      </c>
      <c r="C185" s="12">
        <v>1</v>
      </c>
      <c r="D185" s="49">
        <v>46125</v>
      </c>
      <c r="E185" s="57" t="str">
        <v>RAFAEL VEGA ALVAREZ</v>
      </c>
      <c r="F185" s="32">
        <v>8</v>
      </c>
      <c r="H185" s="36">
        <v>0</v>
      </c>
      <c r="I185" s="36">
        <v>0</v>
      </c>
      <c r="J185" s="36">
        <v>1.5</v>
      </c>
      <c r="K185" s="36">
        <v>0</v>
      </c>
      <c r="L185" s="37">
        <v>1.5</v>
      </c>
      <c r="M185" s="37">
        <v>0</v>
      </c>
      <c r="O185" s="36">
        <v>0</v>
      </c>
      <c r="Q185" s="58"/>
      <c r="R185" s="36"/>
      <c r="S185" s="36"/>
      <c r="T185" s="37"/>
    </row>
    <row r="186" spans="1:20">
      <c r="A186" t="str">
        <v>L-S</v>
      </c>
      <c r="B186" s="59">
        <v>12.79</v>
      </c>
      <c r="C186" s="12">
        <v>1</v>
      </c>
      <c r="D186" s="49">
        <v>46125</v>
      </c>
      <c r="E186" s="57" t="str">
        <v>JOSE QUESADA SOLIS</v>
      </c>
      <c r="F186" s="32">
        <v>8</v>
      </c>
      <c r="H186" s="36">
        <v>0</v>
      </c>
      <c r="I186" s="36">
        <v>0</v>
      </c>
      <c r="J186" s="36">
        <v>0</v>
      </c>
      <c r="K186" s="36">
        <v>0</v>
      </c>
      <c r="L186" s="37">
        <v>0</v>
      </c>
      <c r="M186" s="37">
        <v>0</v>
      </c>
      <c r="O186" s="36">
        <v>0</v>
      </c>
      <c r="Q186" s="58"/>
      <c r="R186" s="36"/>
      <c r="S186" s="36"/>
      <c r="T186" s="37"/>
    </row>
    <row r="187" spans="1:20">
      <c r="A187" t="str">
        <v>L-S</v>
      </c>
      <c r="B187" s="59">
        <v>12.86</v>
      </c>
      <c r="C187" s="12">
        <v>1</v>
      </c>
      <c r="D187" s="49">
        <v>46125</v>
      </c>
      <c r="E187" s="57" t="str">
        <v>MARIA FERNANDA ARAYA ARGUEDAS</v>
      </c>
      <c r="F187" s="32">
        <v>8</v>
      </c>
      <c r="H187" s="36">
        <v>0</v>
      </c>
      <c r="I187" s="36">
        <v>0</v>
      </c>
      <c r="J187" s="36">
        <v>7.5</v>
      </c>
      <c r="K187" s="36">
        <v>0</v>
      </c>
      <c r="L187" s="37">
        <v>7.5</v>
      </c>
      <c r="M187" s="37">
        <v>0</v>
      </c>
      <c r="O187" s="36">
        <v>0</v>
      </c>
      <c r="Q187" s="58"/>
      <c r="R187" s="36"/>
      <c r="S187" s="36"/>
      <c r="T187" s="37"/>
    </row>
    <row r="188" spans="1:20">
      <c r="A188" t="str">
        <v>L-S</v>
      </c>
      <c r="B188" s="59">
        <v>12.93</v>
      </c>
      <c r="C188" s="12">
        <v>1</v>
      </c>
      <c r="D188" s="49">
        <v>46125</v>
      </c>
      <c r="E188" s="57" t="str">
        <v>ANDREY ALONSO PALACIOS ALVAREZ</v>
      </c>
      <c r="F188" s="32">
        <v>8</v>
      </c>
      <c r="H188" s="36">
        <v>0</v>
      </c>
      <c r="I188" s="36">
        <v>0</v>
      </c>
      <c r="J188" s="36">
        <v>0</v>
      </c>
      <c r="K188" s="36">
        <v>0</v>
      </c>
      <c r="L188" s="37">
        <v>0</v>
      </c>
      <c r="M188" s="37">
        <v>0</v>
      </c>
      <c r="O188" s="36">
        <v>0</v>
      </c>
      <c r="Q188" s="58"/>
      <c r="R188" s="36"/>
      <c r="S188" s="36"/>
      <c r="T188" s="37"/>
    </row>
    <row r="189" spans="1:20">
      <c r="A189" t="str">
        <v>L-S</v>
      </c>
      <c r="B189" s="59">
        <v>13</v>
      </c>
      <c r="C189" s="12">
        <v>2</v>
      </c>
      <c r="D189" s="49">
        <v>46126</v>
      </c>
      <c r="E189" s="57" t="str">
        <v>ELIER CORTES BALTODANO</v>
      </c>
      <c r="F189" s="32">
        <v>8</v>
      </c>
      <c r="H189" s="36">
        <v>0</v>
      </c>
      <c r="I189" s="36">
        <v>0</v>
      </c>
      <c r="J189" s="36">
        <v>0</v>
      </c>
      <c r="K189" s="36">
        <v>0</v>
      </c>
      <c r="L189" s="37">
        <v>0</v>
      </c>
      <c r="M189" s="37">
        <v>0</v>
      </c>
      <c r="O189" s="36">
        <v>0</v>
      </c>
      <c r="Q189" s="58"/>
      <c r="R189" s="36"/>
      <c r="S189" s="36"/>
      <c r="T189" s="37"/>
    </row>
    <row r="190" spans="1:20">
      <c r="A190" t="str">
        <v>L-S</v>
      </c>
      <c r="B190" s="59">
        <v>13.07</v>
      </c>
      <c r="C190" s="12">
        <v>2</v>
      </c>
      <c r="D190" s="49">
        <v>46126</v>
      </c>
      <c r="E190" s="57" t="str">
        <v>NEIL JOSE GARCIA VARGAS</v>
      </c>
      <c r="F190" s="32">
        <v>8</v>
      </c>
      <c r="H190" s="36">
        <v>0</v>
      </c>
      <c r="I190" s="36">
        <v>0</v>
      </c>
      <c r="J190" s="36">
        <v>0</v>
      </c>
      <c r="K190" s="36">
        <v>0</v>
      </c>
      <c r="L190" s="37">
        <v>0</v>
      </c>
      <c r="M190" s="37">
        <v>0</v>
      </c>
      <c r="O190" s="36">
        <v>0</v>
      </c>
      <c r="Q190" s="58"/>
      <c r="R190" s="36"/>
      <c r="S190" s="36"/>
      <c r="T190" s="37"/>
    </row>
    <row r="191" spans="1:20">
      <c r="A191" t="str">
        <v>L-S</v>
      </c>
      <c r="B191" s="59">
        <v>13.14</v>
      </c>
      <c r="C191" s="12">
        <v>2</v>
      </c>
      <c r="D191" s="49">
        <v>46126</v>
      </c>
      <c r="E191" s="57" t="str">
        <v>JOSE DANIEL CHINCHILLA CERDAS</v>
      </c>
      <c r="F191" s="32">
        <v>8</v>
      </c>
      <c r="H191" s="36">
        <v>0</v>
      </c>
      <c r="I191" s="36">
        <v>0</v>
      </c>
      <c r="J191" s="36">
        <v>1</v>
      </c>
      <c r="K191" s="36">
        <v>0</v>
      </c>
      <c r="L191" s="37">
        <v>1</v>
      </c>
      <c r="M191" s="37">
        <v>0</v>
      </c>
      <c r="O191" s="36">
        <v>0</v>
      </c>
      <c r="Q191" s="58"/>
      <c r="R191" s="36"/>
      <c r="S191" s="36"/>
      <c r="T191" s="37"/>
    </row>
    <row r="192" spans="1:20">
      <c r="A192" t="str">
        <v>L-S</v>
      </c>
      <c r="B192" s="59">
        <v>13.21</v>
      </c>
      <c r="C192" s="12">
        <v>2</v>
      </c>
      <c r="D192" s="49">
        <v>46126</v>
      </c>
      <c r="E192" s="57" t="str">
        <v>MARIELA ARCE GARCIA</v>
      </c>
      <c r="F192" s="32">
        <v>8</v>
      </c>
      <c r="H192" s="36">
        <v>0</v>
      </c>
      <c r="I192" s="36">
        <v>0</v>
      </c>
      <c r="J192" s="36">
        <v>0</v>
      </c>
      <c r="K192" s="36">
        <v>0</v>
      </c>
      <c r="L192" s="37">
        <v>0</v>
      </c>
      <c r="M192" s="37">
        <v>0</v>
      </c>
      <c r="O192" s="36">
        <v>0</v>
      </c>
      <c r="Q192" s="58"/>
      <c r="R192" s="36"/>
      <c r="S192" s="36"/>
      <c r="T192" s="37"/>
    </row>
    <row r="193" spans="1:20">
      <c r="A193" t="str">
        <v>L-S</v>
      </c>
      <c r="B193" s="59">
        <v>13.29</v>
      </c>
      <c r="C193" s="12">
        <v>2</v>
      </c>
      <c r="D193" s="49">
        <v>46126</v>
      </c>
      <c r="E193" s="57" t="str">
        <v>ANTHONY ALVAREZ NAVARRO</v>
      </c>
      <c r="F193" s="32">
        <v>8</v>
      </c>
      <c r="H193" s="36">
        <v>0</v>
      </c>
      <c r="I193" s="36">
        <v>0</v>
      </c>
      <c r="J193" s="36">
        <v>0</v>
      </c>
      <c r="K193" s="36">
        <v>0</v>
      </c>
      <c r="L193" s="37">
        <v>0</v>
      </c>
      <c r="M193" s="37">
        <v>0</v>
      </c>
      <c r="O193" s="36">
        <v>0</v>
      </c>
      <c r="Q193" s="58"/>
      <c r="R193" s="36"/>
      <c r="S193" s="36"/>
      <c r="T193" s="37"/>
    </row>
    <row r="194" spans="1:20">
      <c r="A194" t="str">
        <v>L-S</v>
      </c>
      <c r="B194" s="59">
        <v>13.36</v>
      </c>
      <c r="C194" s="12">
        <v>2</v>
      </c>
      <c r="D194" s="49">
        <v>46126</v>
      </c>
      <c r="E194" s="57" t="str">
        <v>CESAR MATARRITA MATARRITA</v>
      </c>
      <c r="F194" s="32">
        <v>8</v>
      </c>
      <c r="H194" s="36">
        <v>0</v>
      </c>
      <c r="I194" s="36">
        <v>0</v>
      </c>
      <c r="J194" s="36">
        <v>3</v>
      </c>
      <c r="K194" s="36">
        <v>0</v>
      </c>
      <c r="L194" s="37">
        <v>3</v>
      </c>
      <c r="M194" s="37">
        <v>0</v>
      </c>
      <c r="O194" s="36">
        <v>0</v>
      </c>
      <c r="Q194" s="58"/>
      <c r="R194" s="36"/>
      <c r="S194" s="36"/>
      <c r="T194" s="37"/>
    </row>
    <row r="195" spans="1:20">
      <c r="A195" t="str">
        <v>L-S</v>
      </c>
      <c r="B195" s="59">
        <v>13.43</v>
      </c>
      <c r="C195" s="12">
        <v>2</v>
      </c>
      <c r="D195" s="49">
        <v>46126</v>
      </c>
      <c r="E195" s="57" t="str">
        <v>GERARDO BOLIVAR VARGAS FERNANDEZ</v>
      </c>
      <c r="F195" s="32">
        <v>8</v>
      </c>
      <c r="H195" s="36">
        <v>0</v>
      </c>
      <c r="I195" s="36">
        <v>0</v>
      </c>
      <c r="J195" s="36">
        <v>0</v>
      </c>
      <c r="K195" s="36">
        <v>0</v>
      </c>
      <c r="L195" s="37">
        <v>0</v>
      </c>
      <c r="M195" s="37">
        <v>0</v>
      </c>
      <c r="O195" s="36">
        <v>0</v>
      </c>
      <c r="Q195" s="58"/>
      <c r="R195" s="36"/>
      <c r="S195" s="36"/>
      <c r="T195" s="37"/>
    </row>
    <row r="196" spans="1:20">
      <c r="A196" t="str">
        <v>L-S</v>
      </c>
      <c r="B196" s="59">
        <v>13.5</v>
      </c>
      <c r="C196" s="12">
        <v>2</v>
      </c>
      <c r="D196" s="49">
        <v>46126</v>
      </c>
      <c r="E196" s="57" t="str">
        <v>LAURA REBECA CORDOBA FERNANDEZ</v>
      </c>
      <c r="F196" s="32">
        <v>8</v>
      </c>
      <c r="H196" s="36">
        <v>0</v>
      </c>
      <c r="I196" s="36">
        <v>0</v>
      </c>
      <c r="J196" s="36">
        <v>0</v>
      </c>
      <c r="K196" s="36">
        <v>0</v>
      </c>
      <c r="L196" s="37">
        <v>0</v>
      </c>
      <c r="M196" s="37">
        <v>0</v>
      </c>
      <c r="O196" s="36">
        <v>0</v>
      </c>
      <c r="Q196" s="58"/>
      <c r="R196" s="36"/>
      <c r="S196" s="36"/>
      <c r="T196" s="37"/>
    </row>
    <row r="197" spans="1:20">
      <c r="A197" t="str">
        <v>L-S</v>
      </c>
      <c r="B197" s="59">
        <v>13.57</v>
      </c>
      <c r="C197" s="12">
        <v>2</v>
      </c>
      <c r="D197" s="49">
        <v>46126</v>
      </c>
      <c r="E197" s="57" t="str">
        <v>VICTOR CHAVES MONTERO</v>
      </c>
      <c r="F197" s="32">
        <v>8</v>
      </c>
      <c r="H197" s="36">
        <v>0</v>
      </c>
      <c r="I197" s="36">
        <v>0</v>
      </c>
      <c r="J197" s="36">
        <v>8</v>
      </c>
      <c r="K197" s="36">
        <v>0</v>
      </c>
      <c r="L197" s="37">
        <v>8</v>
      </c>
      <c r="M197" s="37">
        <v>0</v>
      </c>
      <c r="O197" s="36">
        <v>0</v>
      </c>
      <c r="Q197" s="58"/>
      <c r="R197" s="36"/>
      <c r="S197" s="36"/>
      <c r="T197" s="37"/>
    </row>
    <row r="198" spans="1:20">
      <c r="A198" t="str">
        <v>L-S</v>
      </c>
      <c r="B198" s="59">
        <v>13.64</v>
      </c>
      <c r="C198" s="12">
        <v>2</v>
      </c>
      <c r="D198" s="49">
        <v>46126</v>
      </c>
      <c r="E198" s="57" t="str">
        <v>MEYLIN ALEJANDRA ZUÑIGA NUÑEZ</v>
      </c>
      <c r="F198" s="32">
        <v>8</v>
      </c>
      <c r="H198" s="36">
        <v>0</v>
      </c>
      <c r="I198" s="36">
        <v>0</v>
      </c>
      <c r="J198" s="36">
        <v>0</v>
      </c>
      <c r="K198" s="36">
        <v>0</v>
      </c>
      <c r="L198" s="37">
        <v>0</v>
      </c>
      <c r="M198" s="37">
        <v>0</v>
      </c>
      <c r="O198" s="36">
        <v>0</v>
      </c>
      <c r="Q198" s="58"/>
      <c r="R198" s="36"/>
      <c r="S198" s="36"/>
      <c r="T198" s="37"/>
    </row>
    <row r="199" spans="1:20">
      <c r="A199" t="str">
        <v>L-S</v>
      </c>
      <c r="B199" s="59">
        <v>13.71</v>
      </c>
      <c r="C199" s="12">
        <v>2</v>
      </c>
      <c r="D199" s="49">
        <v>46126</v>
      </c>
      <c r="E199" s="57" t="str">
        <v>RAFAEL VEGA ALVAREZ</v>
      </c>
      <c r="F199" s="32">
        <v>8</v>
      </c>
      <c r="H199" s="36">
        <v>0</v>
      </c>
      <c r="I199" s="36">
        <v>0</v>
      </c>
      <c r="J199" s="36">
        <v>1.25</v>
      </c>
      <c r="K199" s="36">
        <v>0</v>
      </c>
      <c r="L199" s="37">
        <v>1.25</v>
      </c>
      <c r="M199" s="37">
        <v>0</v>
      </c>
      <c r="O199" s="36">
        <v>0</v>
      </c>
      <c r="Q199" s="58"/>
      <c r="R199" s="36"/>
      <c r="S199" s="36"/>
      <c r="T199" s="37"/>
    </row>
    <row r="200" spans="1:20">
      <c r="A200" t="str">
        <v>L-S</v>
      </c>
      <c r="B200" s="59">
        <v>13.79</v>
      </c>
      <c r="C200" s="12">
        <v>2</v>
      </c>
      <c r="D200" s="49">
        <v>46126</v>
      </c>
      <c r="E200" s="57" t="str">
        <v>JOSE QUESADA SOLIS</v>
      </c>
      <c r="F200" s="32">
        <v>8</v>
      </c>
      <c r="H200" s="36">
        <v>0</v>
      </c>
      <c r="I200" s="36">
        <v>0</v>
      </c>
      <c r="J200" s="36">
        <v>0</v>
      </c>
      <c r="K200" s="36">
        <v>0</v>
      </c>
      <c r="L200" s="37">
        <v>0</v>
      </c>
      <c r="M200" s="37">
        <v>0</v>
      </c>
      <c r="O200" s="36">
        <v>0</v>
      </c>
      <c r="Q200" s="58"/>
      <c r="R200" s="36"/>
      <c r="S200" s="36"/>
      <c r="T200" s="37"/>
    </row>
    <row r="201" spans="1:20">
      <c r="A201" t="str">
        <v>L-S</v>
      </c>
      <c r="B201" s="59">
        <v>13.86</v>
      </c>
      <c r="C201" s="12">
        <v>2</v>
      </c>
      <c r="D201" s="49">
        <v>46126</v>
      </c>
      <c r="E201" s="57" t="str">
        <v>MARIA FERNANDA ARAYA ARGUEDAS</v>
      </c>
      <c r="F201" s="32">
        <v>8</v>
      </c>
      <c r="H201" s="36">
        <v>0</v>
      </c>
      <c r="I201" s="36">
        <v>0</v>
      </c>
      <c r="J201" s="36">
        <v>7.5</v>
      </c>
      <c r="K201" s="36">
        <v>0</v>
      </c>
      <c r="L201" s="37">
        <v>7.5</v>
      </c>
      <c r="M201" s="37">
        <v>0</v>
      </c>
      <c r="O201" s="36">
        <v>0</v>
      </c>
      <c r="Q201" s="58"/>
      <c r="R201" s="36"/>
      <c r="S201" s="36"/>
      <c r="T201" s="37"/>
    </row>
    <row r="202" spans="1:20">
      <c r="A202" t="str">
        <v>L-S</v>
      </c>
      <c r="B202" s="59">
        <v>13.93</v>
      </c>
      <c r="C202" s="12">
        <v>2</v>
      </c>
      <c r="D202" s="49">
        <v>46126</v>
      </c>
      <c r="E202" s="57" t="str">
        <v>ANDREY ALONSO PALACIOS ALVAREZ</v>
      </c>
      <c r="F202" s="32">
        <v>8</v>
      </c>
      <c r="H202" s="36">
        <v>0</v>
      </c>
      <c r="I202" s="36">
        <v>0</v>
      </c>
      <c r="J202" s="36">
        <v>0</v>
      </c>
      <c r="K202" s="36">
        <v>0</v>
      </c>
      <c r="L202" s="37">
        <v>0</v>
      </c>
      <c r="M202" s="37">
        <v>0</v>
      </c>
      <c r="O202" s="36">
        <v>0</v>
      </c>
      <c r="Q202" s="58"/>
      <c r="R202" s="36"/>
      <c r="S202" s="36"/>
      <c r="T202" s="37"/>
    </row>
    <row r="203" spans="1:20">
      <c r="A203" t="str">
        <v>L-S</v>
      </c>
      <c r="B203" s="59">
        <v>14</v>
      </c>
      <c r="C203" s="12">
        <v>3</v>
      </c>
      <c r="D203" s="49">
        <v>46127</v>
      </c>
      <c r="E203" s="57" t="str">
        <v>ELIER CORTES BALTODANO</v>
      </c>
      <c r="F203" s="32">
        <v>8</v>
      </c>
      <c r="H203" s="36">
        <v>0</v>
      </c>
      <c r="I203" s="36">
        <v>0</v>
      </c>
      <c r="J203" s="36">
        <v>0.25</v>
      </c>
      <c r="K203" s="36">
        <v>0</v>
      </c>
      <c r="L203" s="37">
        <v>0.25</v>
      </c>
      <c r="M203" s="37">
        <v>0</v>
      </c>
      <c r="O203" s="36">
        <v>0</v>
      </c>
      <c r="Q203" s="58"/>
      <c r="R203" s="36"/>
      <c r="S203" s="36"/>
      <c r="T203" s="37"/>
    </row>
    <row r="204" spans="1:20">
      <c r="A204" t="str">
        <v>L-S</v>
      </c>
      <c r="B204" s="59">
        <v>14.07</v>
      </c>
      <c r="C204" s="12">
        <v>3</v>
      </c>
      <c r="D204" s="49">
        <v>46127</v>
      </c>
      <c r="E204" s="57" t="str">
        <v>NEIL JOSE GARCIA VARGAS</v>
      </c>
      <c r="F204" s="32">
        <v>8</v>
      </c>
      <c r="H204" s="36">
        <v>0</v>
      </c>
      <c r="I204" s="36">
        <v>0</v>
      </c>
      <c r="J204" s="36">
        <v>0</v>
      </c>
      <c r="K204" s="36">
        <v>0</v>
      </c>
      <c r="L204" s="37">
        <v>0</v>
      </c>
      <c r="M204" s="37">
        <v>0</v>
      </c>
      <c r="O204" s="36">
        <v>0</v>
      </c>
      <c r="Q204" s="58"/>
      <c r="R204" s="36"/>
      <c r="S204" s="36"/>
      <c r="T204" s="37"/>
    </row>
    <row r="205" spans="1:20">
      <c r="A205" t="str">
        <v>L-S</v>
      </c>
      <c r="B205" s="59">
        <v>14.14</v>
      </c>
      <c r="C205" s="12">
        <v>3</v>
      </c>
      <c r="D205" s="49">
        <v>46127</v>
      </c>
      <c r="E205" s="57" t="str">
        <v>JOSE DANIEL CHINCHILLA CERDAS</v>
      </c>
      <c r="F205" s="32">
        <v>8</v>
      </c>
      <c r="H205" s="36">
        <v>0</v>
      </c>
      <c r="I205" s="36">
        <v>0</v>
      </c>
      <c r="J205" s="36">
        <v>2.5</v>
      </c>
      <c r="K205" s="36">
        <v>0</v>
      </c>
      <c r="L205" s="37">
        <v>2.5</v>
      </c>
      <c r="M205" s="37">
        <v>0</v>
      </c>
      <c r="O205" s="36">
        <v>0</v>
      </c>
      <c r="Q205" s="58"/>
      <c r="R205" s="36"/>
      <c r="S205" s="36"/>
      <c r="T205" s="37"/>
    </row>
    <row r="206" spans="1:20">
      <c r="A206" t="str">
        <v>L-S</v>
      </c>
      <c r="B206" s="59">
        <v>14.21</v>
      </c>
      <c r="C206" s="12">
        <v>3</v>
      </c>
      <c r="D206" s="49">
        <v>46127</v>
      </c>
      <c r="E206" s="57" t="str">
        <v>MARIELA ARCE GARCIA</v>
      </c>
      <c r="F206" s="32">
        <v>8</v>
      </c>
      <c r="H206" s="36">
        <v>0</v>
      </c>
      <c r="I206" s="36">
        <v>0</v>
      </c>
      <c r="J206" s="36">
        <v>0</v>
      </c>
      <c r="K206" s="36">
        <v>0</v>
      </c>
      <c r="L206" s="37">
        <v>0</v>
      </c>
      <c r="M206" s="37">
        <v>0</v>
      </c>
      <c r="O206" s="36">
        <v>0</v>
      </c>
      <c r="Q206" s="58"/>
      <c r="R206" s="36"/>
      <c r="S206" s="36"/>
      <c r="T206" s="37"/>
    </row>
    <row r="207" spans="1:20">
      <c r="A207" t="str">
        <v>L-S</v>
      </c>
      <c r="B207" s="59">
        <v>14.29</v>
      </c>
      <c r="C207" s="12">
        <v>3</v>
      </c>
      <c r="D207" s="49">
        <v>46127</v>
      </c>
      <c r="E207" s="57" t="str">
        <v>ANTHONY ALVAREZ NAVARRO</v>
      </c>
      <c r="F207" s="32">
        <v>8</v>
      </c>
      <c r="H207" s="36">
        <v>0</v>
      </c>
      <c r="I207" s="36">
        <v>0</v>
      </c>
      <c r="J207" s="36">
        <v>0</v>
      </c>
      <c r="K207" s="36">
        <v>0</v>
      </c>
      <c r="L207" s="37">
        <v>0</v>
      </c>
      <c r="M207" s="37">
        <v>0</v>
      </c>
      <c r="O207" s="36">
        <v>0</v>
      </c>
      <c r="Q207" s="58"/>
      <c r="R207" s="36"/>
      <c r="S207" s="36"/>
      <c r="T207" s="37"/>
    </row>
    <row r="208" spans="1:20">
      <c r="A208" t="str">
        <v>L-S</v>
      </c>
      <c r="B208" s="59">
        <v>14.36</v>
      </c>
      <c r="C208" s="12">
        <v>3</v>
      </c>
      <c r="D208" s="49">
        <v>46127</v>
      </c>
      <c r="E208" s="57" t="str">
        <v>CESAR MATARRITA MATARRITA</v>
      </c>
      <c r="F208" s="32">
        <v>8</v>
      </c>
      <c r="H208" s="36">
        <v>0</v>
      </c>
      <c r="I208" s="36">
        <v>0</v>
      </c>
      <c r="J208" s="36">
        <v>0</v>
      </c>
      <c r="K208" s="36">
        <v>0</v>
      </c>
      <c r="L208" s="37">
        <v>0</v>
      </c>
      <c r="M208" s="37">
        <v>0</v>
      </c>
      <c r="O208" s="36">
        <v>0</v>
      </c>
      <c r="Q208" s="58"/>
      <c r="R208" s="36"/>
      <c r="S208" s="36"/>
      <c r="T208" s="37"/>
    </row>
    <row r="209" spans="1:20">
      <c r="A209" t="str">
        <v>L-S</v>
      </c>
      <c r="B209" s="59">
        <v>14.43</v>
      </c>
      <c r="C209" s="12">
        <v>3</v>
      </c>
      <c r="D209" s="49">
        <v>46127</v>
      </c>
      <c r="E209" s="57" t="str">
        <v>GERARDO BOLIVAR VARGAS FERNANDEZ</v>
      </c>
      <c r="F209" s="32">
        <v>8</v>
      </c>
      <c r="H209" s="36">
        <v>0</v>
      </c>
      <c r="I209" s="36">
        <v>0</v>
      </c>
      <c r="J209" s="36">
        <v>0</v>
      </c>
      <c r="K209" s="36">
        <v>0</v>
      </c>
      <c r="L209" s="37">
        <v>0</v>
      </c>
      <c r="M209" s="37">
        <v>0</v>
      </c>
      <c r="O209" s="36">
        <v>0</v>
      </c>
      <c r="Q209" s="58"/>
      <c r="R209" s="36"/>
      <c r="S209" s="36"/>
      <c r="T209" s="37"/>
    </row>
    <row r="210" spans="1:20">
      <c r="A210" t="str">
        <v>L-S</v>
      </c>
      <c r="B210" s="59">
        <v>14.5</v>
      </c>
      <c r="C210" s="12">
        <v>3</v>
      </c>
      <c r="D210" s="49">
        <v>46127</v>
      </c>
      <c r="E210" s="57" t="str">
        <v>LAURA REBECA CORDOBA FERNANDEZ</v>
      </c>
      <c r="F210" s="32">
        <v>8</v>
      </c>
      <c r="H210" s="36">
        <v>0</v>
      </c>
      <c r="I210" s="36">
        <v>0</v>
      </c>
      <c r="J210" s="36">
        <v>0</v>
      </c>
      <c r="K210" s="36">
        <v>0</v>
      </c>
      <c r="L210" s="37">
        <v>0</v>
      </c>
      <c r="M210" s="37">
        <v>0</v>
      </c>
      <c r="O210" s="36">
        <v>0</v>
      </c>
      <c r="Q210" s="58"/>
      <c r="R210" s="36"/>
      <c r="S210" s="36"/>
      <c r="T210" s="37"/>
    </row>
    <row r="211" spans="1:20">
      <c r="A211" t="str">
        <v>L-S</v>
      </c>
      <c r="B211" s="59">
        <v>14.57</v>
      </c>
      <c r="C211" s="12">
        <v>3</v>
      </c>
      <c r="D211" s="49">
        <v>46127</v>
      </c>
      <c r="E211" s="57" t="str">
        <v>VICTOR CHAVES MONTERO</v>
      </c>
      <c r="F211" s="32">
        <v>8</v>
      </c>
      <c r="H211" s="36">
        <v>0</v>
      </c>
      <c r="I211" s="36">
        <v>0</v>
      </c>
      <c r="J211" s="36">
        <v>8</v>
      </c>
      <c r="K211" s="36">
        <v>0</v>
      </c>
      <c r="L211" s="37">
        <v>8</v>
      </c>
      <c r="M211" s="37">
        <v>0</v>
      </c>
      <c r="O211" s="36">
        <v>0</v>
      </c>
      <c r="Q211" s="58"/>
      <c r="R211" s="36"/>
      <c r="S211" s="36"/>
      <c r="T211" s="37"/>
    </row>
    <row r="212" spans="1:20">
      <c r="A212" t="str">
        <v>L-S</v>
      </c>
      <c r="B212" s="59">
        <v>14.64</v>
      </c>
      <c r="C212" s="12">
        <v>3</v>
      </c>
      <c r="D212" s="49">
        <v>46127</v>
      </c>
      <c r="E212" s="57" t="str">
        <v>MEYLIN ALEJANDRA ZUÑIGA NUÑEZ</v>
      </c>
      <c r="F212" s="32">
        <v>8</v>
      </c>
      <c r="H212" s="36">
        <v>0</v>
      </c>
      <c r="I212" s="36">
        <v>0</v>
      </c>
      <c r="J212" s="36">
        <v>0</v>
      </c>
      <c r="K212" s="36">
        <v>0</v>
      </c>
      <c r="L212" s="37">
        <v>0</v>
      </c>
      <c r="M212" s="37">
        <v>0</v>
      </c>
      <c r="O212" s="36">
        <v>0</v>
      </c>
      <c r="Q212" s="58"/>
      <c r="R212" s="36"/>
      <c r="S212" s="36"/>
      <c r="T212" s="37"/>
    </row>
    <row r="213" spans="1:20">
      <c r="A213" t="str">
        <v>L-S</v>
      </c>
      <c r="B213" s="59">
        <v>14.71</v>
      </c>
      <c r="C213" s="12">
        <v>3</v>
      </c>
      <c r="D213" s="49">
        <v>46127</v>
      </c>
      <c r="E213" s="57" t="str">
        <v>RAFAEL VEGA ALVAREZ</v>
      </c>
      <c r="F213" s="32">
        <v>8</v>
      </c>
      <c r="H213" s="36">
        <v>0</v>
      </c>
      <c r="I213" s="36">
        <v>0</v>
      </c>
      <c r="J213" s="36">
        <v>1</v>
      </c>
      <c r="K213" s="36">
        <v>0</v>
      </c>
      <c r="L213" s="37">
        <v>1</v>
      </c>
      <c r="M213" s="37">
        <v>0</v>
      </c>
      <c r="O213" s="36">
        <v>0</v>
      </c>
      <c r="Q213" s="58"/>
      <c r="R213" s="36"/>
      <c r="S213" s="36"/>
      <c r="T213" s="37"/>
    </row>
    <row r="214" spans="1:20">
      <c r="A214" t="str">
        <v>L-S</v>
      </c>
      <c r="B214" s="59">
        <v>14.79</v>
      </c>
      <c r="C214" s="12">
        <v>3</v>
      </c>
      <c r="D214" s="49">
        <v>46127</v>
      </c>
      <c r="E214" s="57" t="str">
        <v>JOSE QUESADA SOLIS</v>
      </c>
      <c r="F214" s="32">
        <v>8</v>
      </c>
      <c r="H214" s="36">
        <v>0</v>
      </c>
      <c r="I214" s="36">
        <v>0</v>
      </c>
      <c r="J214" s="36">
        <v>0</v>
      </c>
      <c r="K214" s="36">
        <v>0</v>
      </c>
      <c r="L214" s="37">
        <v>0</v>
      </c>
      <c r="M214" s="37">
        <v>0</v>
      </c>
      <c r="O214" s="36">
        <v>0</v>
      </c>
      <c r="Q214" s="58"/>
      <c r="R214" s="36"/>
      <c r="S214" s="36"/>
      <c r="T214" s="37"/>
    </row>
    <row r="215" spans="1:20">
      <c r="A215" t="str">
        <v>L-S</v>
      </c>
      <c r="B215" s="59">
        <v>14.86</v>
      </c>
      <c r="C215" s="12">
        <v>3</v>
      </c>
      <c r="D215" s="49">
        <v>46127</v>
      </c>
      <c r="E215" s="57" t="str">
        <v>MARIA FERNANDA ARAYA ARGUEDAS</v>
      </c>
      <c r="F215" s="32">
        <v>8</v>
      </c>
      <c r="H215" s="36">
        <v>0</v>
      </c>
      <c r="I215" s="36">
        <v>0</v>
      </c>
      <c r="J215" s="36">
        <v>7.5</v>
      </c>
      <c r="K215" s="36">
        <v>0</v>
      </c>
      <c r="L215" s="37">
        <v>7.5</v>
      </c>
      <c r="M215" s="37">
        <v>0</v>
      </c>
      <c r="O215" s="36">
        <v>0</v>
      </c>
      <c r="Q215" s="58"/>
      <c r="R215" s="36"/>
      <c r="S215" s="36"/>
      <c r="T215" s="37"/>
    </row>
    <row r="216" spans="1:20">
      <c r="A216" t="str">
        <v>L-S</v>
      </c>
      <c r="B216" s="59">
        <v>14.93</v>
      </c>
      <c r="C216" s="12">
        <v>3</v>
      </c>
      <c r="D216" s="49">
        <v>46127</v>
      </c>
      <c r="E216" s="57" t="str">
        <v>ANDREY ALONSO PALACIOS ALVAREZ</v>
      </c>
      <c r="F216" s="32">
        <v>8</v>
      </c>
      <c r="H216" s="36">
        <v>0</v>
      </c>
      <c r="I216" s="36">
        <v>0</v>
      </c>
      <c r="J216" s="36">
        <v>8</v>
      </c>
      <c r="K216" s="36">
        <v>0</v>
      </c>
      <c r="L216" s="37">
        <v>8</v>
      </c>
      <c r="M216" s="37">
        <v>0</v>
      </c>
      <c r="O216" s="36">
        <v>0</v>
      </c>
      <c r="Q216" s="58"/>
      <c r="R216" s="36"/>
      <c r="S216" s="36"/>
      <c r="T216" s="37"/>
    </row>
    <row r="217" spans="1:20">
      <c r="A217" t="str">
        <v>L-S</v>
      </c>
      <c r="B217" s="59">
        <v>15</v>
      </c>
      <c r="C217" s="12">
        <v>4</v>
      </c>
      <c r="D217" s="49">
        <v>46128</v>
      </c>
      <c r="E217" s="57" t="str">
        <v>ELIER CORTES BALTODANO</v>
      </c>
      <c r="F217" s="32">
        <v>8</v>
      </c>
      <c r="H217" s="36">
        <v>0</v>
      </c>
      <c r="I217" s="36">
        <v>0</v>
      </c>
      <c r="J217" s="36">
        <v>0</v>
      </c>
      <c r="K217" s="36">
        <v>0</v>
      </c>
      <c r="L217" s="37">
        <v>0</v>
      </c>
      <c r="M217" s="37">
        <v>0</v>
      </c>
      <c r="O217" s="36">
        <v>0</v>
      </c>
      <c r="Q217" s="58"/>
      <c r="R217" s="36"/>
      <c r="S217" s="36"/>
      <c r="T217" s="37"/>
    </row>
    <row r="218" spans="1:20">
      <c r="A218" t="str">
        <v>L-S</v>
      </c>
      <c r="B218" s="59">
        <v>15.07</v>
      </c>
      <c r="C218" s="12">
        <v>4</v>
      </c>
      <c r="D218" s="49">
        <v>46128</v>
      </c>
      <c r="E218" s="57" t="str">
        <v>NEIL JOSE GARCIA VARGAS</v>
      </c>
      <c r="F218" s="32">
        <v>8</v>
      </c>
      <c r="H218" s="36">
        <v>0</v>
      </c>
      <c r="I218" s="36">
        <v>0</v>
      </c>
      <c r="J218" s="36">
        <v>0</v>
      </c>
      <c r="K218" s="36">
        <v>0</v>
      </c>
      <c r="L218" s="37">
        <v>0</v>
      </c>
      <c r="M218" s="37">
        <v>0</v>
      </c>
      <c r="O218" s="36">
        <v>0</v>
      </c>
      <c r="Q218" s="58"/>
      <c r="R218" s="36"/>
      <c r="S218" s="36"/>
      <c r="T218" s="37"/>
    </row>
    <row r="219" spans="1:20">
      <c r="A219" t="str">
        <v>L-S</v>
      </c>
      <c r="B219" s="59">
        <v>15.14</v>
      </c>
      <c r="C219" s="12">
        <v>4</v>
      </c>
      <c r="D219" s="49">
        <v>46128</v>
      </c>
      <c r="E219" s="57" t="str">
        <v>JOSE DANIEL CHINCHILLA CERDAS</v>
      </c>
      <c r="F219" s="32">
        <v>8</v>
      </c>
      <c r="H219" s="36">
        <v>0</v>
      </c>
      <c r="I219" s="36">
        <v>0</v>
      </c>
      <c r="J219" s="36">
        <v>2.5</v>
      </c>
      <c r="K219" s="36">
        <v>0</v>
      </c>
      <c r="L219" s="37">
        <v>2.5</v>
      </c>
      <c r="M219" s="37">
        <v>0</v>
      </c>
      <c r="O219" s="36">
        <v>0</v>
      </c>
      <c r="Q219" s="58"/>
      <c r="R219" s="36"/>
      <c r="S219" s="36"/>
      <c r="T219" s="37"/>
    </row>
    <row r="220" spans="1:20">
      <c r="A220" t="str">
        <v>L-S</v>
      </c>
      <c r="B220" s="59">
        <v>15.21</v>
      </c>
      <c r="C220" s="12">
        <v>4</v>
      </c>
      <c r="D220" s="49">
        <v>46128</v>
      </c>
      <c r="E220" s="57" t="str">
        <v>MARIELA ARCE GARCIA</v>
      </c>
      <c r="F220" s="32">
        <v>8</v>
      </c>
      <c r="H220" s="36">
        <v>0</v>
      </c>
      <c r="I220" s="36">
        <v>0</v>
      </c>
      <c r="J220" s="36">
        <v>0.5</v>
      </c>
      <c r="K220" s="36">
        <v>0</v>
      </c>
      <c r="L220" s="37">
        <v>0.5</v>
      </c>
      <c r="M220" s="37">
        <v>0</v>
      </c>
      <c r="O220" s="36">
        <v>0</v>
      </c>
      <c r="Q220" s="58"/>
      <c r="R220" s="36"/>
      <c r="S220" s="36"/>
      <c r="T220" s="37"/>
    </row>
    <row r="221" spans="1:20">
      <c r="A221" t="str">
        <v>L-S</v>
      </c>
      <c r="B221" s="59">
        <v>15.29</v>
      </c>
      <c r="C221" s="12">
        <v>4</v>
      </c>
      <c r="D221" s="49">
        <v>46128</v>
      </c>
      <c r="E221" s="57" t="str">
        <v>ANTHONY ALVAREZ NAVARRO</v>
      </c>
      <c r="F221" s="32">
        <v>8</v>
      </c>
      <c r="H221" s="36">
        <v>0</v>
      </c>
      <c r="I221" s="36">
        <v>0</v>
      </c>
      <c r="J221" s="36">
        <v>0</v>
      </c>
      <c r="K221" s="36">
        <v>0</v>
      </c>
      <c r="L221" s="37">
        <v>0</v>
      </c>
      <c r="M221" s="37">
        <v>0</v>
      </c>
      <c r="O221" s="36">
        <v>0</v>
      </c>
      <c r="Q221" s="58"/>
      <c r="R221" s="36"/>
      <c r="S221" s="36"/>
      <c r="T221" s="37"/>
    </row>
    <row r="222" spans="1:20">
      <c r="A222" t="str">
        <v>L-S</v>
      </c>
      <c r="B222" s="59">
        <v>15.36</v>
      </c>
      <c r="C222" s="12">
        <v>4</v>
      </c>
      <c r="D222" s="49">
        <v>46128</v>
      </c>
      <c r="E222" s="57" t="str">
        <v>CESAR MATARRITA MATARRITA</v>
      </c>
      <c r="F222" s="32">
        <v>8</v>
      </c>
      <c r="H222" s="36">
        <v>0</v>
      </c>
      <c r="I222" s="36">
        <v>0</v>
      </c>
      <c r="J222" s="36">
        <v>3.5</v>
      </c>
      <c r="K222" s="36">
        <v>0</v>
      </c>
      <c r="L222" s="37">
        <v>3.5</v>
      </c>
      <c r="M222" s="37">
        <v>0</v>
      </c>
      <c r="O222" s="36">
        <v>0</v>
      </c>
      <c r="Q222" s="58"/>
      <c r="R222" s="36"/>
      <c r="S222" s="36"/>
      <c r="T222" s="37"/>
    </row>
    <row r="223" spans="1:20">
      <c r="A223" t="str">
        <v>L-S</v>
      </c>
      <c r="B223" s="59">
        <v>15.43</v>
      </c>
      <c r="C223" s="12">
        <v>4</v>
      </c>
      <c r="D223" s="49">
        <v>46128</v>
      </c>
      <c r="E223" s="57" t="str">
        <v>GERARDO BOLIVAR VARGAS FERNANDEZ</v>
      </c>
      <c r="F223" s="32">
        <v>8</v>
      </c>
      <c r="H223" s="36">
        <v>0</v>
      </c>
      <c r="I223" s="36">
        <v>0</v>
      </c>
      <c r="J223" s="36">
        <v>0.25</v>
      </c>
      <c r="K223" s="36">
        <v>0</v>
      </c>
      <c r="L223" s="37">
        <v>0.25</v>
      </c>
      <c r="M223" s="37">
        <v>0</v>
      </c>
      <c r="O223" s="36">
        <v>0</v>
      </c>
      <c r="Q223" s="58"/>
      <c r="R223" s="36"/>
      <c r="S223" s="36"/>
      <c r="T223" s="37"/>
    </row>
    <row r="224" spans="1:20">
      <c r="A224" t="str">
        <v>L-S</v>
      </c>
      <c r="B224" s="59">
        <v>15.5</v>
      </c>
      <c r="C224" s="12">
        <v>4</v>
      </c>
      <c r="D224" s="49">
        <v>46128</v>
      </c>
      <c r="E224" s="57" t="str">
        <v>LAURA REBECA CORDOBA FERNANDEZ</v>
      </c>
      <c r="F224" s="32">
        <v>8</v>
      </c>
      <c r="H224" s="36">
        <v>0</v>
      </c>
      <c r="I224" s="36">
        <v>0</v>
      </c>
      <c r="J224" s="36">
        <v>3</v>
      </c>
      <c r="K224" s="36">
        <v>0</v>
      </c>
      <c r="L224" s="37">
        <v>3</v>
      </c>
      <c r="M224" s="37">
        <v>0</v>
      </c>
      <c r="O224" s="36">
        <v>0</v>
      </c>
      <c r="Q224" s="58"/>
      <c r="R224" s="36"/>
      <c r="S224" s="36"/>
      <c r="T224" s="37"/>
    </row>
    <row r="225" spans="1:20">
      <c r="A225" t="str">
        <v>L-S</v>
      </c>
      <c r="B225" s="59">
        <v>15.57</v>
      </c>
      <c r="C225" s="12">
        <v>4</v>
      </c>
      <c r="D225" s="49">
        <v>46128</v>
      </c>
      <c r="E225" s="57" t="str">
        <v>VICTOR CHAVES MONTERO</v>
      </c>
      <c r="F225" s="32">
        <v>8</v>
      </c>
      <c r="H225" s="36">
        <v>0</v>
      </c>
      <c r="I225" s="36">
        <v>0</v>
      </c>
      <c r="J225" s="36">
        <v>8</v>
      </c>
      <c r="K225" s="36">
        <v>0</v>
      </c>
      <c r="L225" s="37">
        <v>8</v>
      </c>
      <c r="M225" s="37">
        <v>0</v>
      </c>
      <c r="O225" s="36">
        <v>0</v>
      </c>
      <c r="Q225" s="58"/>
      <c r="R225" s="36"/>
      <c r="S225" s="36"/>
      <c r="T225" s="37"/>
    </row>
    <row r="226" spans="1:20">
      <c r="A226" t="str">
        <v>L-S</v>
      </c>
      <c r="B226" s="59">
        <v>15.64</v>
      </c>
      <c r="C226" s="12">
        <v>4</v>
      </c>
      <c r="D226" s="49">
        <v>46128</v>
      </c>
      <c r="E226" s="57" t="str">
        <v>MEYLIN ALEJANDRA ZUÑIGA NUÑEZ</v>
      </c>
      <c r="F226" s="32">
        <v>8</v>
      </c>
      <c r="H226" s="36">
        <v>0</v>
      </c>
      <c r="I226" s="36">
        <v>0</v>
      </c>
      <c r="J226" s="36">
        <v>0</v>
      </c>
      <c r="K226" s="36">
        <v>0</v>
      </c>
      <c r="L226" s="37">
        <v>0</v>
      </c>
      <c r="M226" s="37">
        <v>0</v>
      </c>
      <c r="O226" s="36">
        <v>0</v>
      </c>
      <c r="Q226" s="58"/>
      <c r="R226" s="36"/>
      <c r="S226" s="36"/>
      <c r="T226" s="37"/>
    </row>
    <row r="227" spans="1:20">
      <c r="A227" t="str">
        <v>L-S</v>
      </c>
      <c r="B227" s="59">
        <v>15.71</v>
      </c>
      <c r="C227" s="12">
        <v>4</v>
      </c>
      <c r="D227" s="49">
        <v>46128</v>
      </c>
      <c r="E227" s="57" t="str">
        <v>RAFAEL VEGA ALVAREZ</v>
      </c>
      <c r="F227" s="32">
        <v>8</v>
      </c>
      <c r="H227" s="36">
        <v>0</v>
      </c>
      <c r="I227" s="36">
        <v>0</v>
      </c>
      <c r="J227" s="36">
        <v>1</v>
      </c>
      <c r="K227" s="36">
        <v>0</v>
      </c>
      <c r="L227" s="37">
        <v>1</v>
      </c>
      <c r="M227" s="37">
        <v>0</v>
      </c>
      <c r="O227" s="36">
        <v>0</v>
      </c>
      <c r="Q227" s="58"/>
      <c r="R227" s="36"/>
      <c r="S227" s="36"/>
      <c r="T227" s="37"/>
    </row>
    <row r="228" spans="1:20">
      <c r="A228" t="str">
        <v>L-S</v>
      </c>
      <c r="B228" s="59">
        <v>15.79</v>
      </c>
      <c r="C228" s="12">
        <v>4</v>
      </c>
      <c r="D228" s="49">
        <v>46128</v>
      </c>
      <c r="E228" s="57" t="str">
        <v>JOSE QUESADA SOLIS</v>
      </c>
      <c r="F228" s="32">
        <v>8</v>
      </c>
      <c r="H228" s="36">
        <v>0</v>
      </c>
      <c r="I228" s="36">
        <v>0</v>
      </c>
      <c r="J228" s="36">
        <v>0</v>
      </c>
      <c r="K228" s="36">
        <v>0</v>
      </c>
      <c r="L228" s="37">
        <v>0</v>
      </c>
      <c r="M228" s="37">
        <v>0</v>
      </c>
      <c r="O228" s="36">
        <v>0</v>
      </c>
      <c r="Q228" s="58"/>
      <c r="R228" s="36"/>
      <c r="S228" s="36"/>
      <c r="T228" s="37"/>
    </row>
    <row r="229" spans="1:20">
      <c r="A229" t="str">
        <v>L-S</v>
      </c>
      <c r="B229" s="59">
        <v>15.86</v>
      </c>
      <c r="C229" s="12">
        <v>4</v>
      </c>
      <c r="D229" s="49">
        <v>46128</v>
      </c>
      <c r="E229" s="57" t="str">
        <v>MARIA FERNANDA ARAYA ARGUEDAS</v>
      </c>
      <c r="F229" s="32">
        <v>8</v>
      </c>
      <c r="H229" s="36">
        <v>0</v>
      </c>
      <c r="I229" s="36">
        <v>0</v>
      </c>
      <c r="J229" s="36">
        <v>7</v>
      </c>
      <c r="K229" s="36">
        <v>0</v>
      </c>
      <c r="L229" s="37">
        <v>7</v>
      </c>
      <c r="M229" s="37">
        <v>0</v>
      </c>
      <c r="O229" s="36">
        <v>0</v>
      </c>
      <c r="Q229" s="58"/>
      <c r="R229" s="36"/>
      <c r="S229" s="36"/>
      <c r="T229" s="37"/>
    </row>
    <row r="230" spans="1:20">
      <c r="A230" t="str">
        <v>L-S</v>
      </c>
      <c r="B230" s="59">
        <v>15.93</v>
      </c>
      <c r="C230" s="12">
        <v>4</v>
      </c>
      <c r="D230" s="49">
        <v>46128</v>
      </c>
      <c r="E230" s="57" t="str">
        <v>ANDREY ALONSO PALACIOS ALVAREZ</v>
      </c>
      <c r="F230" s="32">
        <v>8</v>
      </c>
      <c r="H230" s="36">
        <v>0</v>
      </c>
      <c r="I230" s="36">
        <v>0</v>
      </c>
      <c r="J230" s="36">
        <v>0</v>
      </c>
      <c r="K230" s="36">
        <v>0</v>
      </c>
      <c r="L230" s="37">
        <v>0</v>
      </c>
      <c r="M230" s="37">
        <v>0</v>
      </c>
      <c r="O230" s="36">
        <v>0</v>
      </c>
      <c r="Q230" s="58"/>
      <c r="R230" s="36"/>
      <c r="S230" s="36"/>
      <c r="T230" s="37"/>
    </row>
    <row r="231" spans="1:20">
      <c r="A231" t="str">
        <v>L-S</v>
      </c>
      <c r="B231" s="59">
        <v>16</v>
      </c>
      <c r="C231" s="12">
        <v>5</v>
      </c>
      <c r="D231" s="49">
        <v>46129</v>
      </c>
      <c r="E231" s="57" t="str">
        <v>ELIER CORTES BALTODANO</v>
      </c>
      <c r="F231" s="32">
        <v>8</v>
      </c>
      <c r="H231" s="36">
        <v>0</v>
      </c>
      <c r="I231" s="36">
        <v>0</v>
      </c>
      <c r="J231" s="36">
        <v>0</v>
      </c>
      <c r="K231" s="36">
        <v>0</v>
      </c>
      <c r="L231" s="37">
        <v>0</v>
      </c>
      <c r="M231" s="37">
        <v>0</v>
      </c>
      <c r="O231" s="36">
        <v>0</v>
      </c>
      <c r="Q231" s="58"/>
      <c r="R231" s="36"/>
      <c r="S231" s="36"/>
      <c r="T231" s="37"/>
    </row>
    <row r="232" spans="1:20">
      <c r="A232" t="str">
        <v>L-S</v>
      </c>
      <c r="B232" s="59">
        <v>16.07</v>
      </c>
      <c r="C232" s="12">
        <v>5</v>
      </c>
      <c r="D232" s="49">
        <v>46129</v>
      </c>
      <c r="E232" s="57" t="str">
        <v>NEIL JOSE GARCIA VARGAS</v>
      </c>
      <c r="F232" s="32">
        <v>8</v>
      </c>
      <c r="H232" s="36">
        <v>0</v>
      </c>
      <c r="I232" s="36">
        <v>0</v>
      </c>
      <c r="J232" s="36">
        <v>3</v>
      </c>
      <c r="K232" s="36">
        <v>0</v>
      </c>
      <c r="L232" s="37">
        <v>3</v>
      </c>
      <c r="M232" s="37">
        <v>0</v>
      </c>
      <c r="O232" s="36">
        <v>0</v>
      </c>
      <c r="Q232" s="58"/>
      <c r="R232" s="36"/>
      <c r="S232" s="36"/>
      <c r="T232" s="37"/>
    </row>
    <row r="233" spans="1:20">
      <c r="A233" t="str">
        <v>L-S</v>
      </c>
      <c r="B233" s="59">
        <v>16.14</v>
      </c>
      <c r="C233" s="12">
        <v>5</v>
      </c>
      <c r="D233" s="49">
        <v>46129</v>
      </c>
      <c r="E233" s="57" t="str">
        <v>JOSE DANIEL CHINCHILLA CERDAS</v>
      </c>
      <c r="F233" s="32">
        <v>8</v>
      </c>
      <c r="H233" s="36">
        <v>0</v>
      </c>
      <c r="I233" s="36">
        <v>0</v>
      </c>
      <c r="J233" s="36">
        <v>0.5</v>
      </c>
      <c r="K233" s="36">
        <v>0</v>
      </c>
      <c r="L233" s="37">
        <v>0.5</v>
      </c>
      <c r="M233" s="37">
        <v>0</v>
      </c>
      <c r="O233" s="36">
        <v>0</v>
      </c>
      <c r="Q233" s="58"/>
      <c r="R233" s="36"/>
      <c r="S233" s="36"/>
      <c r="T233" s="37"/>
    </row>
    <row r="234" spans="1:20">
      <c r="A234" t="str">
        <v>L-S</v>
      </c>
      <c r="B234" s="59">
        <v>16.21</v>
      </c>
      <c r="C234" s="12">
        <v>5</v>
      </c>
      <c r="D234" s="49">
        <v>46129</v>
      </c>
      <c r="E234" s="57" t="str">
        <v>MARIELA ARCE GARCIA</v>
      </c>
      <c r="F234" s="32">
        <v>8</v>
      </c>
      <c r="H234" s="36">
        <v>0</v>
      </c>
      <c r="I234" s="36">
        <v>0</v>
      </c>
      <c r="J234" s="36">
        <v>0</v>
      </c>
      <c r="K234" s="36">
        <v>0</v>
      </c>
      <c r="L234" s="37">
        <v>0</v>
      </c>
      <c r="M234" s="37">
        <v>0</v>
      </c>
      <c r="O234" s="36">
        <v>0</v>
      </c>
      <c r="Q234" s="58"/>
      <c r="R234" s="36"/>
      <c r="S234" s="36"/>
      <c r="T234" s="37"/>
    </row>
    <row r="235" spans="1:20">
      <c r="A235" t="str">
        <v>L-S</v>
      </c>
      <c r="B235" s="59">
        <v>16.29</v>
      </c>
      <c r="C235" s="12">
        <v>5</v>
      </c>
      <c r="D235" s="49">
        <v>46129</v>
      </c>
      <c r="E235" s="57" t="str">
        <v>ANTHONY ALVAREZ NAVARRO</v>
      </c>
      <c r="F235" s="32">
        <v>8</v>
      </c>
      <c r="H235" s="36">
        <v>0</v>
      </c>
      <c r="I235" s="36">
        <v>0</v>
      </c>
      <c r="J235" s="36">
        <v>0</v>
      </c>
      <c r="K235" s="36">
        <v>0</v>
      </c>
      <c r="L235" s="37">
        <v>0</v>
      </c>
      <c r="M235" s="37">
        <v>0</v>
      </c>
      <c r="O235" s="36">
        <v>0</v>
      </c>
      <c r="Q235" s="58"/>
      <c r="R235" s="36"/>
      <c r="S235" s="36"/>
      <c r="T235" s="37"/>
    </row>
    <row r="236" spans="1:20">
      <c r="A236" t="str">
        <v>L-S</v>
      </c>
      <c r="B236" s="59">
        <v>16.36</v>
      </c>
      <c r="C236" s="12">
        <v>5</v>
      </c>
      <c r="D236" s="49">
        <v>46129</v>
      </c>
      <c r="E236" s="57" t="str">
        <v>CESAR MATARRITA MATARRITA</v>
      </c>
      <c r="F236" s="32">
        <v>8</v>
      </c>
      <c r="H236" s="36">
        <v>0</v>
      </c>
      <c r="I236" s="36">
        <v>0</v>
      </c>
      <c r="J236" s="36">
        <v>2</v>
      </c>
      <c r="K236" s="36">
        <v>0</v>
      </c>
      <c r="L236" s="37">
        <v>2</v>
      </c>
      <c r="M236" s="37">
        <v>0</v>
      </c>
      <c r="O236" s="36">
        <v>0</v>
      </c>
      <c r="Q236" s="58"/>
      <c r="R236" s="36"/>
      <c r="S236" s="36"/>
      <c r="T236" s="37"/>
    </row>
    <row r="237" spans="1:20">
      <c r="A237" t="str">
        <v>L-S</v>
      </c>
      <c r="B237" s="59">
        <v>16.43</v>
      </c>
      <c r="C237" s="12">
        <v>5</v>
      </c>
      <c r="D237" s="49">
        <v>46129</v>
      </c>
      <c r="E237" s="57" t="str">
        <v>GERARDO BOLIVAR VARGAS FERNANDEZ</v>
      </c>
      <c r="F237" s="32">
        <v>8</v>
      </c>
      <c r="H237" s="36">
        <v>0</v>
      </c>
      <c r="I237" s="36">
        <v>0</v>
      </c>
      <c r="J237" s="36">
        <v>0.5</v>
      </c>
      <c r="K237" s="36">
        <v>0</v>
      </c>
      <c r="L237" s="37">
        <v>0.5</v>
      </c>
      <c r="M237" s="37">
        <v>0</v>
      </c>
      <c r="O237" s="36">
        <v>0</v>
      </c>
      <c r="Q237" s="58"/>
      <c r="R237" s="36"/>
      <c r="S237" s="36"/>
      <c r="T237" s="37"/>
    </row>
    <row r="238" spans="1:20">
      <c r="A238" t="str">
        <v>L-S</v>
      </c>
      <c r="B238" s="59">
        <v>16.5</v>
      </c>
      <c r="C238" s="12">
        <v>5</v>
      </c>
      <c r="D238" s="49">
        <v>46129</v>
      </c>
      <c r="E238" s="57" t="str">
        <v>LAURA REBECA CORDOBA FERNANDEZ</v>
      </c>
      <c r="F238" s="32">
        <v>8</v>
      </c>
      <c r="H238" s="36">
        <v>0</v>
      </c>
      <c r="I238" s="36">
        <v>0</v>
      </c>
      <c r="J238" s="36">
        <v>0</v>
      </c>
      <c r="K238" s="36">
        <v>0</v>
      </c>
      <c r="L238" s="37">
        <v>0</v>
      </c>
      <c r="M238" s="37">
        <v>0</v>
      </c>
      <c r="O238" s="36">
        <v>0</v>
      </c>
      <c r="Q238" s="58"/>
      <c r="R238" s="36"/>
      <c r="S238" s="36"/>
      <c r="T238" s="37"/>
    </row>
    <row r="239" spans="1:20">
      <c r="A239" t="str">
        <v>L-S</v>
      </c>
      <c r="B239" s="59">
        <v>16.57</v>
      </c>
      <c r="C239" s="12">
        <v>5</v>
      </c>
      <c r="D239" s="49">
        <v>46129</v>
      </c>
      <c r="E239" s="57" t="str">
        <v>VICTOR CHAVES MONTERO</v>
      </c>
      <c r="F239" s="32">
        <v>8</v>
      </c>
      <c r="H239" s="36">
        <v>0</v>
      </c>
      <c r="I239" s="36">
        <v>0</v>
      </c>
      <c r="J239" s="36">
        <v>8</v>
      </c>
      <c r="K239" s="36">
        <v>0</v>
      </c>
      <c r="L239" s="37">
        <v>8</v>
      </c>
      <c r="M239" s="37">
        <v>0</v>
      </c>
      <c r="O239" s="36">
        <v>0</v>
      </c>
      <c r="Q239" s="58"/>
      <c r="R239" s="36"/>
      <c r="S239" s="36"/>
      <c r="T239" s="37"/>
    </row>
    <row r="240" spans="1:20">
      <c r="A240" t="str">
        <v>L-S</v>
      </c>
      <c r="B240" s="59">
        <v>16.64</v>
      </c>
      <c r="C240" s="12">
        <v>5</v>
      </c>
      <c r="D240" s="49">
        <v>46129</v>
      </c>
      <c r="E240" s="57" t="str">
        <v>MEYLIN ALEJANDRA ZUÑIGA NUÑEZ</v>
      </c>
      <c r="F240" s="32">
        <v>8</v>
      </c>
      <c r="H240" s="36">
        <v>0</v>
      </c>
      <c r="I240" s="36">
        <v>0</v>
      </c>
      <c r="J240" s="36">
        <v>0</v>
      </c>
      <c r="K240" s="36">
        <v>0</v>
      </c>
      <c r="L240" s="37">
        <v>0</v>
      </c>
      <c r="M240" s="37">
        <v>0</v>
      </c>
      <c r="O240" s="36">
        <v>0</v>
      </c>
      <c r="Q240" s="58"/>
      <c r="R240" s="36"/>
      <c r="S240" s="36"/>
      <c r="T240" s="37"/>
    </row>
    <row r="241" spans="1:20">
      <c r="A241" t="str">
        <v>L-S</v>
      </c>
      <c r="B241" s="59">
        <v>16.71</v>
      </c>
      <c r="C241" s="12">
        <v>5</v>
      </c>
      <c r="D241" s="49">
        <v>46129</v>
      </c>
      <c r="E241" s="57" t="str">
        <v>RAFAEL VEGA ALVAREZ</v>
      </c>
      <c r="F241" s="32">
        <v>8</v>
      </c>
      <c r="H241" s="36">
        <v>0</v>
      </c>
      <c r="I241" s="36">
        <v>0</v>
      </c>
      <c r="J241" s="36">
        <v>1.25</v>
      </c>
      <c r="K241" s="36">
        <v>0</v>
      </c>
      <c r="L241" s="37">
        <v>1.25</v>
      </c>
      <c r="M241" s="37">
        <v>0</v>
      </c>
      <c r="O241" s="36">
        <v>0</v>
      </c>
      <c r="Q241" s="58"/>
      <c r="R241" s="36"/>
      <c r="S241" s="36"/>
      <c r="T241" s="37"/>
    </row>
    <row r="242" spans="1:20">
      <c r="A242" t="str">
        <v>L-S</v>
      </c>
      <c r="B242" s="59">
        <v>16.79</v>
      </c>
      <c r="C242" s="12">
        <v>5</v>
      </c>
      <c r="D242" s="49">
        <v>46129</v>
      </c>
      <c r="E242" s="57" t="str">
        <v>JOSE QUESADA SOLIS</v>
      </c>
      <c r="F242" s="32">
        <v>8</v>
      </c>
      <c r="H242" s="36">
        <v>0</v>
      </c>
      <c r="I242" s="36">
        <v>0</v>
      </c>
      <c r="J242" s="36">
        <v>0</v>
      </c>
      <c r="K242" s="36">
        <v>0</v>
      </c>
      <c r="L242" s="37">
        <v>0</v>
      </c>
      <c r="M242" s="37">
        <v>0</v>
      </c>
      <c r="O242" s="36">
        <v>0</v>
      </c>
      <c r="Q242" s="58"/>
      <c r="R242" s="36"/>
      <c r="S242" s="36"/>
      <c r="T242" s="37"/>
    </row>
    <row r="243" spans="1:20">
      <c r="A243" t="str">
        <v>L-S</v>
      </c>
      <c r="B243" s="59">
        <v>16.86</v>
      </c>
      <c r="C243" s="12">
        <v>5</v>
      </c>
      <c r="D243" s="49">
        <v>46129</v>
      </c>
      <c r="E243" s="57" t="str">
        <v>MARIA FERNANDA ARAYA ARGUEDAS</v>
      </c>
      <c r="F243" s="32">
        <v>8</v>
      </c>
      <c r="H243" s="36">
        <v>0</v>
      </c>
      <c r="I243" s="36">
        <v>0</v>
      </c>
      <c r="J243" s="36">
        <v>3.5</v>
      </c>
      <c r="K243" s="36">
        <v>0</v>
      </c>
      <c r="L243" s="37">
        <v>3.5</v>
      </c>
      <c r="M243" s="37">
        <v>0</v>
      </c>
      <c r="O243" s="36">
        <v>0</v>
      </c>
      <c r="Q243" s="58"/>
      <c r="R243" s="36"/>
      <c r="S243" s="36"/>
      <c r="T243" s="37"/>
    </row>
    <row r="244" spans="1:20">
      <c r="A244" t="str">
        <v>L-S</v>
      </c>
      <c r="B244" s="59">
        <v>16.93</v>
      </c>
      <c r="C244" s="12">
        <v>5</v>
      </c>
      <c r="D244" s="49">
        <v>46129</v>
      </c>
      <c r="E244" s="57" t="str">
        <v>ANDREY ALONSO PALACIOS ALVAREZ</v>
      </c>
      <c r="F244" s="32">
        <v>8</v>
      </c>
      <c r="H244" s="36">
        <v>0</v>
      </c>
      <c r="I244" s="36">
        <v>0</v>
      </c>
      <c r="J244" s="36">
        <v>4.5</v>
      </c>
      <c r="K244" s="36">
        <v>0</v>
      </c>
      <c r="L244" s="37">
        <v>4.5</v>
      </c>
      <c r="M244" s="37">
        <v>0</v>
      </c>
      <c r="O244" s="36">
        <v>0</v>
      </c>
      <c r="Q244" s="58"/>
      <c r="R244" s="36"/>
      <c r="S244" s="36"/>
      <c r="T244" s="37"/>
    </row>
    <row r="245" spans="1:20">
      <c r="A245" t="str">
        <v>L-S</v>
      </c>
      <c r="B245" s="59">
        <v>17</v>
      </c>
      <c r="C245" s="12">
        <v>6</v>
      </c>
      <c r="D245" s="49">
        <v>46130</v>
      </c>
      <c r="E245" s="57" t="str">
        <v>ELIER CORTES BALTODANO</v>
      </c>
      <c r="F245" s="32">
        <v>0</v>
      </c>
      <c r="H245" s="36">
        <v>0</v>
      </c>
      <c r="I245" s="36">
        <v>0</v>
      </c>
      <c r="J245" s="36">
        <v>0</v>
      </c>
      <c r="K245" s="36">
        <v>0</v>
      </c>
      <c r="L245" s="37">
        <v>0</v>
      </c>
      <c r="M245" s="37">
        <v>0</v>
      </c>
      <c r="O245" s="36">
        <v>0</v>
      </c>
      <c r="Q245" s="58"/>
      <c r="R245" s="36"/>
      <c r="S245" s="36"/>
      <c r="T245" s="37"/>
    </row>
    <row r="246" spans="1:20">
      <c r="A246" t="str">
        <v>L-S</v>
      </c>
      <c r="B246" s="59">
        <v>17.07</v>
      </c>
      <c r="C246" s="12">
        <v>6</v>
      </c>
      <c r="D246" s="49">
        <v>46130</v>
      </c>
      <c r="E246" s="57" t="str">
        <v>NEIL JOSE GARCIA VARGAS</v>
      </c>
      <c r="F246" s="32">
        <v>0</v>
      </c>
      <c r="H246" s="36">
        <v>0</v>
      </c>
      <c r="I246" s="36">
        <v>0</v>
      </c>
      <c r="J246" s="36">
        <v>0</v>
      </c>
      <c r="K246" s="36">
        <v>0</v>
      </c>
      <c r="L246" s="37">
        <v>0</v>
      </c>
      <c r="M246" s="37">
        <v>0</v>
      </c>
      <c r="O246" s="36">
        <v>0</v>
      </c>
      <c r="Q246" s="58"/>
      <c r="R246" s="36"/>
      <c r="S246" s="36"/>
      <c r="T246" s="37"/>
    </row>
    <row r="247" spans="1:20">
      <c r="A247" t="str">
        <v>L-S</v>
      </c>
      <c r="B247" s="59">
        <v>17.14</v>
      </c>
      <c r="C247" s="12">
        <v>6</v>
      </c>
      <c r="D247" s="49">
        <v>46130</v>
      </c>
      <c r="E247" s="57" t="str">
        <v>JOSE DANIEL CHINCHILLA CERDAS</v>
      </c>
      <c r="F247" s="32">
        <v>0</v>
      </c>
      <c r="H247" s="36">
        <v>0</v>
      </c>
      <c r="I247" s="36">
        <v>0</v>
      </c>
      <c r="J247" s="36">
        <v>0</v>
      </c>
      <c r="K247" s="36">
        <v>0</v>
      </c>
      <c r="L247" s="37">
        <v>0</v>
      </c>
      <c r="M247" s="37">
        <v>0</v>
      </c>
      <c r="O247" s="36">
        <v>0</v>
      </c>
      <c r="Q247" s="58"/>
      <c r="R247" s="36"/>
      <c r="S247" s="36"/>
      <c r="T247" s="37"/>
    </row>
    <row r="248" spans="1:20">
      <c r="A248" t="str">
        <v>L-S</v>
      </c>
      <c r="B248" s="59">
        <v>17.21</v>
      </c>
      <c r="C248" s="12">
        <v>6</v>
      </c>
      <c r="D248" s="49">
        <v>46130</v>
      </c>
      <c r="E248" s="57" t="str">
        <v>MARIELA ARCE GARCIA</v>
      </c>
      <c r="F248" s="32">
        <v>0</v>
      </c>
      <c r="H248" s="36">
        <v>0</v>
      </c>
      <c r="I248" s="36">
        <v>0</v>
      </c>
      <c r="J248" s="36">
        <v>0</v>
      </c>
      <c r="K248" s="36">
        <v>0</v>
      </c>
      <c r="L248" s="37">
        <v>0</v>
      </c>
      <c r="M248" s="37">
        <v>0</v>
      </c>
      <c r="O248" s="36">
        <v>0</v>
      </c>
      <c r="Q248" s="58"/>
      <c r="R248" s="36"/>
      <c r="S248" s="36"/>
      <c r="T248" s="37"/>
    </row>
    <row r="249" spans="1:20">
      <c r="A249" t="str">
        <v>L-S</v>
      </c>
      <c r="B249" s="59">
        <v>17.29</v>
      </c>
      <c r="C249" s="12">
        <v>6</v>
      </c>
      <c r="D249" s="49">
        <v>46130</v>
      </c>
      <c r="E249" s="57" t="str">
        <v>ANTHONY ALVAREZ NAVARRO</v>
      </c>
      <c r="F249" s="32">
        <v>0</v>
      </c>
      <c r="H249" s="36">
        <v>0</v>
      </c>
      <c r="I249" s="36">
        <v>0</v>
      </c>
      <c r="J249" s="36">
        <v>0</v>
      </c>
      <c r="K249" s="36">
        <v>0</v>
      </c>
      <c r="L249" s="37">
        <v>0</v>
      </c>
      <c r="M249" s="37">
        <v>0</v>
      </c>
      <c r="O249" s="36">
        <v>0</v>
      </c>
      <c r="Q249" s="58"/>
      <c r="R249" s="36"/>
      <c r="S249" s="36"/>
      <c r="T249" s="37"/>
    </row>
    <row r="250" spans="1:20">
      <c r="A250" t="str">
        <v>L-S</v>
      </c>
      <c r="B250" s="59">
        <v>17.36</v>
      </c>
      <c r="C250" s="12">
        <v>6</v>
      </c>
      <c r="D250" s="49">
        <v>46130</v>
      </c>
      <c r="E250" s="57" t="str">
        <v>CESAR MATARRITA MATARRITA</v>
      </c>
      <c r="F250" s="32">
        <v>0</v>
      </c>
      <c r="H250" s="36">
        <v>0</v>
      </c>
      <c r="I250" s="36">
        <v>0</v>
      </c>
      <c r="J250" s="36">
        <v>0</v>
      </c>
      <c r="K250" s="36">
        <v>0</v>
      </c>
      <c r="L250" s="37">
        <v>0</v>
      </c>
      <c r="M250" s="37">
        <v>0</v>
      </c>
      <c r="O250" s="36">
        <v>0</v>
      </c>
    </row>
    <row r="251" spans="1:20">
      <c r="A251" t="str">
        <v>L-S</v>
      </c>
      <c r="B251" s="59">
        <v>17.43</v>
      </c>
      <c r="C251" s="12">
        <v>6</v>
      </c>
      <c r="D251" s="49">
        <v>46130</v>
      </c>
      <c r="E251" s="57" t="str">
        <v>GERARDO BOLIVAR VARGAS FERNANDEZ</v>
      </c>
      <c r="F251" s="32">
        <v>0</v>
      </c>
      <c r="H251" s="36">
        <v>0</v>
      </c>
      <c r="I251" s="36">
        <v>0</v>
      </c>
      <c r="J251" s="36">
        <v>0</v>
      </c>
      <c r="K251" s="36">
        <v>0</v>
      </c>
      <c r="L251" s="37">
        <v>0</v>
      </c>
      <c r="M251" s="37">
        <v>0</v>
      </c>
      <c r="O251" s="36">
        <v>0</v>
      </c>
    </row>
    <row r="252" spans="1:20">
      <c r="A252" t="str">
        <v>L-S</v>
      </c>
      <c r="B252" s="59">
        <v>17.5</v>
      </c>
      <c r="C252" s="12">
        <v>6</v>
      </c>
      <c r="D252" s="49">
        <v>46130</v>
      </c>
      <c r="E252" s="57" t="str">
        <v>LAURA REBECA CORDOBA FERNANDEZ</v>
      </c>
      <c r="F252" s="32">
        <v>0</v>
      </c>
      <c r="H252" s="36">
        <v>0</v>
      </c>
      <c r="I252" s="36">
        <v>0</v>
      </c>
      <c r="J252" s="36">
        <v>0</v>
      </c>
      <c r="K252" s="36">
        <v>0</v>
      </c>
      <c r="L252" s="37">
        <v>0</v>
      </c>
      <c r="M252" s="37">
        <v>0</v>
      </c>
      <c r="O252" s="36">
        <v>0</v>
      </c>
    </row>
    <row r="253" spans="1:20">
      <c r="A253" t="str">
        <v>L-S</v>
      </c>
      <c r="B253" s="59">
        <v>17.57</v>
      </c>
      <c r="C253" s="12">
        <v>6</v>
      </c>
      <c r="D253" s="49">
        <v>46130</v>
      </c>
      <c r="E253" s="57" t="str">
        <v>VICTOR CHAVES MONTERO</v>
      </c>
      <c r="F253" s="32">
        <v>0</v>
      </c>
      <c r="H253" s="36">
        <v>0</v>
      </c>
      <c r="I253" s="36">
        <v>0</v>
      </c>
      <c r="J253" s="36">
        <v>0</v>
      </c>
      <c r="K253" s="36">
        <v>0</v>
      </c>
      <c r="L253" s="37">
        <v>0</v>
      </c>
      <c r="M253" s="37">
        <v>0</v>
      </c>
      <c r="O253" s="36">
        <v>0</v>
      </c>
    </row>
    <row r="254" spans="1:20">
      <c r="A254" t="str">
        <v>L-S</v>
      </c>
      <c r="B254" s="59">
        <v>17.64</v>
      </c>
      <c r="C254" s="12">
        <v>6</v>
      </c>
      <c r="D254" s="49">
        <v>46130</v>
      </c>
      <c r="E254" s="57" t="str">
        <v>MEYLIN ALEJANDRA ZUÑIGA NUÑEZ</v>
      </c>
      <c r="F254" s="32">
        <v>0</v>
      </c>
      <c r="H254" s="36">
        <v>0</v>
      </c>
      <c r="I254" s="36">
        <v>0</v>
      </c>
      <c r="J254" s="36">
        <v>0</v>
      </c>
      <c r="K254" s="36">
        <v>0</v>
      </c>
      <c r="L254" s="37">
        <v>0</v>
      </c>
      <c r="M254" s="37">
        <v>0</v>
      </c>
      <c r="O254" s="36">
        <v>0</v>
      </c>
    </row>
    <row r="255" spans="1:20">
      <c r="A255" t="str">
        <v>L-S</v>
      </c>
      <c r="B255" s="59">
        <v>17.71</v>
      </c>
      <c r="C255" s="12">
        <v>6</v>
      </c>
      <c r="D255" s="49">
        <v>46130</v>
      </c>
      <c r="E255" s="57" t="str">
        <v>RAFAEL VEGA ALVAREZ</v>
      </c>
      <c r="F255" s="32">
        <v>0</v>
      </c>
      <c r="H255" s="36">
        <v>0</v>
      </c>
      <c r="I255" s="36">
        <v>0</v>
      </c>
      <c r="J255" s="36">
        <v>0</v>
      </c>
      <c r="K255" s="36">
        <v>0</v>
      </c>
      <c r="L255" s="37">
        <v>0</v>
      </c>
      <c r="M255" s="37">
        <v>0</v>
      </c>
      <c r="O255" s="36">
        <v>0</v>
      </c>
    </row>
    <row r="256" spans="1:20">
      <c r="A256" t="str">
        <v>L-S</v>
      </c>
      <c r="B256" s="59">
        <v>17.79</v>
      </c>
      <c r="C256" s="12">
        <v>6</v>
      </c>
      <c r="D256" s="49">
        <v>46130</v>
      </c>
      <c r="E256" s="57" t="str">
        <v>JOSE QUESADA SOLIS</v>
      </c>
      <c r="F256" s="32">
        <v>0</v>
      </c>
      <c r="H256" s="36">
        <v>0</v>
      </c>
      <c r="I256" s="36">
        <v>0</v>
      </c>
      <c r="J256" s="36">
        <v>0</v>
      </c>
      <c r="K256" s="36">
        <v>0</v>
      </c>
      <c r="L256" s="37">
        <v>0</v>
      </c>
      <c r="M256" s="37">
        <v>0</v>
      </c>
      <c r="O256" s="36">
        <v>0</v>
      </c>
    </row>
    <row r="257" spans="1:15">
      <c r="A257" t="str">
        <v>L-S</v>
      </c>
      <c r="B257" s="59">
        <v>17.86</v>
      </c>
      <c r="C257" s="12">
        <v>6</v>
      </c>
      <c r="D257" s="49">
        <v>46130</v>
      </c>
      <c r="E257" s="57" t="str">
        <v>MARIA FERNANDA ARAYA ARGUEDAS</v>
      </c>
      <c r="F257" s="32">
        <v>0</v>
      </c>
      <c r="H257" s="36">
        <v>0</v>
      </c>
      <c r="I257" s="36">
        <v>0</v>
      </c>
      <c r="J257" s="36">
        <v>0</v>
      </c>
      <c r="K257" s="36">
        <v>0</v>
      </c>
      <c r="L257" s="37">
        <v>0</v>
      </c>
      <c r="M257" s="37">
        <v>0</v>
      </c>
      <c r="O257" s="36">
        <v>0</v>
      </c>
    </row>
    <row r="258" spans="1:15">
      <c r="A258" t="str">
        <v>L-S</v>
      </c>
      <c r="B258" s="59">
        <v>17.93</v>
      </c>
      <c r="C258" s="12">
        <v>6</v>
      </c>
      <c r="D258" s="49">
        <v>46130</v>
      </c>
      <c r="E258" s="57" t="str">
        <v>ANDREY ALONSO PALACIOS ALVAREZ</v>
      </c>
      <c r="F258" s="32">
        <v>0</v>
      </c>
      <c r="H258" s="36">
        <v>0</v>
      </c>
      <c r="I258" s="36">
        <v>0</v>
      </c>
      <c r="J258" s="36">
        <v>0</v>
      </c>
      <c r="K258" s="36">
        <v>0</v>
      </c>
      <c r="L258" s="37">
        <v>0</v>
      </c>
      <c r="M258" s="37">
        <v>0</v>
      </c>
      <c r="O258" s="36">
        <v>0</v>
      </c>
    </row>
    <row r="259" spans="1:15">
      <c r="A259" t="str">
        <v>DyF</v>
      </c>
      <c r="B259" s="59">
        <v>18</v>
      </c>
      <c r="C259" s="12">
        <v>7</v>
      </c>
      <c r="D259" s="49">
        <v>46131</v>
      </c>
      <c r="E259" s="57" t="str">
        <v>ELIER CORTES BALTODANO</v>
      </c>
      <c r="F259" s="32">
        <v>0</v>
      </c>
      <c r="H259" s="36">
        <v>0</v>
      </c>
      <c r="I259" s="36">
        <v>0</v>
      </c>
      <c r="J259" s="36">
        <v>0</v>
      </c>
      <c r="K259" s="36">
        <v>0</v>
      </c>
      <c r="L259" s="37">
        <v>0</v>
      </c>
      <c r="M259" s="37">
        <v>0</v>
      </c>
      <c r="O259" s="36">
        <v>0</v>
      </c>
    </row>
    <row r="260" spans="1:15">
      <c r="A260" t="str">
        <v>DyF</v>
      </c>
      <c r="B260" s="59">
        <v>18.07</v>
      </c>
      <c r="C260" s="12">
        <v>7</v>
      </c>
      <c r="D260" s="49">
        <v>46131</v>
      </c>
      <c r="E260" s="57" t="str">
        <v>NEIL JOSE GARCIA VARGAS</v>
      </c>
      <c r="F260" s="32">
        <v>0</v>
      </c>
      <c r="H260" s="36">
        <v>0</v>
      </c>
      <c r="I260" s="36">
        <v>0</v>
      </c>
      <c r="J260" s="36">
        <v>0</v>
      </c>
      <c r="K260" s="36">
        <v>0</v>
      </c>
      <c r="L260" s="37">
        <v>0</v>
      </c>
      <c r="M260" s="37">
        <v>0</v>
      </c>
      <c r="O260" s="36">
        <v>0</v>
      </c>
    </row>
    <row r="261" spans="1:15">
      <c r="A261" t="str">
        <v>DyF</v>
      </c>
      <c r="B261" s="59">
        <v>18.14</v>
      </c>
      <c r="C261" s="12">
        <v>7</v>
      </c>
      <c r="D261" s="49">
        <v>46131</v>
      </c>
      <c r="E261" s="57" t="str">
        <v>JOSE DANIEL CHINCHILLA CERDAS</v>
      </c>
      <c r="F261" s="32">
        <v>0</v>
      </c>
      <c r="H261" s="36">
        <v>0</v>
      </c>
      <c r="I261" s="36">
        <v>0</v>
      </c>
      <c r="J261" s="36">
        <v>0</v>
      </c>
      <c r="K261" s="36">
        <v>0</v>
      </c>
      <c r="L261" s="37">
        <v>0</v>
      </c>
      <c r="M261" s="37">
        <v>0</v>
      </c>
      <c r="O261" s="36">
        <v>0</v>
      </c>
    </row>
    <row r="262" spans="1:15">
      <c r="A262" t="str">
        <v>DyF</v>
      </c>
      <c r="B262" s="59">
        <v>18.21</v>
      </c>
      <c r="C262" s="12">
        <v>7</v>
      </c>
      <c r="D262" s="49">
        <v>46131</v>
      </c>
      <c r="E262" s="57" t="str">
        <v>MARIELA ARCE GARCIA</v>
      </c>
      <c r="F262" s="32">
        <v>0</v>
      </c>
      <c r="H262" s="36">
        <v>0</v>
      </c>
      <c r="I262" s="36">
        <v>0</v>
      </c>
      <c r="J262" s="36">
        <v>0</v>
      </c>
      <c r="K262" s="36">
        <v>0</v>
      </c>
      <c r="L262" s="37">
        <v>0</v>
      </c>
      <c r="M262" s="37">
        <v>0</v>
      </c>
      <c r="O262" s="36">
        <v>0</v>
      </c>
    </row>
    <row r="263" spans="1:15">
      <c r="A263" t="str">
        <v>DyF</v>
      </c>
      <c r="B263" s="59">
        <v>18.29</v>
      </c>
      <c r="C263" s="12">
        <v>7</v>
      </c>
      <c r="D263" s="49">
        <v>46131</v>
      </c>
      <c r="E263" s="57" t="str">
        <v>ANTHONY ALVAREZ NAVARRO</v>
      </c>
      <c r="F263" s="32">
        <v>0</v>
      </c>
      <c r="H263" s="36">
        <v>0</v>
      </c>
      <c r="I263" s="36">
        <v>0</v>
      </c>
      <c r="J263" s="36">
        <v>0</v>
      </c>
      <c r="K263" s="36">
        <v>0</v>
      </c>
      <c r="L263" s="37">
        <v>0</v>
      </c>
      <c r="M263" s="37">
        <v>0</v>
      </c>
      <c r="O263" s="36">
        <v>0</v>
      </c>
    </row>
    <row r="264" spans="1:15">
      <c r="A264" t="str">
        <v>DyF</v>
      </c>
      <c r="B264" s="59">
        <v>18.36</v>
      </c>
      <c r="C264" s="12">
        <v>7</v>
      </c>
      <c r="D264" s="49">
        <v>46131</v>
      </c>
      <c r="E264" s="57" t="str">
        <v>CESAR MATARRITA MATARRITA</v>
      </c>
      <c r="F264" s="32">
        <v>0</v>
      </c>
      <c r="H264" s="36">
        <v>0</v>
      </c>
      <c r="I264" s="36">
        <v>0</v>
      </c>
      <c r="J264" s="36">
        <v>0</v>
      </c>
      <c r="K264" s="36">
        <v>0</v>
      </c>
      <c r="L264" s="37">
        <v>0</v>
      </c>
      <c r="M264" s="37">
        <v>0</v>
      </c>
      <c r="O264" s="36">
        <v>0</v>
      </c>
    </row>
    <row r="265" spans="1:15">
      <c r="A265" t="str">
        <v>DyF</v>
      </c>
      <c r="B265" s="59">
        <v>18.43</v>
      </c>
      <c r="C265" s="12">
        <v>7</v>
      </c>
      <c r="D265" s="49">
        <v>46131</v>
      </c>
      <c r="E265" s="57" t="str">
        <v>GERARDO BOLIVAR VARGAS FERNANDEZ</v>
      </c>
      <c r="F265" s="32">
        <v>0</v>
      </c>
      <c r="H265" s="36">
        <v>0</v>
      </c>
      <c r="I265" s="36">
        <v>0</v>
      </c>
      <c r="J265" s="36">
        <v>0</v>
      </c>
      <c r="K265" s="36">
        <v>0</v>
      </c>
      <c r="L265" s="37">
        <v>0</v>
      </c>
      <c r="M265" s="37">
        <v>0</v>
      </c>
      <c r="O265" s="36">
        <v>0</v>
      </c>
    </row>
    <row r="266" spans="1:15">
      <c r="A266" t="str">
        <v>DyF</v>
      </c>
      <c r="B266" s="59">
        <v>18.5</v>
      </c>
      <c r="C266" s="12">
        <v>7</v>
      </c>
      <c r="D266" s="49">
        <v>46131</v>
      </c>
      <c r="E266" s="57" t="str">
        <v>LAURA REBECA CORDOBA FERNANDEZ</v>
      </c>
      <c r="F266" s="32">
        <v>0</v>
      </c>
      <c r="H266" s="36">
        <v>0</v>
      </c>
      <c r="I266" s="36">
        <v>0</v>
      </c>
      <c r="J266" s="36">
        <v>0</v>
      </c>
      <c r="K266" s="36">
        <v>0</v>
      </c>
      <c r="L266" s="37">
        <v>0</v>
      </c>
      <c r="M266" s="37">
        <v>0</v>
      </c>
      <c r="O266" s="36">
        <v>0</v>
      </c>
    </row>
    <row r="267" spans="1:15">
      <c r="A267" t="str">
        <v>DyF</v>
      </c>
      <c r="B267" s="59">
        <v>18.57</v>
      </c>
      <c r="C267" s="12">
        <v>7</v>
      </c>
      <c r="D267" s="49">
        <v>46131</v>
      </c>
      <c r="E267" s="57" t="str">
        <v>VICTOR CHAVES MONTERO</v>
      </c>
      <c r="F267" s="32">
        <v>0</v>
      </c>
      <c r="H267" s="36">
        <v>0</v>
      </c>
      <c r="I267" s="36">
        <v>0</v>
      </c>
      <c r="J267" s="36">
        <v>0</v>
      </c>
      <c r="K267" s="36">
        <v>0</v>
      </c>
      <c r="L267" s="37">
        <v>0</v>
      </c>
      <c r="M267" s="37">
        <v>0</v>
      </c>
      <c r="O267" s="36">
        <v>0</v>
      </c>
    </row>
    <row r="268" spans="1:15">
      <c r="A268" t="str">
        <v>DyF</v>
      </c>
      <c r="B268" s="59">
        <v>18.64</v>
      </c>
      <c r="C268" s="12">
        <v>7</v>
      </c>
      <c r="D268" s="49">
        <v>46131</v>
      </c>
      <c r="E268" s="57" t="str">
        <v>MEYLIN ALEJANDRA ZUÑIGA NUÑEZ</v>
      </c>
      <c r="F268" s="32">
        <v>0</v>
      </c>
      <c r="H268" s="36">
        <v>0</v>
      </c>
      <c r="I268" s="36">
        <v>0</v>
      </c>
      <c r="J268" s="36">
        <v>0</v>
      </c>
      <c r="K268" s="36">
        <v>0</v>
      </c>
      <c r="L268" s="37">
        <v>0</v>
      </c>
      <c r="M268" s="37">
        <v>0</v>
      </c>
      <c r="O268" s="36">
        <v>0</v>
      </c>
    </row>
    <row r="269" spans="1:15">
      <c r="A269" t="str">
        <v>DyF</v>
      </c>
      <c r="B269" s="59">
        <v>18.71</v>
      </c>
      <c r="C269" s="12">
        <v>7</v>
      </c>
      <c r="D269" s="49">
        <v>46131</v>
      </c>
      <c r="E269" s="57" t="str">
        <v>RAFAEL VEGA ALVAREZ</v>
      </c>
      <c r="F269" s="32">
        <v>0</v>
      </c>
      <c r="H269" s="36">
        <v>0</v>
      </c>
      <c r="I269" s="36">
        <v>0</v>
      </c>
      <c r="J269" s="36">
        <v>0</v>
      </c>
      <c r="K269" s="36">
        <v>0</v>
      </c>
      <c r="L269" s="37">
        <v>0</v>
      </c>
      <c r="M269" s="37">
        <v>0</v>
      </c>
      <c r="O269" s="36">
        <v>0</v>
      </c>
    </row>
    <row r="270" spans="1:15">
      <c r="A270" t="str">
        <v>DyF</v>
      </c>
      <c r="B270" s="59">
        <v>18.79</v>
      </c>
      <c r="C270" s="12">
        <v>7</v>
      </c>
      <c r="D270" s="49">
        <v>46131</v>
      </c>
      <c r="E270" s="57" t="str">
        <v>JOSE QUESADA SOLIS</v>
      </c>
      <c r="F270" s="32">
        <v>0</v>
      </c>
      <c r="H270" s="36">
        <v>0</v>
      </c>
      <c r="I270" s="36">
        <v>0</v>
      </c>
      <c r="J270" s="36">
        <v>0</v>
      </c>
      <c r="K270" s="36">
        <v>0</v>
      </c>
      <c r="L270" s="37">
        <v>0</v>
      </c>
      <c r="M270" s="37">
        <v>0</v>
      </c>
      <c r="O270" s="36">
        <v>0</v>
      </c>
    </row>
    <row r="271" spans="1:15">
      <c r="A271" t="str">
        <v>DyF</v>
      </c>
      <c r="B271" s="59">
        <v>18.86</v>
      </c>
      <c r="C271" s="12">
        <v>7</v>
      </c>
      <c r="D271" s="49">
        <v>46131</v>
      </c>
      <c r="E271" s="57" t="str">
        <v>MARIA FERNANDA ARAYA ARGUEDAS</v>
      </c>
      <c r="F271" s="32">
        <v>0</v>
      </c>
      <c r="H271" s="36">
        <v>0</v>
      </c>
      <c r="I271" s="36">
        <v>0</v>
      </c>
      <c r="J271" s="36">
        <v>0</v>
      </c>
      <c r="K271" s="36">
        <v>0</v>
      </c>
      <c r="L271" s="37">
        <v>0</v>
      </c>
      <c r="M271" s="37">
        <v>0</v>
      </c>
      <c r="O271" s="36">
        <v>0</v>
      </c>
    </row>
    <row r="272" spans="1:15">
      <c r="A272" t="str">
        <v>DyF</v>
      </c>
      <c r="B272" s="59">
        <v>18.93</v>
      </c>
      <c r="C272" s="12">
        <v>7</v>
      </c>
      <c r="D272" s="49">
        <v>46131</v>
      </c>
      <c r="E272" s="57" t="str">
        <v>ANDREY ALONSO PALACIOS ALVAREZ</v>
      </c>
      <c r="F272" s="32">
        <v>0</v>
      </c>
      <c r="H272" s="36">
        <v>0</v>
      </c>
      <c r="I272" s="36">
        <v>0</v>
      </c>
      <c r="J272" s="36">
        <v>0</v>
      </c>
      <c r="K272" s="36">
        <v>0</v>
      </c>
      <c r="L272" s="37">
        <v>0</v>
      </c>
      <c r="M272" s="37">
        <v>0</v>
      </c>
      <c r="O272" s="36">
        <v>0</v>
      </c>
    </row>
    <row r="273" spans="1:15">
      <c r="A273" t="str">
        <v>L-S</v>
      </c>
      <c r="B273" s="59">
        <v>19</v>
      </c>
      <c r="C273" s="12">
        <v>1</v>
      </c>
      <c r="D273" s="49">
        <v>46132</v>
      </c>
      <c r="E273" s="57" t="str">
        <v>ELIER CORTES BALTODANO</v>
      </c>
      <c r="F273" s="32">
        <v>8</v>
      </c>
      <c r="H273" s="36">
        <v>0</v>
      </c>
      <c r="I273" s="36">
        <v>0</v>
      </c>
      <c r="J273" s="36">
        <v>0.75</v>
      </c>
      <c r="K273" s="36">
        <v>0</v>
      </c>
      <c r="L273" s="37">
        <v>0.75</v>
      </c>
      <c r="M273" s="37">
        <v>0</v>
      </c>
      <c r="O273" s="36">
        <v>0</v>
      </c>
    </row>
    <row r="274" spans="1:15">
      <c r="A274" t="str">
        <v>L-S</v>
      </c>
      <c r="B274" s="59">
        <v>19.07</v>
      </c>
      <c r="C274" s="12">
        <v>1</v>
      </c>
      <c r="D274" s="49">
        <v>46132</v>
      </c>
      <c r="E274" s="57" t="str">
        <v>NEIL JOSE GARCIA VARGAS</v>
      </c>
      <c r="F274" s="32">
        <v>8</v>
      </c>
      <c r="H274" s="36">
        <v>0</v>
      </c>
      <c r="I274" s="36">
        <v>0</v>
      </c>
      <c r="J274" s="36">
        <v>0</v>
      </c>
      <c r="K274" s="36">
        <v>0</v>
      </c>
      <c r="L274" s="37">
        <v>0</v>
      </c>
      <c r="M274" s="37">
        <v>0</v>
      </c>
      <c r="O274" s="36">
        <v>0</v>
      </c>
    </row>
    <row r="275" spans="1:15">
      <c r="A275" t="str">
        <v>L-S</v>
      </c>
      <c r="B275" s="59">
        <v>19.14</v>
      </c>
      <c r="C275" s="12">
        <v>1</v>
      </c>
      <c r="D275" s="49">
        <v>46132</v>
      </c>
      <c r="E275" s="57" t="str">
        <v>JOSE DANIEL CHINCHILLA CERDAS</v>
      </c>
      <c r="F275" s="32">
        <v>8</v>
      </c>
      <c r="H275" s="36">
        <v>0</v>
      </c>
      <c r="I275" s="36">
        <v>0</v>
      </c>
      <c r="J275" s="36">
        <v>2</v>
      </c>
      <c r="K275" s="36">
        <v>0</v>
      </c>
      <c r="L275" s="37">
        <v>2</v>
      </c>
      <c r="M275" s="37">
        <v>0</v>
      </c>
      <c r="O275" s="36">
        <v>0</v>
      </c>
    </row>
    <row r="276" spans="1:15">
      <c r="A276" t="str">
        <v>L-S</v>
      </c>
      <c r="B276" s="59">
        <v>19.21</v>
      </c>
      <c r="C276" s="12">
        <v>1</v>
      </c>
      <c r="D276" s="49">
        <v>46132</v>
      </c>
      <c r="E276" s="57" t="str">
        <v>MARIELA ARCE GARCIA</v>
      </c>
      <c r="F276" s="32">
        <v>8</v>
      </c>
      <c r="H276" s="36">
        <v>0</v>
      </c>
      <c r="I276" s="36">
        <v>0</v>
      </c>
      <c r="J276" s="36">
        <v>0</v>
      </c>
      <c r="K276" s="36">
        <v>0</v>
      </c>
      <c r="L276" s="37">
        <v>0</v>
      </c>
      <c r="M276" s="37">
        <v>0</v>
      </c>
      <c r="O276" s="36">
        <v>0</v>
      </c>
    </row>
    <row r="277" spans="1:15">
      <c r="A277" t="str">
        <v>L-S</v>
      </c>
      <c r="B277" s="59">
        <v>19.29</v>
      </c>
      <c r="C277" s="12">
        <v>1</v>
      </c>
      <c r="D277" s="49">
        <v>46132</v>
      </c>
      <c r="E277" s="57" t="str">
        <v>ANTHONY ALVAREZ NAVARRO</v>
      </c>
      <c r="F277" s="32">
        <v>8</v>
      </c>
      <c r="H277" s="36">
        <v>0</v>
      </c>
      <c r="I277" s="36">
        <v>0</v>
      </c>
      <c r="J277" s="36">
        <v>0</v>
      </c>
      <c r="K277" s="36">
        <v>0</v>
      </c>
      <c r="L277" s="37">
        <v>0</v>
      </c>
      <c r="M277" s="37">
        <v>0</v>
      </c>
      <c r="O277" s="36">
        <v>0</v>
      </c>
    </row>
    <row r="278" spans="1:15">
      <c r="A278" t="str">
        <v>L-S</v>
      </c>
      <c r="B278" s="59">
        <v>19.36</v>
      </c>
      <c r="C278" s="12">
        <v>1</v>
      </c>
      <c r="D278" s="49">
        <v>46132</v>
      </c>
      <c r="E278" s="57" t="str">
        <v>CESAR MATARRITA MATARRITA</v>
      </c>
      <c r="F278" s="32">
        <v>8</v>
      </c>
      <c r="H278" s="36">
        <v>0</v>
      </c>
      <c r="I278" s="36">
        <v>0</v>
      </c>
      <c r="J278" s="36">
        <v>2</v>
      </c>
      <c r="K278" s="36">
        <v>0</v>
      </c>
      <c r="L278" s="37">
        <v>2</v>
      </c>
      <c r="M278" s="37">
        <v>0</v>
      </c>
      <c r="O278" s="36">
        <v>0</v>
      </c>
    </row>
    <row r="279" spans="1:15">
      <c r="A279" t="str">
        <v>L-S</v>
      </c>
      <c r="B279" s="59">
        <v>19.43</v>
      </c>
      <c r="C279" s="12">
        <v>1</v>
      </c>
      <c r="D279" s="49">
        <v>46132</v>
      </c>
      <c r="E279" s="57" t="str">
        <v>GERARDO BOLIVAR VARGAS FERNANDEZ</v>
      </c>
      <c r="F279" s="32">
        <v>8</v>
      </c>
      <c r="H279" s="36">
        <v>0</v>
      </c>
      <c r="I279" s="36">
        <v>0</v>
      </c>
      <c r="J279" s="36">
        <v>1.25</v>
      </c>
      <c r="K279" s="36">
        <v>0</v>
      </c>
      <c r="L279" s="37">
        <v>1.25</v>
      </c>
      <c r="M279" s="37">
        <v>0</v>
      </c>
      <c r="O279" s="36">
        <v>0</v>
      </c>
    </row>
    <row r="280" spans="1:15">
      <c r="A280" t="str">
        <v>L-S</v>
      </c>
      <c r="B280" s="59">
        <v>19.5</v>
      </c>
      <c r="C280" s="12">
        <v>1</v>
      </c>
      <c r="D280" s="49">
        <v>46132</v>
      </c>
      <c r="E280" s="57" t="str">
        <v>LAURA REBECA CORDOBA FERNANDEZ</v>
      </c>
      <c r="F280" s="32">
        <v>8</v>
      </c>
      <c r="H280" s="36">
        <v>0</v>
      </c>
      <c r="I280" s="36">
        <v>0</v>
      </c>
      <c r="J280" s="36">
        <v>0</v>
      </c>
      <c r="K280" s="36">
        <v>0</v>
      </c>
      <c r="L280" s="37">
        <v>0</v>
      </c>
      <c r="M280" s="37">
        <v>0</v>
      </c>
      <c r="O280" s="36">
        <v>0</v>
      </c>
    </row>
    <row r="281" spans="1:15">
      <c r="A281" t="str">
        <v>L-S</v>
      </c>
      <c r="B281" s="59">
        <v>19.57</v>
      </c>
      <c r="C281" s="12">
        <v>1</v>
      </c>
      <c r="D281" s="49">
        <v>46132</v>
      </c>
      <c r="E281" s="57" t="str">
        <v>VICTOR CHAVES MONTERO</v>
      </c>
      <c r="F281" s="32">
        <v>8</v>
      </c>
      <c r="H281" s="36">
        <v>0</v>
      </c>
      <c r="I281" s="36">
        <v>0</v>
      </c>
      <c r="J281" s="36">
        <v>8</v>
      </c>
      <c r="K281" s="36">
        <v>0</v>
      </c>
      <c r="L281" s="37">
        <v>8</v>
      </c>
      <c r="M281" s="37">
        <v>0</v>
      </c>
      <c r="O281" s="36">
        <v>0</v>
      </c>
    </row>
    <row r="282" spans="1:15">
      <c r="A282" t="str">
        <v>L-S</v>
      </c>
      <c r="B282" s="59">
        <v>19.64</v>
      </c>
      <c r="C282" s="12">
        <v>1</v>
      </c>
      <c r="D282" s="49">
        <v>46132</v>
      </c>
      <c r="E282" s="57" t="str">
        <v>MEYLIN ALEJANDRA ZUÑIGA NUÑEZ</v>
      </c>
      <c r="F282" s="32">
        <v>8</v>
      </c>
      <c r="H282" s="36">
        <v>0</v>
      </c>
      <c r="I282" s="36">
        <v>0</v>
      </c>
      <c r="J282" s="36">
        <v>0</v>
      </c>
      <c r="K282" s="36">
        <v>0</v>
      </c>
      <c r="L282" s="37">
        <v>0</v>
      </c>
      <c r="M282" s="37">
        <v>0</v>
      </c>
      <c r="O282" s="36">
        <v>0</v>
      </c>
    </row>
    <row r="283" spans="1:15">
      <c r="A283" t="str">
        <v>L-S</v>
      </c>
      <c r="B283" s="59">
        <v>19.71</v>
      </c>
      <c r="C283" s="12">
        <v>1</v>
      </c>
      <c r="D283" s="49">
        <v>46132</v>
      </c>
      <c r="E283" s="57" t="str">
        <v>RAFAEL VEGA ALVAREZ</v>
      </c>
      <c r="F283" s="32">
        <v>8</v>
      </c>
      <c r="H283" s="36">
        <v>0</v>
      </c>
      <c r="I283" s="36">
        <v>0</v>
      </c>
      <c r="J283" s="36">
        <v>1.5</v>
      </c>
      <c r="K283" s="36">
        <v>0</v>
      </c>
      <c r="L283" s="37">
        <v>1.5</v>
      </c>
      <c r="M283" s="37">
        <v>0</v>
      </c>
      <c r="O283" s="36">
        <v>0</v>
      </c>
    </row>
    <row r="284" spans="1:15">
      <c r="A284" t="str">
        <v>L-S</v>
      </c>
      <c r="B284" s="59">
        <v>19.79</v>
      </c>
      <c r="C284" s="12">
        <v>1</v>
      </c>
      <c r="D284" s="49">
        <v>46132</v>
      </c>
      <c r="E284" s="57" t="str">
        <v>JOSE QUESADA SOLIS</v>
      </c>
      <c r="F284" s="32">
        <v>8</v>
      </c>
      <c r="H284" s="36">
        <v>0</v>
      </c>
      <c r="I284" s="36">
        <v>0</v>
      </c>
      <c r="J284" s="36">
        <v>0</v>
      </c>
      <c r="K284" s="36">
        <v>0</v>
      </c>
      <c r="L284" s="37">
        <v>0</v>
      </c>
      <c r="M284" s="37">
        <v>0</v>
      </c>
      <c r="O284" s="36">
        <v>0</v>
      </c>
    </row>
    <row r="285" spans="1:15">
      <c r="A285" t="str">
        <v>L-S</v>
      </c>
      <c r="B285" s="59">
        <v>19.86</v>
      </c>
      <c r="C285" s="12">
        <v>1</v>
      </c>
      <c r="D285" s="49">
        <v>46132</v>
      </c>
      <c r="E285" s="57" t="str">
        <v>MARIA FERNANDA ARAYA ARGUEDAS</v>
      </c>
      <c r="F285" s="32">
        <v>8</v>
      </c>
      <c r="H285" s="36">
        <v>0</v>
      </c>
      <c r="I285" s="36">
        <v>0</v>
      </c>
      <c r="J285" s="36">
        <v>0</v>
      </c>
      <c r="K285" s="36">
        <v>0</v>
      </c>
      <c r="L285" s="37">
        <v>0</v>
      </c>
      <c r="M285" s="37">
        <v>0</v>
      </c>
      <c r="O285" s="36">
        <v>0</v>
      </c>
    </row>
    <row r="286" spans="1:15">
      <c r="A286" t="str">
        <v>L-S</v>
      </c>
      <c r="B286" s="59">
        <v>19.93</v>
      </c>
      <c r="C286" s="12">
        <v>1</v>
      </c>
      <c r="D286" s="49">
        <v>46132</v>
      </c>
      <c r="E286" s="57" t="str">
        <v>ANDREY ALONSO PALACIOS ALVAREZ</v>
      </c>
      <c r="F286" s="32">
        <v>8</v>
      </c>
      <c r="H286" s="36">
        <v>0</v>
      </c>
      <c r="I286" s="36">
        <v>0</v>
      </c>
      <c r="J286" s="36">
        <v>3</v>
      </c>
      <c r="K286" s="36">
        <v>0</v>
      </c>
      <c r="L286" s="37">
        <v>3</v>
      </c>
      <c r="M286" s="37">
        <v>0</v>
      </c>
      <c r="O286" s="36">
        <v>0</v>
      </c>
    </row>
    <row r="287" spans="1:15">
      <c r="A287" t="str">
        <v>L-S</v>
      </c>
      <c r="B287" s="59">
        <v>20</v>
      </c>
      <c r="C287" s="12">
        <v>2</v>
      </c>
      <c r="D287" s="49">
        <v>46133</v>
      </c>
      <c r="E287" s="57" t="str">
        <v>ELIER CORTES BALTODANO</v>
      </c>
      <c r="F287" s="32">
        <v>8</v>
      </c>
      <c r="H287" s="36">
        <v>0</v>
      </c>
      <c r="I287" s="36">
        <v>0</v>
      </c>
      <c r="J287" s="36">
        <v>0</v>
      </c>
      <c r="K287" s="36">
        <v>0</v>
      </c>
      <c r="L287" s="37">
        <v>0</v>
      </c>
      <c r="M287" s="37">
        <v>0</v>
      </c>
      <c r="O287" s="36">
        <v>0</v>
      </c>
    </row>
    <row r="288" spans="1:15">
      <c r="A288" t="str">
        <v>L-S</v>
      </c>
      <c r="B288" s="59">
        <v>20.07</v>
      </c>
      <c r="C288" s="12">
        <v>2</v>
      </c>
      <c r="D288" s="49">
        <v>46133</v>
      </c>
      <c r="E288" s="57" t="str">
        <v>NEIL JOSE GARCIA VARGAS</v>
      </c>
      <c r="F288" s="32">
        <v>8</v>
      </c>
      <c r="H288" s="36">
        <v>0</v>
      </c>
      <c r="I288" s="36">
        <v>0</v>
      </c>
      <c r="J288" s="36">
        <v>0</v>
      </c>
      <c r="K288" s="36">
        <v>0</v>
      </c>
      <c r="L288" s="37">
        <v>0</v>
      </c>
      <c r="M288" s="37">
        <v>0</v>
      </c>
      <c r="O288" s="36">
        <v>0</v>
      </c>
    </row>
    <row r="289" spans="1:15">
      <c r="A289" t="str">
        <v>L-S</v>
      </c>
      <c r="B289" s="59">
        <v>20.14</v>
      </c>
      <c r="C289" s="12">
        <v>2</v>
      </c>
      <c r="D289" s="49">
        <v>46133</v>
      </c>
      <c r="E289" s="57" t="str">
        <v>JOSE DANIEL CHINCHILLA CERDAS</v>
      </c>
      <c r="F289" s="32">
        <v>8</v>
      </c>
      <c r="H289" s="36">
        <v>0</v>
      </c>
      <c r="I289" s="36">
        <v>0</v>
      </c>
      <c r="J289" s="36">
        <v>0.75</v>
      </c>
      <c r="K289" s="36">
        <v>0</v>
      </c>
      <c r="L289" s="37">
        <v>0.75</v>
      </c>
      <c r="M289" s="37">
        <v>0</v>
      </c>
      <c r="O289" s="36">
        <v>0</v>
      </c>
    </row>
    <row r="290" spans="1:15">
      <c r="A290" t="str">
        <v>L-S</v>
      </c>
      <c r="B290" s="59">
        <v>20.21</v>
      </c>
      <c r="C290" s="12">
        <v>2</v>
      </c>
      <c r="D290" s="49">
        <v>46133</v>
      </c>
      <c r="E290" s="57" t="str">
        <v>MARIELA ARCE GARCIA</v>
      </c>
      <c r="F290" s="32">
        <v>8</v>
      </c>
      <c r="H290" s="36">
        <v>0</v>
      </c>
      <c r="I290" s="36">
        <v>0</v>
      </c>
      <c r="J290" s="36">
        <v>1.5</v>
      </c>
      <c r="K290" s="36">
        <v>0</v>
      </c>
      <c r="L290" s="37">
        <v>1.5</v>
      </c>
      <c r="M290" s="37">
        <v>0</v>
      </c>
      <c r="O290" s="36">
        <v>0</v>
      </c>
    </row>
    <row r="291" spans="1:15">
      <c r="A291" t="str">
        <v>L-S</v>
      </c>
      <c r="B291" s="59">
        <v>20.29</v>
      </c>
      <c r="C291" s="12">
        <v>2</v>
      </c>
      <c r="D291" s="49">
        <v>46133</v>
      </c>
      <c r="E291" s="57" t="str">
        <v>ANTHONY ALVAREZ NAVARRO</v>
      </c>
      <c r="F291" s="32">
        <v>8</v>
      </c>
      <c r="H291" s="36">
        <v>0</v>
      </c>
      <c r="I291" s="36">
        <v>0</v>
      </c>
      <c r="J291" s="36">
        <v>0</v>
      </c>
      <c r="K291" s="36">
        <v>0</v>
      </c>
      <c r="L291" s="37">
        <v>0</v>
      </c>
      <c r="M291" s="37">
        <v>0</v>
      </c>
      <c r="O291" s="36">
        <v>0</v>
      </c>
    </row>
    <row r="292" spans="1:15">
      <c r="A292" t="str">
        <v>L-S</v>
      </c>
      <c r="B292" s="59">
        <v>20.36</v>
      </c>
      <c r="C292" s="12">
        <v>2</v>
      </c>
      <c r="D292" s="49">
        <v>46133</v>
      </c>
      <c r="E292" s="57" t="str">
        <v>CESAR MATARRITA MATARRITA</v>
      </c>
      <c r="F292" s="32">
        <v>8</v>
      </c>
      <c r="H292" s="36">
        <v>0</v>
      </c>
      <c r="I292" s="36">
        <v>0</v>
      </c>
      <c r="J292" s="36">
        <v>0.5</v>
      </c>
      <c r="K292" s="36">
        <v>0</v>
      </c>
      <c r="L292" s="37">
        <v>0.5</v>
      </c>
      <c r="M292" s="37">
        <v>0</v>
      </c>
      <c r="O292" s="36">
        <v>0</v>
      </c>
    </row>
    <row r="293" spans="1:15">
      <c r="A293" t="str">
        <v>L-S</v>
      </c>
      <c r="B293" s="59">
        <v>20.43</v>
      </c>
      <c r="C293" s="12">
        <v>2</v>
      </c>
      <c r="D293" s="49">
        <v>46133</v>
      </c>
      <c r="E293" s="57" t="str">
        <v>GERARDO BOLIVAR VARGAS FERNANDEZ</v>
      </c>
      <c r="F293" s="32">
        <v>8</v>
      </c>
      <c r="H293" s="36">
        <v>0</v>
      </c>
      <c r="I293" s="36">
        <v>0</v>
      </c>
      <c r="J293" s="36">
        <v>0</v>
      </c>
      <c r="K293" s="36">
        <v>0</v>
      </c>
      <c r="L293" s="37">
        <v>0</v>
      </c>
      <c r="M293" s="37">
        <v>0</v>
      </c>
      <c r="O293" s="36">
        <v>0</v>
      </c>
    </row>
    <row r="294" spans="1:15">
      <c r="A294" t="str">
        <v>L-S</v>
      </c>
      <c r="B294" s="59">
        <v>20.5</v>
      </c>
      <c r="C294" s="12">
        <v>2</v>
      </c>
      <c r="D294" s="49">
        <v>46133</v>
      </c>
      <c r="E294" s="57" t="str">
        <v>LAURA REBECA CORDOBA FERNANDEZ</v>
      </c>
      <c r="F294" s="32">
        <v>8</v>
      </c>
      <c r="H294" s="36">
        <v>0</v>
      </c>
      <c r="I294" s="36">
        <v>0</v>
      </c>
      <c r="J294" s="36">
        <v>0</v>
      </c>
      <c r="K294" s="36">
        <v>0</v>
      </c>
      <c r="L294" s="37">
        <v>0</v>
      </c>
      <c r="M294" s="37">
        <v>0</v>
      </c>
      <c r="O294" s="36">
        <v>0</v>
      </c>
    </row>
    <row r="295" spans="1:15">
      <c r="A295" t="str">
        <v>L-S</v>
      </c>
      <c r="B295" s="59">
        <v>20.57</v>
      </c>
      <c r="C295" s="12">
        <v>2</v>
      </c>
      <c r="D295" s="49">
        <v>46133</v>
      </c>
      <c r="E295" s="57" t="str">
        <v>VICTOR CHAVES MONTERO</v>
      </c>
      <c r="F295" s="32">
        <v>8</v>
      </c>
      <c r="H295" s="36">
        <v>0</v>
      </c>
      <c r="I295" s="36">
        <v>0</v>
      </c>
      <c r="J295" s="36">
        <v>0</v>
      </c>
      <c r="K295" s="36">
        <v>0</v>
      </c>
      <c r="L295" s="37">
        <v>0</v>
      </c>
      <c r="M295" s="37">
        <v>0</v>
      </c>
      <c r="O295" s="36">
        <v>0</v>
      </c>
    </row>
    <row r="296" spans="1:15">
      <c r="A296" t="str">
        <v>L-S</v>
      </c>
      <c r="B296" s="59">
        <v>20.64</v>
      </c>
      <c r="C296" s="12">
        <v>2</v>
      </c>
      <c r="D296" s="49">
        <v>46133</v>
      </c>
      <c r="E296" s="57" t="str">
        <v>MEYLIN ALEJANDRA ZUÑIGA NUÑEZ</v>
      </c>
      <c r="F296" s="32">
        <v>8</v>
      </c>
      <c r="H296" s="36">
        <v>0</v>
      </c>
      <c r="I296" s="36">
        <v>0</v>
      </c>
      <c r="J296" s="36">
        <v>0</v>
      </c>
      <c r="K296" s="36">
        <v>0</v>
      </c>
      <c r="L296" s="37">
        <v>0</v>
      </c>
      <c r="M296" s="37">
        <v>0</v>
      </c>
      <c r="O296" s="36">
        <v>0</v>
      </c>
    </row>
    <row r="297" spans="1:15">
      <c r="A297" t="str">
        <v>L-S</v>
      </c>
      <c r="B297" s="59">
        <v>20.71</v>
      </c>
      <c r="C297" s="12">
        <v>2</v>
      </c>
      <c r="D297" s="49">
        <v>46133</v>
      </c>
      <c r="E297" s="57" t="str">
        <v>RAFAEL VEGA ALVAREZ</v>
      </c>
      <c r="F297" s="32">
        <v>8</v>
      </c>
      <c r="H297" s="36">
        <v>0</v>
      </c>
      <c r="I297" s="36">
        <v>0</v>
      </c>
      <c r="J297" s="36">
        <v>0.75</v>
      </c>
      <c r="K297" s="36">
        <v>0</v>
      </c>
      <c r="L297" s="37">
        <v>0.75</v>
      </c>
      <c r="M297" s="37">
        <v>0</v>
      </c>
      <c r="O297" s="36">
        <v>0</v>
      </c>
    </row>
    <row r="298" spans="1:15">
      <c r="A298" t="str">
        <v>L-S</v>
      </c>
      <c r="B298" s="59">
        <v>20.79</v>
      </c>
      <c r="C298" s="12">
        <v>2</v>
      </c>
      <c r="D298" s="49">
        <v>46133</v>
      </c>
      <c r="E298" s="57" t="str">
        <v>JOSE QUESADA SOLIS</v>
      </c>
      <c r="F298" s="32">
        <v>8</v>
      </c>
      <c r="H298" s="36">
        <v>0</v>
      </c>
      <c r="I298" s="36">
        <v>0</v>
      </c>
      <c r="J298" s="36">
        <v>1</v>
      </c>
      <c r="K298" s="36">
        <v>0</v>
      </c>
      <c r="L298" s="37">
        <v>1</v>
      </c>
      <c r="M298" s="37">
        <v>0</v>
      </c>
      <c r="O298" s="36">
        <v>0</v>
      </c>
    </row>
    <row r="299" spans="1:15">
      <c r="A299" t="str">
        <v>L-S</v>
      </c>
      <c r="B299" s="59">
        <v>20.86</v>
      </c>
      <c r="C299" s="12">
        <v>2</v>
      </c>
      <c r="D299" s="49">
        <v>46133</v>
      </c>
      <c r="E299" s="57" t="str">
        <v>MARIA FERNANDA ARAYA ARGUEDAS</v>
      </c>
      <c r="F299" s="32">
        <v>8</v>
      </c>
      <c r="H299" s="36">
        <v>0</v>
      </c>
      <c r="I299" s="36">
        <v>0</v>
      </c>
      <c r="J299" s="36">
        <v>0</v>
      </c>
      <c r="K299" s="36">
        <v>0</v>
      </c>
      <c r="L299" s="37">
        <v>0</v>
      </c>
      <c r="M299" s="37">
        <v>0</v>
      </c>
      <c r="O299" s="36">
        <v>0</v>
      </c>
    </row>
    <row r="300" spans="1:15">
      <c r="A300" t="str">
        <v>L-S</v>
      </c>
      <c r="B300" s="59">
        <v>20.93</v>
      </c>
      <c r="C300" s="12">
        <v>2</v>
      </c>
      <c r="D300" s="49">
        <v>46133</v>
      </c>
      <c r="E300" s="57" t="str">
        <v>ANDREY ALONSO PALACIOS ALVAREZ</v>
      </c>
      <c r="F300" s="32">
        <v>8</v>
      </c>
      <c r="H300" s="36">
        <v>0</v>
      </c>
      <c r="I300" s="36">
        <v>0</v>
      </c>
      <c r="J300" s="36">
        <v>2</v>
      </c>
      <c r="K300" s="36">
        <v>0</v>
      </c>
      <c r="L300" s="37">
        <v>2</v>
      </c>
      <c r="M300" s="37">
        <v>0</v>
      </c>
      <c r="O300" s="36">
        <v>0</v>
      </c>
    </row>
    <row r="301" spans="1:15">
      <c r="A301" t="str">
        <v>L-S</v>
      </c>
      <c r="B301" s="59">
        <v>21</v>
      </c>
      <c r="C301" s="12">
        <v>3</v>
      </c>
      <c r="D301" s="49">
        <v>46134</v>
      </c>
      <c r="E301" s="57" t="str">
        <v>ELIER CORTES BALTODANO</v>
      </c>
      <c r="F301" s="32">
        <v>8</v>
      </c>
      <c r="H301" s="36">
        <v>0</v>
      </c>
      <c r="I301" s="36">
        <v>0</v>
      </c>
      <c r="J301" s="36">
        <v>0.5</v>
      </c>
      <c r="K301" s="36">
        <v>0</v>
      </c>
      <c r="L301" s="37">
        <v>0.5</v>
      </c>
      <c r="M301" s="37">
        <v>0</v>
      </c>
      <c r="O301" s="36">
        <v>0</v>
      </c>
    </row>
    <row r="302" spans="1:15">
      <c r="A302" t="str">
        <v>L-S</v>
      </c>
      <c r="B302" s="59">
        <v>21.07</v>
      </c>
      <c r="C302" s="12">
        <v>3</v>
      </c>
      <c r="D302" s="49">
        <v>46134</v>
      </c>
      <c r="E302" s="57" t="str">
        <v>NEIL JOSE GARCIA VARGAS</v>
      </c>
      <c r="F302" s="32">
        <v>8</v>
      </c>
      <c r="H302" s="36">
        <v>0</v>
      </c>
      <c r="I302" s="36">
        <v>0</v>
      </c>
      <c r="J302" s="36">
        <v>0</v>
      </c>
      <c r="K302" s="36">
        <v>0</v>
      </c>
      <c r="L302" s="37">
        <v>0</v>
      </c>
      <c r="M302" s="37">
        <v>0</v>
      </c>
      <c r="O302" s="36">
        <v>0</v>
      </c>
    </row>
    <row r="303" spans="1:15">
      <c r="A303" t="str">
        <v>L-S</v>
      </c>
      <c r="B303" s="59">
        <v>21.14</v>
      </c>
      <c r="C303" s="12">
        <v>3</v>
      </c>
      <c r="D303" s="49">
        <v>46134</v>
      </c>
      <c r="E303" s="57" t="str">
        <v>JOSE DANIEL CHINCHILLA CERDAS</v>
      </c>
      <c r="F303" s="32">
        <v>8</v>
      </c>
      <c r="H303" s="36">
        <v>0</v>
      </c>
      <c r="I303" s="36">
        <v>0</v>
      </c>
      <c r="J303" s="36">
        <v>0.5</v>
      </c>
      <c r="K303" s="36">
        <v>0</v>
      </c>
      <c r="L303" s="37">
        <v>0.5</v>
      </c>
      <c r="M303" s="37">
        <v>0</v>
      </c>
      <c r="O303" s="36">
        <v>0</v>
      </c>
    </row>
    <row r="304" spans="1:15">
      <c r="A304" t="str">
        <v>L-S</v>
      </c>
      <c r="B304" s="59">
        <v>21.21</v>
      </c>
      <c r="C304" s="12">
        <v>3</v>
      </c>
      <c r="D304" s="49">
        <v>46134</v>
      </c>
      <c r="E304" s="57" t="str">
        <v>MARIELA ARCE GARCIA</v>
      </c>
      <c r="F304" s="32">
        <v>8</v>
      </c>
      <c r="H304" s="36">
        <v>0</v>
      </c>
      <c r="I304" s="36">
        <v>0</v>
      </c>
      <c r="J304" s="36">
        <v>1</v>
      </c>
      <c r="K304" s="36">
        <v>0</v>
      </c>
      <c r="L304" s="37">
        <v>1</v>
      </c>
      <c r="M304" s="37">
        <v>0</v>
      </c>
      <c r="O304" s="36">
        <v>0</v>
      </c>
    </row>
    <row r="305" spans="1:15">
      <c r="A305" t="str">
        <v>L-S</v>
      </c>
      <c r="B305" s="59">
        <v>21.29</v>
      </c>
      <c r="C305" s="12">
        <v>3</v>
      </c>
      <c r="D305" s="49">
        <v>46134</v>
      </c>
      <c r="E305" s="57" t="str">
        <v>ANTHONY ALVAREZ NAVARRO</v>
      </c>
      <c r="F305" s="32">
        <v>8</v>
      </c>
      <c r="H305" s="36">
        <v>0</v>
      </c>
      <c r="I305" s="36">
        <v>0</v>
      </c>
      <c r="J305" s="36">
        <v>0</v>
      </c>
      <c r="K305" s="36">
        <v>0</v>
      </c>
      <c r="L305" s="37">
        <v>0</v>
      </c>
      <c r="M305" s="37">
        <v>0</v>
      </c>
      <c r="O305" s="36">
        <v>0</v>
      </c>
    </row>
    <row r="306" spans="1:15">
      <c r="A306" t="str">
        <v>L-S</v>
      </c>
      <c r="B306" s="59">
        <v>21.36</v>
      </c>
      <c r="C306" s="12">
        <v>3</v>
      </c>
      <c r="D306" s="49">
        <v>46134</v>
      </c>
      <c r="E306" s="57" t="str">
        <v>CESAR MATARRITA MATARRITA</v>
      </c>
      <c r="F306" s="32">
        <v>8</v>
      </c>
      <c r="H306" s="36">
        <v>0</v>
      </c>
      <c r="I306" s="36">
        <v>0</v>
      </c>
      <c r="J306" s="36">
        <v>0</v>
      </c>
      <c r="K306" s="36">
        <v>0</v>
      </c>
      <c r="L306" s="37">
        <v>0</v>
      </c>
      <c r="M306" s="37">
        <v>0</v>
      </c>
      <c r="O306" s="36">
        <v>0</v>
      </c>
    </row>
    <row r="307" spans="1:15">
      <c r="A307" t="str">
        <v>L-S</v>
      </c>
      <c r="B307" s="59">
        <v>21.43</v>
      </c>
      <c r="C307" s="12">
        <v>3</v>
      </c>
      <c r="D307" s="49">
        <v>46134</v>
      </c>
      <c r="E307" s="57" t="str">
        <v>GERARDO BOLIVAR VARGAS FERNANDEZ</v>
      </c>
      <c r="F307" s="32">
        <v>8</v>
      </c>
      <c r="H307" s="36">
        <v>0</v>
      </c>
      <c r="I307" s="36">
        <v>0</v>
      </c>
      <c r="J307" s="36">
        <v>0</v>
      </c>
      <c r="K307" s="36">
        <v>0</v>
      </c>
      <c r="L307" s="37">
        <v>0</v>
      </c>
      <c r="M307" s="37">
        <v>0</v>
      </c>
      <c r="O307" s="36">
        <v>0</v>
      </c>
    </row>
    <row r="308" spans="1:15">
      <c r="A308" t="str">
        <v>L-S</v>
      </c>
      <c r="B308" s="59">
        <v>21.5</v>
      </c>
      <c r="C308" s="12">
        <v>3</v>
      </c>
      <c r="D308" s="49">
        <v>46134</v>
      </c>
      <c r="E308" s="57" t="str">
        <v>LAURA REBECA CORDOBA FERNANDEZ</v>
      </c>
      <c r="F308" s="32">
        <v>8</v>
      </c>
      <c r="H308" s="36">
        <v>0</v>
      </c>
      <c r="I308" s="36">
        <v>0</v>
      </c>
      <c r="J308" s="36">
        <v>0</v>
      </c>
      <c r="K308" s="36">
        <v>0</v>
      </c>
      <c r="L308" s="37">
        <v>0</v>
      </c>
      <c r="M308" s="37">
        <v>0</v>
      </c>
      <c r="O308" s="36">
        <v>0</v>
      </c>
    </row>
    <row r="309" spans="1:15">
      <c r="A309" t="str">
        <v>L-S</v>
      </c>
      <c r="B309" s="59">
        <v>21.57</v>
      </c>
      <c r="C309" s="12">
        <v>3</v>
      </c>
      <c r="D309" s="49">
        <v>46134</v>
      </c>
      <c r="E309" s="57" t="str">
        <v>VICTOR CHAVES MONTERO</v>
      </c>
      <c r="F309" s="32">
        <v>8</v>
      </c>
      <c r="H309" s="36">
        <v>0</v>
      </c>
      <c r="I309" s="36">
        <v>0</v>
      </c>
      <c r="J309" s="36">
        <v>6</v>
      </c>
      <c r="K309" s="36">
        <v>0</v>
      </c>
      <c r="L309" s="37">
        <v>6</v>
      </c>
      <c r="M309" s="37">
        <v>0</v>
      </c>
      <c r="O309" s="36">
        <v>0</v>
      </c>
    </row>
    <row r="310" spans="1:15">
      <c r="A310" t="str">
        <v>L-S</v>
      </c>
      <c r="B310" s="59">
        <v>21.64</v>
      </c>
      <c r="C310" s="12">
        <v>3</v>
      </c>
      <c r="D310" s="49">
        <v>46134</v>
      </c>
      <c r="E310" s="57" t="str">
        <v>MEYLIN ALEJANDRA ZUÑIGA NUÑEZ</v>
      </c>
      <c r="F310" s="32">
        <v>8</v>
      </c>
      <c r="H310" s="36">
        <v>0</v>
      </c>
      <c r="I310" s="36">
        <v>0</v>
      </c>
      <c r="J310" s="36">
        <v>0</v>
      </c>
      <c r="K310" s="36">
        <v>0</v>
      </c>
      <c r="L310" s="37">
        <v>0</v>
      </c>
      <c r="M310" s="37">
        <v>0</v>
      </c>
      <c r="O310" s="36">
        <v>0</v>
      </c>
    </row>
    <row r="311" spans="1:15">
      <c r="A311" t="str">
        <v>L-S</v>
      </c>
      <c r="B311" s="59">
        <v>21.71</v>
      </c>
      <c r="C311" s="12">
        <v>3</v>
      </c>
      <c r="D311" s="49">
        <v>46134</v>
      </c>
      <c r="E311" s="57" t="str">
        <v>RAFAEL VEGA ALVAREZ</v>
      </c>
      <c r="F311" s="32">
        <v>8</v>
      </c>
      <c r="H311" s="36">
        <v>0</v>
      </c>
      <c r="I311" s="36">
        <v>0</v>
      </c>
      <c r="J311" s="36">
        <v>1.25</v>
      </c>
      <c r="K311" s="36">
        <v>0</v>
      </c>
      <c r="L311" s="37">
        <v>1.25</v>
      </c>
      <c r="M311" s="37">
        <v>0</v>
      </c>
      <c r="O311" s="36">
        <v>0</v>
      </c>
    </row>
    <row r="312" spans="1:15">
      <c r="A312" t="str">
        <v>L-S</v>
      </c>
      <c r="B312" s="59">
        <v>21.79</v>
      </c>
      <c r="C312" s="12">
        <v>3</v>
      </c>
      <c r="D312" s="49">
        <v>46134</v>
      </c>
      <c r="E312" s="57" t="str">
        <v>JOSE QUESADA SOLIS</v>
      </c>
      <c r="F312" s="32">
        <v>8</v>
      </c>
      <c r="H312" s="36">
        <v>0</v>
      </c>
      <c r="I312" s="36">
        <v>0</v>
      </c>
      <c r="J312" s="36">
        <v>0</v>
      </c>
      <c r="K312" s="36">
        <v>0</v>
      </c>
      <c r="L312" s="37">
        <v>0</v>
      </c>
      <c r="M312" s="37">
        <v>0</v>
      </c>
      <c r="O312" s="36">
        <v>0</v>
      </c>
    </row>
    <row r="313" spans="1:15">
      <c r="A313" t="str">
        <v>L-S</v>
      </c>
      <c r="B313" s="59">
        <v>21.86</v>
      </c>
      <c r="C313" s="12">
        <v>3</v>
      </c>
      <c r="D313" s="49">
        <v>46134</v>
      </c>
      <c r="E313" s="57" t="str">
        <v>MARIA FERNANDA ARAYA ARGUEDAS</v>
      </c>
      <c r="F313" s="32">
        <v>8</v>
      </c>
      <c r="H313" s="36">
        <v>0</v>
      </c>
      <c r="I313" s="36">
        <v>0</v>
      </c>
      <c r="J313" s="36">
        <v>0</v>
      </c>
      <c r="K313" s="36">
        <v>0</v>
      </c>
      <c r="L313" s="37">
        <v>0</v>
      </c>
      <c r="M313" s="37">
        <v>0</v>
      </c>
      <c r="O313" s="36">
        <v>0</v>
      </c>
    </row>
    <row r="314" spans="1:15">
      <c r="A314" t="str">
        <v>L-S</v>
      </c>
      <c r="B314" s="59">
        <v>21.93</v>
      </c>
      <c r="C314" s="12">
        <v>3</v>
      </c>
      <c r="D314" s="49">
        <v>46134</v>
      </c>
      <c r="E314" s="57" t="str">
        <v>ANDREY ALONSO PALACIOS ALVAREZ</v>
      </c>
      <c r="F314" s="32">
        <v>8</v>
      </c>
      <c r="H314" s="36">
        <v>0</v>
      </c>
      <c r="I314" s="36">
        <v>0</v>
      </c>
      <c r="J314" s="36">
        <v>4</v>
      </c>
      <c r="K314" s="36">
        <v>0</v>
      </c>
      <c r="L314" s="37">
        <v>4</v>
      </c>
      <c r="M314" s="37">
        <v>0</v>
      </c>
      <c r="O314" s="36">
        <v>0</v>
      </c>
    </row>
    <row r="315" spans="1:15">
      <c r="A315" t="str">
        <v>L-S</v>
      </c>
      <c r="B315" s="59">
        <v>22</v>
      </c>
      <c r="C315" s="12">
        <v>4</v>
      </c>
      <c r="D315" s="49">
        <v>46135</v>
      </c>
      <c r="E315" s="57" t="str">
        <v>ELIER CORTES BALTODANO</v>
      </c>
      <c r="F315" s="32">
        <v>8</v>
      </c>
      <c r="H315" s="36">
        <v>0</v>
      </c>
      <c r="I315" s="36">
        <v>0</v>
      </c>
      <c r="J315" s="36">
        <v>0</v>
      </c>
      <c r="K315" s="36">
        <v>0</v>
      </c>
      <c r="L315" s="37">
        <v>0</v>
      </c>
      <c r="M315" s="37">
        <v>0</v>
      </c>
      <c r="O315" s="36">
        <v>0</v>
      </c>
    </row>
    <row r="316" spans="1:15">
      <c r="A316" t="str">
        <v>L-S</v>
      </c>
      <c r="B316" s="59">
        <v>22.07</v>
      </c>
      <c r="C316" s="12">
        <v>4</v>
      </c>
      <c r="D316" s="49">
        <v>46135</v>
      </c>
      <c r="E316" s="57" t="str">
        <v>NEIL JOSE GARCIA VARGAS</v>
      </c>
      <c r="F316" s="32">
        <v>8</v>
      </c>
      <c r="H316" s="36">
        <v>0</v>
      </c>
      <c r="I316" s="36">
        <v>0</v>
      </c>
      <c r="J316" s="36">
        <v>8</v>
      </c>
      <c r="K316" s="36">
        <v>0</v>
      </c>
      <c r="L316" s="37">
        <v>8</v>
      </c>
      <c r="M316" s="37">
        <v>0</v>
      </c>
      <c r="O316" s="36">
        <v>0</v>
      </c>
    </row>
    <row r="317" spans="1:15">
      <c r="A317" t="str">
        <v>L-S</v>
      </c>
      <c r="B317" s="59">
        <v>22.14</v>
      </c>
      <c r="C317" s="12">
        <v>4</v>
      </c>
      <c r="D317" s="49">
        <v>46135</v>
      </c>
      <c r="E317" s="57" t="str">
        <v>JOSE DANIEL CHINCHILLA CERDAS</v>
      </c>
      <c r="F317" s="32">
        <v>8</v>
      </c>
      <c r="H317" s="36">
        <v>0</v>
      </c>
      <c r="I317" s="36">
        <v>0</v>
      </c>
      <c r="J317" s="36">
        <v>0</v>
      </c>
      <c r="K317" s="36">
        <v>0</v>
      </c>
      <c r="L317" s="37">
        <v>0</v>
      </c>
      <c r="M317" s="37">
        <v>0</v>
      </c>
      <c r="O317" s="36">
        <v>0</v>
      </c>
    </row>
    <row r="318" spans="1:15">
      <c r="A318" t="str">
        <v>L-S</v>
      </c>
      <c r="B318" s="59">
        <v>22.21</v>
      </c>
      <c r="C318" s="12">
        <v>4</v>
      </c>
      <c r="D318" s="49">
        <v>46135</v>
      </c>
      <c r="E318" s="57" t="str">
        <v>MARIELA ARCE GARCIA</v>
      </c>
      <c r="F318" s="32">
        <v>8</v>
      </c>
      <c r="H318" s="36">
        <v>0</v>
      </c>
      <c r="I318" s="36">
        <v>0</v>
      </c>
      <c r="J318" s="36">
        <v>0</v>
      </c>
      <c r="K318" s="36">
        <v>0</v>
      </c>
      <c r="L318" s="37">
        <v>0</v>
      </c>
      <c r="M318" s="37">
        <v>0</v>
      </c>
      <c r="O318" s="36">
        <v>0</v>
      </c>
    </row>
    <row r="319" spans="1:15">
      <c r="A319" t="str">
        <v>L-S</v>
      </c>
      <c r="B319" s="59">
        <v>22.29</v>
      </c>
      <c r="C319" s="12">
        <v>4</v>
      </c>
      <c r="D319" s="49">
        <v>46135</v>
      </c>
      <c r="E319" s="57" t="str">
        <v>ANTHONY ALVAREZ NAVARRO</v>
      </c>
      <c r="F319" s="32">
        <v>8</v>
      </c>
      <c r="H319" s="36">
        <v>0</v>
      </c>
      <c r="I319" s="36">
        <v>0</v>
      </c>
      <c r="J319" s="36">
        <v>0</v>
      </c>
      <c r="K319" s="36">
        <v>0</v>
      </c>
      <c r="L319" s="37">
        <v>0</v>
      </c>
      <c r="M319" s="37">
        <v>0</v>
      </c>
      <c r="O319" s="36">
        <v>0</v>
      </c>
    </row>
    <row r="320" spans="1:15">
      <c r="A320" t="str">
        <v>L-S</v>
      </c>
      <c r="B320" s="59">
        <v>22.36</v>
      </c>
      <c r="C320" s="12">
        <v>4</v>
      </c>
      <c r="D320" s="49">
        <v>46135</v>
      </c>
      <c r="E320" s="57" t="str">
        <v>CESAR MATARRITA MATARRITA</v>
      </c>
      <c r="F320" s="32">
        <v>8</v>
      </c>
      <c r="H320" s="36">
        <v>0</v>
      </c>
      <c r="I320" s="36">
        <v>0</v>
      </c>
      <c r="J320" s="36">
        <v>0</v>
      </c>
      <c r="K320" s="36">
        <v>0</v>
      </c>
      <c r="L320" s="37">
        <v>0</v>
      </c>
      <c r="M320" s="37">
        <v>0</v>
      </c>
      <c r="O320" s="36">
        <v>0</v>
      </c>
    </row>
    <row r="321" spans="1:15">
      <c r="A321" t="str">
        <v>L-S</v>
      </c>
      <c r="B321" s="59">
        <v>22.43</v>
      </c>
      <c r="C321" s="12">
        <v>4</v>
      </c>
      <c r="D321" s="49">
        <v>46135</v>
      </c>
      <c r="E321" s="57" t="str">
        <v>GERARDO BOLIVAR VARGAS FERNANDEZ</v>
      </c>
      <c r="F321" s="32">
        <v>8</v>
      </c>
      <c r="H321" s="36">
        <v>0</v>
      </c>
      <c r="I321" s="36">
        <v>0</v>
      </c>
      <c r="J321" s="36">
        <v>0</v>
      </c>
      <c r="K321" s="36">
        <v>0</v>
      </c>
      <c r="L321" s="37">
        <v>0</v>
      </c>
      <c r="M321" s="37">
        <v>0</v>
      </c>
      <c r="O321" s="36">
        <v>0</v>
      </c>
    </row>
    <row r="322" spans="1:15">
      <c r="A322" t="str">
        <v>L-S</v>
      </c>
      <c r="B322" s="59">
        <v>22.5</v>
      </c>
      <c r="C322" s="12">
        <v>4</v>
      </c>
      <c r="D322" s="49">
        <v>46135</v>
      </c>
      <c r="E322" s="57" t="str">
        <v>LAURA REBECA CORDOBA FERNANDEZ</v>
      </c>
      <c r="F322" s="32">
        <v>8</v>
      </c>
      <c r="H322" s="36">
        <v>0</v>
      </c>
      <c r="I322" s="36">
        <v>0</v>
      </c>
      <c r="J322" s="36">
        <v>0</v>
      </c>
      <c r="K322" s="36">
        <v>0</v>
      </c>
      <c r="L322" s="37">
        <v>0</v>
      </c>
      <c r="M322" s="37">
        <v>0</v>
      </c>
      <c r="O322" s="36">
        <v>0</v>
      </c>
    </row>
    <row r="323" spans="1:15">
      <c r="A323" t="str">
        <v>L-S</v>
      </c>
      <c r="B323" s="59">
        <v>22.57</v>
      </c>
      <c r="C323" s="12">
        <v>4</v>
      </c>
      <c r="D323" s="49">
        <v>46135</v>
      </c>
      <c r="E323" s="57" t="str">
        <v>VICTOR CHAVES MONTERO</v>
      </c>
      <c r="F323" s="32">
        <v>8</v>
      </c>
      <c r="H323" s="36">
        <v>0</v>
      </c>
      <c r="I323" s="36">
        <v>0</v>
      </c>
      <c r="J323" s="36">
        <v>0</v>
      </c>
      <c r="K323" s="36">
        <v>0</v>
      </c>
      <c r="L323" s="37">
        <v>0</v>
      </c>
      <c r="M323" s="37">
        <v>0</v>
      </c>
      <c r="O323" s="36">
        <v>0</v>
      </c>
    </row>
    <row r="324" spans="1:15">
      <c r="A324" t="str">
        <v>L-S</v>
      </c>
      <c r="B324" s="59">
        <v>22.64</v>
      </c>
      <c r="C324" s="12">
        <v>4</v>
      </c>
      <c r="D324" s="49">
        <v>46135</v>
      </c>
      <c r="E324" s="57" t="str">
        <v>MEYLIN ALEJANDRA ZUÑIGA NUÑEZ</v>
      </c>
      <c r="F324" s="32">
        <v>8</v>
      </c>
      <c r="H324" s="36">
        <v>0</v>
      </c>
      <c r="I324" s="36">
        <v>0</v>
      </c>
      <c r="J324" s="36">
        <v>0</v>
      </c>
      <c r="K324" s="36">
        <v>0</v>
      </c>
      <c r="L324" s="37">
        <v>0</v>
      </c>
      <c r="M324" s="37">
        <v>0</v>
      </c>
      <c r="O324" s="36">
        <v>0</v>
      </c>
    </row>
    <row r="325" spans="1:15">
      <c r="A325" t="str">
        <v>L-S</v>
      </c>
      <c r="B325" s="59">
        <v>22.71</v>
      </c>
      <c r="C325" s="12">
        <v>4</v>
      </c>
      <c r="D325" s="49">
        <v>46135</v>
      </c>
      <c r="E325" s="57" t="str">
        <v>RAFAEL VEGA ALVAREZ</v>
      </c>
      <c r="F325" s="32">
        <v>8</v>
      </c>
      <c r="H325" s="36">
        <v>0</v>
      </c>
      <c r="I325" s="36">
        <v>0</v>
      </c>
      <c r="J325" s="36">
        <v>1.25</v>
      </c>
      <c r="K325" s="36">
        <v>0</v>
      </c>
      <c r="L325" s="37">
        <v>1.25</v>
      </c>
      <c r="M325" s="37">
        <v>0</v>
      </c>
      <c r="O325" s="36">
        <v>0</v>
      </c>
    </row>
    <row r="326" spans="1:15">
      <c r="A326" t="str">
        <v>L-S</v>
      </c>
      <c r="B326" s="59">
        <v>22.79</v>
      </c>
      <c r="C326" s="12">
        <v>4</v>
      </c>
      <c r="D326" s="49">
        <v>46135</v>
      </c>
      <c r="E326" s="57" t="str">
        <v>JOSE QUESADA SOLIS</v>
      </c>
      <c r="F326" s="32">
        <v>8</v>
      </c>
      <c r="H326" s="36">
        <v>0</v>
      </c>
      <c r="I326" s="36">
        <v>0</v>
      </c>
      <c r="J326" s="36">
        <v>0</v>
      </c>
      <c r="K326" s="36">
        <v>0</v>
      </c>
      <c r="L326" s="37">
        <v>0</v>
      </c>
      <c r="M326" s="37">
        <v>0</v>
      </c>
      <c r="O326" s="36">
        <v>0</v>
      </c>
    </row>
    <row r="327" spans="1:15">
      <c r="A327" t="str">
        <v>L-S</v>
      </c>
      <c r="B327" s="59">
        <v>22.86</v>
      </c>
      <c r="C327" s="12">
        <v>4</v>
      </c>
      <c r="D327" s="49">
        <v>46135</v>
      </c>
      <c r="E327" s="57" t="str">
        <v>MARIA FERNANDA ARAYA ARGUEDAS</v>
      </c>
      <c r="F327" s="32">
        <v>8</v>
      </c>
      <c r="H327" s="36">
        <v>0</v>
      </c>
      <c r="I327" s="36">
        <v>0</v>
      </c>
      <c r="J327" s="36">
        <v>0</v>
      </c>
      <c r="K327" s="36">
        <v>0</v>
      </c>
      <c r="L327" s="37">
        <v>0</v>
      </c>
      <c r="M327" s="37">
        <v>0</v>
      </c>
      <c r="O327" s="36">
        <v>0</v>
      </c>
    </row>
    <row r="328" spans="1:15">
      <c r="A328" t="str">
        <v>L-S</v>
      </c>
      <c r="B328" s="59">
        <v>22.93</v>
      </c>
      <c r="C328" s="12">
        <v>4</v>
      </c>
      <c r="D328" s="49">
        <v>46135</v>
      </c>
      <c r="E328" s="57" t="str">
        <v>ANDREY ALONSO PALACIOS ALVAREZ</v>
      </c>
      <c r="F328" s="32">
        <v>8</v>
      </c>
      <c r="H328" s="36">
        <v>0</v>
      </c>
      <c r="I328" s="36">
        <v>0</v>
      </c>
      <c r="J328" s="36">
        <v>1</v>
      </c>
      <c r="K328" s="36">
        <v>0</v>
      </c>
      <c r="L328" s="37">
        <v>1</v>
      </c>
      <c r="M328" s="37">
        <v>0</v>
      </c>
      <c r="O328" s="36">
        <v>0</v>
      </c>
    </row>
    <row r="329" spans="1:15">
      <c r="A329" t="str">
        <v>L-S</v>
      </c>
      <c r="B329" s="59">
        <v>23</v>
      </c>
      <c r="C329" s="12">
        <v>5</v>
      </c>
      <c r="D329" s="49">
        <v>46136</v>
      </c>
      <c r="E329" s="57" t="str">
        <v>ELIER CORTES BALTODANO</v>
      </c>
      <c r="F329" s="32">
        <v>8</v>
      </c>
      <c r="H329" s="36">
        <v>0</v>
      </c>
      <c r="I329" s="36">
        <v>0</v>
      </c>
      <c r="J329" s="36">
        <v>0</v>
      </c>
      <c r="K329" s="36">
        <v>0</v>
      </c>
      <c r="L329" s="37">
        <v>0</v>
      </c>
      <c r="M329" s="37">
        <v>0</v>
      </c>
      <c r="O329" s="36">
        <v>0</v>
      </c>
    </row>
    <row r="330" spans="1:15">
      <c r="A330" t="str">
        <v>L-S</v>
      </c>
      <c r="B330" s="59">
        <v>23.07</v>
      </c>
      <c r="C330" s="12">
        <v>5</v>
      </c>
      <c r="D330" s="49">
        <v>46136</v>
      </c>
      <c r="E330" s="57" t="str">
        <v>NEIL JOSE GARCIA VARGAS</v>
      </c>
      <c r="F330" s="32">
        <v>8</v>
      </c>
      <c r="H330" s="36">
        <v>0</v>
      </c>
      <c r="I330" s="36">
        <v>0</v>
      </c>
      <c r="J330" s="36">
        <v>8</v>
      </c>
      <c r="K330" s="36">
        <v>0</v>
      </c>
      <c r="L330" s="37">
        <v>8</v>
      </c>
      <c r="M330" s="37">
        <v>0</v>
      </c>
      <c r="O330" s="36">
        <v>0</v>
      </c>
    </row>
    <row r="331" spans="1:15">
      <c r="A331" t="str">
        <v>L-S</v>
      </c>
      <c r="B331" s="59">
        <v>23.14</v>
      </c>
      <c r="C331" s="12">
        <v>5</v>
      </c>
      <c r="D331" s="49">
        <v>46136</v>
      </c>
      <c r="E331" s="57" t="str">
        <v>JOSE DANIEL CHINCHILLA CERDAS</v>
      </c>
      <c r="F331" s="32">
        <v>8</v>
      </c>
      <c r="H331" s="36">
        <v>0</v>
      </c>
      <c r="I331" s="36">
        <v>0</v>
      </c>
      <c r="J331" s="36">
        <v>0</v>
      </c>
      <c r="K331" s="36">
        <v>0</v>
      </c>
      <c r="L331" s="37">
        <v>0</v>
      </c>
      <c r="M331" s="37">
        <v>0</v>
      </c>
      <c r="O331" s="36">
        <v>0</v>
      </c>
    </row>
    <row r="332" spans="1:15">
      <c r="A332" t="str">
        <v>L-S</v>
      </c>
      <c r="B332" s="59">
        <v>23.21</v>
      </c>
      <c r="C332" s="12">
        <v>5</v>
      </c>
      <c r="D332" s="49">
        <v>46136</v>
      </c>
      <c r="E332" s="57" t="str">
        <v>MARIELA ARCE GARCIA</v>
      </c>
      <c r="F332" s="32">
        <v>8</v>
      </c>
      <c r="H332" s="36">
        <v>0</v>
      </c>
      <c r="I332" s="36">
        <v>0</v>
      </c>
      <c r="J332" s="36">
        <v>0</v>
      </c>
      <c r="K332" s="36">
        <v>0</v>
      </c>
      <c r="L332" s="37">
        <v>0</v>
      </c>
      <c r="M332" s="37">
        <v>0</v>
      </c>
      <c r="O332" s="36">
        <v>0</v>
      </c>
    </row>
    <row r="333" spans="1:15">
      <c r="A333" t="str">
        <v>L-S</v>
      </c>
      <c r="B333" s="59">
        <v>23.29</v>
      </c>
      <c r="C333" s="12">
        <v>5</v>
      </c>
      <c r="D333" s="49">
        <v>46136</v>
      </c>
      <c r="E333" s="57" t="str">
        <v>ANTHONY ALVAREZ NAVARRO</v>
      </c>
      <c r="F333" s="32">
        <v>8</v>
      </c>
      <c r="H333" s="36">
        <v>0</v>
      </c>
      <c r="I333" s="36">
        <v>0</v>
      </c>
      <c r="J333" s="36">
        <v>0</v>
      </c>
      <c r="K333" s="36">
        <v>0</v>
      </c>
      <c r="L333" s="37">
        <v>0</v>
      </c>
      <c r="M333" s="37">
        <v>0</v>
      </c>
      <c r="O333" s="36">
        <v>0</v>
      </c>
    </row>
    <row r="334" spans="1:15">
      <c r="A334" t="str">
        <v>L-S</v>
      </c>
      <c r="B334" s="59">
        <v>23.36</v>
      </c>
      <c r="C334" s="12">
        <v>5</v>
      </c>
      <c r="D334" s="49">
        <v>46136</v>
      </c>
      <c r="E334" s="57" t="str">
        <v>CESAR MATARRITA MATARRITA</v>
      </c>
      <c r="F334" s="32">
        <v>8</v>
      </c>
      <c r="H334" s="36">
        <v>0</v>
      </c>
      <c r="I334" s="36">
        <v>0</v>
      </c>
      <c r="J334" s="36">
        <v>0</v>
      </c>
      <c r="K334" s="36">
        <v>0</v>
      </c>
      <c r="L334" s="37">
        <v>0</v>
      </c>
      <c r="M334" s="37">
        <v>0</v>
      </c>
      <c r="O334" s="36">
        <v>0</v>
      </c>
    </row>
    <row r="335" spans="1:15">
      <c r="A335" t="str">
        <v>L-S</v>
      </c>
      <c r="B335" s="59">
        <v>23.43</v>
      </c>
      <c r="C335" s="12">
        <v>5</v>
      </c>
      <c r="D335" s="49">
        <v>46136</v>
      </c>
      <c r="E335" s="57" t="str">
        <v>GERARDO BOLIVAR VARGAS FERNANDEZ</v>
      </c>
      <c r="F335" s="32">
        <v>8</v>
      </c>
      <c r="H335" s="36">
        <v>0</v>
      </c>
      <c r="I335" s="36">
        <v>0</v>
      </c>
      <c r="J335" s="36">
        <v>0</v>
      </c>
      <c r="K335" s="36">
        <v>0</v>
      </c>
      <c r="L335" s="37">
        <v>0</v>
      </c>
      <c r="M335" s="37">
        <v>0</v>
      </c>
      <c r="O335" s="36">
        <v>0</v>
      </c>
    </row>
    <row r="336" spans="1:15">
      <c r="A336" t="str">
        <v>L-S</v>
      </c>
      <c r="B336" s="59">
        <v>23.5</v>
      </c>
      <c r="C336" s="12">
        <v>5</v>
      </c>
      <c r="D336" s="49">
        <v>46136</v>
      </c>
      <c r="E336" s="57" t="str">
        <v>LAURA REBECA CORDOBA FERNANDEZ</v>
      </c>
      <c r="F336" s="32">
        <v>8</v>
      </c>
      <c r="H336" s="36">
        <v>0</v>
      </c>
      <c r="I336" s="36">
        <v>0</v>
      </c>
      <c r="J336" s="36">
        <v>0.5</v>
      </c>
      <c r="K336" s="36">
        <v>0</v>
      </c>
      <c r="L336" s="37">
        <v>0.5</v>
      </c>
      <c r="M336" s="37">
        <v>0</v>
      </c>
      <c r="O336" s="36">
        <v>0</v>
      </c>
    </row>
    <row r="337" spans="1:15">
      <c r="A337" t="str">
        <v>L-S</v>
      </c>
      <c r="B337" s="59">
        <v>23.57</v>
      </c>
      <c r="C337" s="12">
        <v>5</v>
      </c>
      <c r="D337" s="49">
        <v>46136</v>
      </c>
      <c r="E337" s="57" t="str">
        <v>VICTOR CHAVES MONTERO</v>
      </c>
      <c r="F337" s="32">
        <v>8</v>
      </c>
      <c r="H337" s="36">
        <v>0</v>
      </c>
      <c r="I337" s="36">
        <v>0</v>
      </c>
      <c r="J337" s="36">
        <v>2</v>
      </c>
      <c r="K337" s="36">
        <v>0</v>
      </c>
      <c r="L337" s="37">
        <v>2</v>
      </c>
      <c r="M337" s="37">
        <v>0</v>
      </c>
      <c r="O337" s="36">
        <v>0</v>
      </c>
    </row>
    <row r="338" spans="1:15">
      <c r="A338" t="str">
        <v>L-S</v>
      </c>
      <c r="B338" s="59">
        <v>23.64</v>
      </c>
      <c r="C338" s="12">
        <v>5</v>
      </c>
      <c r="D338" s="49">
        <v>46136</v>
      </c>
      <c r="E338" s="57" t="str">
        <v>MEYLIN ALEJANDRA ZUÑIGA NUÑEZ</v>
      </c>
      <c r="F338" s="32">
        <v>8</v>
      </c>
      <c r="H338" s="36">
        <v>0</v>
      </c>
      <c r="I338" s="36">
        <v>0</v>
      </c>
      <c r="J338" s="36">
        <v>0</v>
      </c>
      <c r="K338" s="36">
        <v>0</v>
      </c>
      <c r="L338" s="37">
        <v>0</v>
      </c>
      <c r="M338" s="37">
        <v>0</v>
      </c>
      <c r="O338" s="36">
        <v>0</v>
      </c>
    </row>
    <row r="339" spans="1:15">
      <c r="A339" t="str">
        <v>L-S</v>
      </c>
      <c r="B339" s="59">
        <v>23.71</v>
      </c>
      <c r="C339" s="12">
        <v>5</v>
      </c>
      <c r="D339" s="49">
        <v>46136</v>
      </c>
      <c r="E339" s="57" t="str">
        <v>RAFAEL VEGA ALVAREZ</v>
      </c>
      <c r="F339" s="32">
        <v>8</v>
      </c>
      <c r="H339" s="36">
        <v>0</v>
      </c>
      <c r="I339" s="36">
        <v>0</v>
      </c>
      <c r="J339" s="36">
        <v>1</v>
      </c>
      <c r="K339" s="36">
        <v>0</v>
      </c>
      <c r="L339" s="37">
        <v>1</v>
      </c>
      <c r="M339" s="37">
        <v>0</v>
      </c>
      <c r="O339" s="36">
        <v>0</v>
      </c>
    </row>
    <row r="340" spans="1:15">
      <c r="A340" t="str">
        <v>L-S</v>
      </c>
      <c r="B340" s="59">
        <v>23.79</v>
      </c>
      <c r="C340" s="12">
        <v>5</v>
      </c>
      <c r="D340" s="49">
        <v>46136</v>
      </c>
      <c r="E340" s="57" t="str">
        <v>JOSE QUESADA SOLIS</v>
      </c>
      <c r="F340" s="32">
        <v>8</v>
      </c>
      <c r="H340" s="36">
        <v>0</v>
      </c>
      <c r="I340" s="36">
        <v>0</v>
      </c>
      <c r="J340" s="36">
        <v>0</v>
      </c>
      <c r="K340" s="36">
        <v>0</v>
      </c>
      <c r="L340" s="37">
        <v>0</v>
      </c>
      <c r="M340" s="37">
        <v>0</v>
      </c>
      <c r="O340" s="36">
        <v>0</v>
      </c>
    </row>
    <row r="341" spans="1:15">
      <c r="A341" t="str">
        <v>L-S</v>
      </c>
      <c r="B341" s="59">
        <v>23.86</v>
      </c>
      <c r="C341" s="12">
        <v>5</v>
      </c>
      <c r="D341" s="49">
        <v>46136</v>
      </c>
      <c r="E341" s="57" t="str">
        <v>MARIA FERNANDA ARAYA ARGUEDAS</v>
      </c>
      <c r="F341" s="32">
        <v>8</v>
      </c>
      <c r="H341" s="36">
        <v>0</v>
      </c>
      <c r="I341" s="36">
        <v>0</v>
      </c>
      <c r="J341" s="36">
        <v>1</v>
      </c>
      <c r="K341" s="36">
        <v>0</v>
      </c>
      <c r="L341" s="37">
        <v>1</v>
      </c>
      <c r="M341" s="37">
        <v>0</v>
      </c>
      <c r="O341" s="36">
        <v>0</v>
      </c>
    </row>
    <row r="342" spans="1:15">
      <c r="A342" t="str">
        <v>L-S</v>
      </c>
      <c r="B342" s="59">
        <v>23.93</v>
      </c>
      <c r="C342" s="12">
        <v>5</v>
      </c>
      <c r="D342" s="49">
        <v>46136</v>
      </c>
      <c r="E342" s="57" t="str">
        <v>ANDREY ALONSO PALACIOS ALVAREZ</v>
      </c>
      <c r="F342" s="32">
        <v>8</v>
      </c>
      <c r="H342" s="36">
        <v>0</v>
      </c>
      <c r="I342" s="36">
        <v>0</v>
      </c>
      <c r="J342" s="36">
        <v>0</v>
      </c>
      <c r="K342" s="36">
        <v>0</v>
      </c>
      <c r="L342" s="37">
        <v>0</v>
      </c>
      <c r="M342" s="37">
        <v>0</v>
      </c>
      <c r="O342" s="36">
        <v>0</v>
      </c>
    </row>
    <row r="343" spans="1:15">
      <c r="A343" t="str">
        <v>L-S</v>
      </c>
      <c r="B343" s="59">
        <v>24</v>
      </c>
      <c r="C343" s="12">
        <v>6</v>
      </c>
      <c r="D343" s="49">
        <v>46137</v>
      </c>
      <c r="E343" s="57" t="str">
        <v>ELIER CORTES BALTODANO</v>
      </c>
      <c r="F343" s="32">
        <v>0</v>
      </c>
      <c r="H343" s="36">
        <v>0</v>
      </c>
      <c r="I343" s="36">
        <v>0</v>
      </c>
      <c r="J343" s="36">
        <v>0</v>
      </c>
      <c r="K343" s="36">
        <v>0</v>
      </c>
      <c r="L343" s="37">
        <v>0</v>
      </c>
      <c r="M343" s="37">
        <v>0</v>
      </c>
      <c r="O343" s="36">
        <v>0</v>
      </c>
    </row>
    <row r="344" spans="1:15">
      <c r="A344" t="str">
        <v>L-S</v>
      </c>
      <c r="B344" s="59">
        <v>24.07</v>
      </c>
      <c r="C344" s="12">
        <v>6</v>
      </c>
      <c r="D344" s="49">
        <v>46137</v>
      </c>
      <c r="E344" s="57" t="str">
        <v>NEIL JOSE GARCIA VARGAS</v>
      </c>
      <c r="F344" s="32">
        <v>0</v>
      </c>
      <c r="H344" s="36">
        <v>0</v>
      </c>
      <c r="I344" s="36">
        <v>0</v>
      </c>
      <c r="J344" s="36">
        <v>0</v>
      </c>
      <c r="K344" s="36">
        <v>0</v>
      </c>
      <c r="L344" s="37">
        <v>0</v>
      </c>
      <c r="M344" s="37">
        <v>0</v>
      </c>
      <c r="O344" s="36">
        <v>0</v>
      </c>
    </row>
    <row r="345" spans="1:15">
      <c r="A345" t="str">
        <v>L-S</v>
      </c>
      <c r="B345" s="59">
        <v>24.14</v>
      </c>
      <c r="C345" s="12">
        <v>6</v>
      </c>
      <c r="D345" s="49">
        <v>46137</v>
      </c>
      <c r="E345" s="57" t="str">
        <v>JOSE DANIEL CHINCHILLA CERDAS</v>
      </c>
      <c r="F345" s="32">
        <v>0</v>
      </c>
      <c r="H345" s="36">
        <v>0</v>
      </c>
      <c r="I345" s="36">
        <v>0</v>
      </c>
      <c r="J345" s="36">
        <v>0</v>
      </c>
      <c r="K345" s="36">
        <v>0</v>
      </c>
      <c r="L345" s="37">
        <v>0</v>
      </c>
      <c r="M345" s="37">
        <v>0</v>
      </c>
      <c r="O345" s="36">
        <v>0</v>
      </c>
    </row>
    <row r="346" spans="1:15">
      <c r="A346" t="str">
        <v>L-S</v>
      </c>
      <c r="B346" s="59">
        <v>24.21</v>
      </c>
      <c r="C346" s="12">
        <v>6</v>
      </c>
      <c r="D346" s="49">
        <v>46137</v>
      </c>
      <c r="E346" s="57" t="str">
        <v>MARIELA ARCE GARCIA</v>
      </c>
      <c r="F346" s="32">
        <v>0</v>
      </c>
      <c r="H346" s="36">
        <v>0</v>
      </c>
      <c r="I346" s="36">
        <v>0</v>
      </c>
      <c r="J346" s="36">
        <v>0</v>
      </c>
      <c r="K346" s="36">
        <v>0</v>
      </c>
      <c r="L346" s="37">
        <v>0</v>
      </c>
      <c r="M346" s="37">
        <v>0</v>
      </c>
      <c r="O346" s="36">
        <v>0</v>
      </c>
    </row>
    <row r="347" spans="1:15">
      <c r="A347" t="str">
        <v>L-S</v>
      </c>
      <c r="B347" s="59">
        <v>24.29</v>
      </c>
      <c r="C347" s="12">
        <v>6</v>
      </c>
      <c r="D347" s="49">
        <v>46137</v>
      </c>
      <c r="E347" s="57" t="str">
        <v>ANTHONY ALVAREZ NAVARRO</v>
      </c>
      <c r="F347" s="32">
        <v>0</v>
      </c>
      <c r="H347" s="36">
        <v>0</v>
      </c>
      <c r="I347" s="36">
        <v>0</v>
      </c>
      <c r="J347" s="36">
        <v>0</v>
      </c>
      <c r="K347" s="36">
        <v>0</v>
      </c>
      <c r="L347" s="37">
        <v>0</v>
      </c>
      <c r="M347" s="37">
        <v>0</v>
      </c>
      <c r="O347" s="36">
        <v>0</v>
      </c>
    </row>
    <row r="348" spans="1:15">
      <c r="A348" t="str">
        <v>L-S</v>
      </c>
      <c r="B348" s="59">
        <v>24.36</v>
      </c>
      <c r="C348" s="12">
        <v>6</v>
      </c>
      <c r="D348" s="49">
        <v>46137</v>
      </c>
      <c r="E348" s="57" t="str">
        <v>CESAR MATARRITA MATARRITA</v>
      </c>
      <c r="F348" s="32">
        <v>0</v>
      </c>
      <c r="H348" s="36">
        <v>0</v>
      </c>
      <c r="I348" s="36">
        <v>0</v>
      </c>
      <c r="J348" s="36">
        <v>0</v>
      </c>
      <c r="K348" s="36">
        <v>0</v>
      </c>
      <c r="L348" s="37">
        <v>0</v>
      </c>
      <c r="M348" s="37">
        <v>0</v>
      </c>
      <c r="O348" s="36">
        <v>0</v>
      </c>
    </row>
    <row r="349" spans="1:15">
      <c r="A349" t="str">
        <v>L-S</v>
      </c>
      <c r="B349" s="59">
        <v>24.43</v>
      </c>
      <c r="C349" s="12">
        <v>6</v>
      </c>
      <c r="D349" s="49">
        <v>46137</v>
      </c>
      <c r="E349" s="57" t="str">
        <v>GERARDO BOLIVAR VARGAS FERNANDEZ</v>
      </c>
      <c r="F349" s="32">
        <v>0</v>
      </c>
      <c r="H349" s="36">
        <v>0</v>
      </c>
      <c r="I349" s="36">
        <v>0</v>
      </c>
      <c r="J349" s="36">
        <v>0</v>
      </c>
      <c r="K349" s="36">
        <v>0</v>
      </c>
      <c r="L349" s="37">
        <v>0</v>
      </c>
      <c r="M349" s="37">
        <v>0</v>
      </c>
      <c r="O349" s="36">
        <v>0</v>
      </c>
    </row>
    <row r="350" spans="1:15">
      <c r="A350" t="str">
        <v>L-S</v>
      </c>
      <c r="B350" s="59">
        <v>24.5</v>
      </c>
      <c r="C350" s="12">
        <v>6</v>
      </c>
      <c r="D350" s="49">
        <v>46137</v>
      </c>
      <c r="E350" s="57" t="str">
        <v>LAURA REBECA CORDOBA FERNANDEZ</v>
      </c>
      <c r="F350" s="32">
        <v>0</v>
      </c>
      <c r="H350" s="36">
        <v>0</v>
      </c>
      <c r="I350" s="36">
        <v>0</v>
      </c>
      <c r="J350" s="36">
        <v>0</v>
      </c>
      <c r="K350" s="36">
        <v>0</v>
      </c>
      <c r="L350" s="37">
        <v>0</v>
      </c>
      <c r="M350" s="37">
        <v>0</v>
      </c>
      <c r="O350" s="36">
        <v>0</v>
      </c>
    </row>
    <row r="351" spans="1:15">
      <c r="A351" t="str">
        <v>L-S</v>
      </c>
      <c r="B351" s="59">
        <v>24.57</v>
      </c>
      <c r="C351" s="12">
        <v>6</v>
      </c>
      <c r="D351" s="49">
        <v>46137</v>
      </c>
      <c r="E351" s="57" t="str">
        <v>VICTOR CHAVES MONTERO</v>
      </c>
      <c r="F351" s="32">
        <v>0</v>
      </c>
      <c r="H351" s="36">
        <v>0</v>
      </c>
      <c r="I351" s="36">
        <v>0</v>
      </c>
      <c r="J351" s="36">
        <v>0</v>
      </c>
      <c r="K351" s="36">
        <v>0</v>
      </c>
      <c r="L351" s="37">
        <v>0</v>
      </c>
      <c r="M351" s="37">
        <v>0</v>
      </c>
      <c r="O351" s="36">
        <v>0</v>
      </c>
    </row>
    <row r="352" spans="1:15">
      <c r="A352" t="str">
        <v>L-S</v>
      </c>
      <c r="B352" s="59">
        <v>24.64</v>
      </c>
      <c r="C352" s="12">
        <v>6</v>
      </c>
      <c r="D352" s="49">
        <v>46137</v>
      </c>
      <c r="E352" s="57" t="str">
        <v>MEYLIN ALEJANDRA ZUÑIGA NUÑEZ</v>
      </c>
      <c r="F352" s="32">
        <v>0</v>
      </c>
      <c r="H352" s="36">
        <v>0</v>
      </c>
      <c r="I352" s="36">
        <v>0</v>
      </c>
      <c r="J352" s="36">
        <v>0</v>
      </c>
      <c r="K352" s="36">
        <v>0</v>
      </c>
      <c r="L352" s="37">
        <v>0</v>
      </c>
      <c r="M352" s="37">
        <v>0</v>
      </c>
      <c r="O352" s="36">
        <v>0</v>
      </c>
    </row>
    <row r="353" spans="1:15">
      <c r="A353" t="str">
        <v>L-S</v>
      </c>
      <c r="B353" s="59">
        <v>24.71</v>
      </c>
      <c r="C353" s="12">
        <v>6</v>
      </c>
      <c r="D353" s="49">
        <v>46137</v>
      </c>
      <c r="E353" s="57" t="str">
        <v>RAFAEL VEGA ALVAREZ</v>
      </c>
      <c r="F353" s="32">
        <v>0</v>
      </c>
      <c r="H353" s="36">
        <v>0</v>
      </c>
      <c r="I353" s="36">
        <v>0</v>
      </c>
      <c r="J353" s="36">
        <v>0</v>
      </c>
      <c r="K353" s="36">
        <v>0</v>
      </c>
      <c r="L353" s="37">
        <v>0</v>
      </c>
      <c r="M353" s="37">
        <v>0</v>
      </c>
      <c r="O353" s="36">
        <v>0</v>
      </c>
    </row>
    <row r="354" spans="1:15">
      <c r="A354" t="str">
        <v>L-S</v>
      </c>
      <c r="B354" s="59">
        <v>24.79</v>
      </c>
      <c r="C354" s="12">
        <v>6</v>
      </c>
      <c r="D354" s="49">
        <v>46137</v>
      </c>
      <c r="E354" s="57" t="str">
        <v>JOSE QUESADA SOLIS</v>
      </c>
      <c r="F354" s="32">
        <v>0</v>
      </c>
      <c r="H354" s="36">
        <v>0</v>
      </c>
      <c r="I354" s="36">
        <v>0</v>
      </c>
      <c r="J354" s="36">
        <v>0</v>
      </c>
      <c r="K354" s="36">
        <v>0</v>
      </c>
      <c r="L354" s="37">
        <v>0</v>
      </c>
      <c r="M354" s="37">
        <v>0</v>
      </c>
      <c r="O354" s="36">
        <v>0</v>
      </c>
    </row>
    <row r="355" spans="1:15">
      <c r="A355" t="str">
        <v>L-S</v>
      </c>
      <c r="B355" s="59">
        <v>24.86</v>
      </c>
      <c r="C355" s="12">
        <v>6</v>
      </c>
      <c r="D355" s="49">
        <v>46137</v>
      </c>
      <c r="E355" s="57" t="str">
        <v>MARIA FERNANDA ARAYA ARGUEDAS</v>
      </c>
      <c r="F355" s="32">
        <v>0</v>
      </c>
      <c r="H355" s="36">
        <v>0</v>
      </c>
      <c r="I355" s="36">
        <v>0</v>
      </c>
      <c r="J355" s="36">
        <v>0</v>
      </c>
      <c r="K355" s="36">
        <v>0</v>
      </c>
      <c r="L355" s="37">
        <v>0</v>
      </c>
      <c r="M355" s="37">
        <v>0</v>
      </c>
      <c r="O355" s="36">
        <v>0</v>
      </c>
    </row>
    <row r="356" spans="1:15">
      <c r="A356" t="str">
        <v>L-S</v>
      </c>
      <c r="B356" s="59">
        <v>24.93</v>
      </c>
      <c r="C356" s="12">
        <v>6</v>
      </c>
      <c r="D356" s="49">
        <v>46137</v>
      </c>
      <c r="E356" s="57" t="str">
        <v>ANDREY ALONSO PALACIOS ALVAREZ</v>
      </c>
      <c r="F356" s="32">
        <v>0</v>
      </c>
      <c r="H356" s="36">
        <v>0</v>
      </c>
      <c r="I356" s="36">
        <v>0</v>
      </c>
      <c r="J356" s="36">
        <v>0</v>
      </c>
      <c r="K356" s="36">
        <v>0</v>
      </c>
      <c r="L356" s="37">
        <v>0</v>
      </c>
      <c r="M356" s="37">
        <v>0</v>
      </c>
      <c r="O356" s="36">
        <v>0</v>
      </c>
    </row>
    <row r="357" spans="1:15">
      <c r="A357" t="str">
        <v>DyF</v>
      </c>
      <c r="B357" s="59">
        <v>25</v>
      </c>
      <c r="C357" s="12">
        <v>7</v>
      </c>
      <c r="D357" s="49">
        <v>46138</v>
      </c>
      <c r="E357" s="57" t="str">
        <v>ELIER CORTES BALTODANO</v>
      </c>
      <c r="F357" s="32">
        <v>0</v>
      </c>
      <c r="H357" s="36">
        <v>0</v>
      </c>
      <c r="I357" s="36">
        <v>0</v>
      </c>
      <c r="J357" s="36">
        <v>0</v>
      </c>
      <c r="K357" s="36">
        <v>0</v>
      </c>
      <c r="L357" s="37">
        <v>0</v>
      </c>
      <c r="M357" s="37">
        <v>0</v>
      </c>
      <c r="O357" s="36">
        <v>0</v>
      </c>
    </row>
    <row r="358" spans="1:15">
      <c r="A358" t="str">
        <v>DyF</v>
      </c>
      <c r="B358" s="59">
        <v>25.07</v>
      </c>
      <c r="C358" s="12">
        <v>7</v>
      </c>
      <c r="D358" s="49">
        <v>46138</v>
      </c>
      <c r="E358" s="57" t="str">
        <v>NEIL JOSE GARCIA VARGAS</v>
      </c>
      <c r="F358" s="32">
        <v>0</v>
      </c>
      <c r="H358" s="36">
        <v>0</v>
      </c>
      <c r="I358" s="36">
        <v>0</v>
      </c>
      <c r="J358" s="36">
        <v>0</v>
      </c>
      <c r="K358" s="36">
        <v>0</v>
      </c>
      <c r="L358" s="37">
        <v>0</v>
      </c>
      <c r="M358" s="37">
        <v>0</v>
      </c>
      <c r="O358" s="36">
        <v>0</v>
      </c>
    </row>
    <row r="359" spans="1:15">
      <c r="A359" t="str">
        <v>DyF</v>
      </c>
      <c r="B359" s="59">
        <v>25.14</v>
      </c>
      <c r="C359" s="12">
        <v>7</v>
      </c>
      <c r="D359" s="49">
        <v>46138</v>
      </c>
      <c r="E359" s="57" t="str">
        <v>JOSE DANIEL CHINCHILLA CERDAS</v>
      </c>
      <c r="F359" s="32">
        <v>0</v>
      </c>
      <c r="H359" s="36">
        <v>0</v>
      </c>
      <c r="I359" s="36">
        <v>0</v>
      </c>
      <c r="J359" s="36">
        <v>0</v>
      </c>
      <c r="K359" s="36">
        <v>0</v>
      </c>
      <c r="L359" s="37">
        <v>0</v>
      </c>
      <c r="M359" s="37">
        <v>0</v>
      </c>
      <c r="O359" s="36">
        <v>0</v>
      </c>
    </row>
    <row r="360" spans="1:15">
      <c r="A360" t="str">
        <v>DyF</v>
      </c>
      <c r="B360" s="59">
        <v>25.21</v>
      </c>
      <c r="C360" s="12">
        <v>7</v>
      </c>
      <c r="D360" s="49">
        <v>46138</v>
      </c>
      <c r="E360" s="57" t="str">
        <v>MARIELA ARCE GARCIA</v>
      </c>
      <c r="F360" s="32">
        <v>0</v>
      </c>
      <c r="H360" s="36">
        <v>0</v>
      </c>
      <c r="I360" s="36">
        <v>0</v>
      </c>
      <c r="J360" s="36">
        <v>0</v>
      </c>
      <c r="K360" s="36">
        <v>0</v>
      </c>
      <c r="L360" s="37">
        <v>0</v>
      </c>
      <c r="M360" s="37">
        <v>0</v>
      </c>
      <c r="O360" s="36">
        <v>0</v>
      </c>
    </row>
    <row r="361" spans="1:15">
      <c r="A361" t="str">
        <v>DyF</v>
      </c>
      <c r="B361" s="59">
        <v>25.29</v>
      </c>
      <c r="C361" s="12">
        <v>7</v>
      </c>
      <c r="D361" s="49">
        <v>46138</v>
      </c>
      <c r="E361" s="57" t="str">
        <v>ANTHONY ALVAREZ NAVARRO</v>
      </c>
      <c r="F361" s="32">
        <v>0</v>
      </c>
      <c r="H361" s="36">
        <v>0</v>
      </c>
      <c r="I361" s="36">
        <v>0</v>
      </c>
      <c r="J361" s="36">
        <v>0</v>
      </c>
      <c r="K361" s="36">
        <v>0</v>
      </c>
      <c r="L361" s="37">
        <v>0</v>
      </c>
      <c r="M361" s="37">
        <v>0</v>
      </c>
      <c r="O361" s="36">
        <v>0</v>
      </c>
    </row>
    <row r="362" spans="1:15">
      <c r="A362" t="str">
        <v>DyF</v>
      </c>
      <c r="B362" s="59">
        <v>25.36</v>
      </c>
      <c r="C362" s="12">
        <v>7</v>
      </c>
      <c r="D362" s="49">
        <v>46138</v>
      </c>
      <c r="E362" s="57" t="str">
        <v>CESAR MATARRITA MATARRITA</v>
      </c>
      <c r="F362" s="32">
        <v>0</v>
      </c>
      <c r="H362" s="36">
        <v>0</v>
      </c>
      <c r="I362" s="36">
        <v>0</v>
      </c>
      <c r="J362" s="36">
        <v>0</v>
      </c>
      <c r="K362" s="36">
        <v>0</v>
      </c>
      <c r="L362" s="37">
        <v>0</v>
      </c>
      <c r="M362" s="37">
        <v>0</v>
      </c>
      <c r="O362" s="36">
        <v>0</v>
      </c>
    </row>
    <row r="363" spans="1:15">
      <c r="A363" t="str">
        <v>DyF</v>
      </c>
      <c r="B363" s="59">
        <v>25.43</v>
      </c>
      <c r="C363" s="12">
        <v>7</v>
      </c>
      <c r="D363" s="49">
        <v>46138</v>
      </c>
      <c r="E363" s="57" t="str">
        <v>GERARDO BOLIVAR VARGAS FERNANDEZ</v>
      </c>
      <c r="F363" s="32">
        <v>0</v>
      </c>
      <c r="H363" s="36">
        <v>0</v>
      </c>
      <c r="I363" s="36">
        <v>0</v>
      </c>
      <c r="J363" s="36">
        <v>0</v>
      </c>
      <c r="K363" s="36">
        <v>0</v>
      </c>
      <c r="L363" s="37">
        <v>0</v>
      </c>
      <c r="M363" s="37">
        <v>0</v>
      </c>
      <c r="O363" s="36">
        <v>0</v>
      </c>
    </row>
    <row r="364" spans="1:15">
      <c r="A364" t="str">
        <v>DyF</v>
      </c>
      <c r="B364" s="59">
        <v>25.5</v>
      </c>
      <c r="C364" s="12">
        <v>7</v>
      </c>
      <c r="D364" s="49">
        <v>46138</v>
      </c>
      <c r="E364" s="57" t="str">
        <v>LAURA REBECA CORDOBA FERNANDEZ</v>
      </c>
      <c r="F364" s="32">
        <v>0</v>
      </c>
      <c r="H364" s="36">
        <v>0</v>
      </c>
      <c r="I364" s="36">
        <v>0</v>
      </c>
      <c r="J364" s="36">
        <v>0</v>
      </c>
      <c r="K364" s="36">
        <v>0</v>
      </c>
      <c r="L364" s="37">
        <v>0</v>
      </c>
      <c r="M364" s="37">
        <v>0</v>
      </c>
      <c r="O364" s="36">
        <v>0</v>
      </c>
    </row>
    <row r="365" spans="1:15">
      <c r="A365" t="str">
        <v>DyF</v>
      </c>
      <c r="B365" s="59">
        <v>25.57</v>
      </c>
      <c r="C365" s="12">
        <v>7</v>
      </c>
      <c r="D365" s="49">
        <v>46138</v>
      </c>
      <c r="E365" s="57" t="str">
        <v>VICTOR CHAVES MONTERO</v>
      </c>
      <c r="F365" s="32">
        <v>0</v>
      </c>
      <c r="H365" s="36">
        <v>0</v>
      </c>
      <c r="I365" s="36">
        <v>0</v>
      </c>
      <c r="J365" s="36">
        <v>0</v>
      </c>
      <c r="K365" s="36">
        <v>0</v>
      </c>
      <c r="L365" s="37">
        <v>0</v>
      </c>
      <c r="M365" s="37">
        <v>0</v>
      </c>
      <c r="O365" s="36">
        <v>0</v>
      </c>
    </row>
    <row r="366" spans="1:15">
      <c r="A366" t="str">
        <v>DyF</v>
      </c>
      <c r="B366" s="59">
        <v>25.64</v>
      </c>
      <c r="C366" s="12">
        <v>7</v>
      </c>
      <c r="D366" s="49">
        <v>46138</v>
      </c>
      <c r="E366" s="57" t="str">
        <v>MEYLIN ALEJANDRA ZUÑIGA NUÑEZ</v>
      </c>
      <c r="F366" s="32">
        <v>0</v>
      </c>
      <c r="H366" s="36">
        <v>0</v>
      </c>
      <c r="I366" s="36">
        <v>0</v>
      </c>
      <c r="J366" s="36">
        <v>0</v>
      </c>
      <c r="K366" s="36">
        <v>0</v>
      </c>
      <c r="L366" s="37">
        <v>0</v>
      </c>
      <c r="M366" s="37">
        <v>0</v>
      </c>
      <c r="O366" s="36">
        <v>0</v>
      </c>
    </row>
    <row r="367" spans="1:15">
      <c r="A367" t="str">
        <v>DyF</v>
      </c>
      <c r="B367" s="59">
        <v>25.71</v>
      </c>
      <c r="C367" s="12">
        <v>7</v>
      </c>
      <c r="D367" s="49">
        <v>46138</v>
      </c>
      <c r="E367" s="57" t="str">
        <v>RAFAEL VEGA ALVAREZ</v>
      </c>
      <c r="F367" s="32">
        <v>0</v>
      </c>
      <c r="H367" s="36">
        <v>0</v>
      </c>
      <c r="I367" s="36">
        <v>0</v>
      </c>
      <c r="J367" s="36">
        <v>0</v>
      </c>
      <c r="K367" s="36">
        <v>0</v>
      </c>
      <c r="L367" s="37">
        <v>0</v>
      </c>
      <c r="M367" s="37">
        <v>0</v>
      </c>
      <c r="O367" s="36">
        <v>0</v>
      </c>
    </row>
    <row r="368" spans="1:15">
      <c r="A368" t="str">
        <v>DyF</v>
      </c>
      <c r="B368" s="59">
        <v>25.79</v>
      </c>
      <c r="C368" s="12">
        <v>7</v>
      </c>
      <c r="D368" s="49">
        <v>46138</v>
      </c>
      <c r="E368" s="57" t="str">
        <v>JOSE QUESADA SOLIS</v>
      </c>
      <c r="F368" s="32">
        <v>0</v>
      </c>
      <c r="H368" s="36">
        <v>0</v>
      </c>
      <c r="I368" s="36">
        <v>0</v>
      </c>
      <c r="J368" s="36">
        <v>0</v>
      </c>
      <c r="K368" s="36">
        <v>0</v>
      </c>
      <c r="L368" s="37">
        <v>0</v>
      </c>
      <c r="M368" s="37">
        <v>0</v>
      </c>
      <c r="O368" s="36">
        <v>0</v>
      </c>
    </row>
    <row r="369" spans="1:15">
      <c r="A369" t="str">
        <v>DyF</v>
      </c>
      <c r="B369" s="59">
        <v>25.86</v>
      </c>
      <c r="C369" s="12">
        <v>7</v>
      </c>
      <c r="D369" s="49">
        <v>46138</v>
      </c>
      <c r="E369" s="57" t="str">
        <v>MARIA FERNANDA ARAYA ARGUEDAS</v>
      </c>
      <c r="F369" s="32">
        <v>0</v>
      </c>
      <c r="H369" s="36">
        <v>0</v>
      </c>
      <c r="I369" s="36">
        <v>0</v>
      </c>
      <c r="J369" s="36">
        <v>0</v>
      </c>
      <c r="K369" s="36">
        <v>0</v>
      </c>
      <c r="L369" s="37">
        <v>0</v>
      </c>
      <c r="M369" s="37">
        <v>0</v>
      </c>
      <c r="O369" s="36">
        <v>0</v>
      </c>
    </row>
    <row r="370" spans="1:15">
      <c r="A370" t="str">
        <v>DyF</v>
      </c>
      <c r="B370" s="59">
        <v>25.93</v>
      </c>
      <c r="C370" s="12">
        <v>7</v>
      </c>
      <c r="D370" s="49">
        <v>46138</v>
      </c>
      <c r="E370" s="57" t="str">
        <v>ANDREY ALONSO PALACIOS ALVAREZ</v>
      </c>
      <c r="F370" s="32">
        <v>0</v>
      </c>
      <c r="H370" s="36">
        <v>0</v>
      </c>
      <c r="I370" s="36">
        <v>0</v>
      </c>
      <c r="J370" s="36">
        <v>0</v>
      </c>
      <c r="K370" s="36">
        <v>0</v>
      </c>
      <c r="L370" s="37">
        <v>0</v>
      </c>
      <c r="M370" s="37">
        <v>0</v>
      </c>
      <c r="O370" s="36">
        <v>0</v>
      </c>
    </row>
    <row r="371" spans="1:15">
      <c r="A371" t="str">
        <v>L-S</v>
      </c>
      <c r="B371" s="59">
        <v>26</v>
      </c>
      <c r="C371" s="12">
        <v>1</v>
      </c>
      <c r="D371" s="49">
        <v>46139</v>
      </c>
      <c r="E371" s="57" t="str">
        <v>ELIER CORTES BALTODANO</v>
      </c>
      <c r="F371" s="32">
        <v>8</v>
      </c>
      <c r="H371" s="36">
        <v>0</v>
      </c>
      <c r="I371" s="36">
        <v>0</v>
      </c>
      <c r="J371" s="36">
        <v>0</v>
      </c>
      <c r="K371" s="36">
        <v>0</v>
      </c>
      <c r="L371" s="37">
        <v>0</v>
      </c>
      <c r="M371" s="37">
        <v>0</v>
      </c>
      <c r="O371" s="36">
        <v>0</v>
      </c>
    </row>
    <row r="372" spans="1:15">
      <c r="A372" t="str">
        <v>L-S</v>
      </c>
      <c r="B372" s="59">
        <v>26.07</v>
      </c>
      <c r="C372" s="12">
        <v>1</v>
      </c>
      <c r="D372" s="49">
        <v>46139</v>
      </c>
      <c r="E372" s="57" t="str">
        <v>NEIL JOSE GARCIA VARGAS</v>
      </c>
      <c r="F372" s="32">
        <v>8</v>
      </c>
      <c r="H372" s="36">
        <v>0</v>
      </c>
      <c r="I372" s="36">
        <v>0</v>
      </c>
      <c r="J372" s="36">
        <v>8</v>
      </c>
      <c r="K372" s="36">
        <v>0</v>
      </c>
      <c r="L372" s="37">
        <v>8</v>
      </c>
      <c r="M372" s="37">
        <v>0</v>
      </c>
      <c r="O372" s="36">
        <v>0</v>
      </c>
    </row>
    <row r="373" spans="1:15">
      <c r="A373" t="str">
        <v>L-S</v>
      </c>
      <c r="B373" s="59">
        <v>26.14</v>
      </c>
      <c r="C373" s="12">
        <v>1</v>
      </c>
      <c r="D373" s="49">
        <v>46139</v>
      </c>
      <c r="E373" s="57" t="str">
        <v>JOSE DANIEL CHINCHILLA CERDAS</v>
      </c>
      <c r="F373" s="32">
        <v>8</v>
      </c>
      <c r="H373" s="36">
        <v>0</v>
      </c>
      <c r="I373" s="36">
        <v>0</v>
      </c>
      <c r="J373" s="36">
        <v>2</v>
      </c>
      <c r="K373" s="36">
        <v>0</v>
      </c>
      <c r="L373" s="37">
        <v>2</v>
      </c>
      <c r="M373" s="37">
        <v>0</v>
      </c>
      <c r="O373" s="36">
        <v>0</v>
      </c>
    </row>
    <row r="374" spans="1:15">
      <c r="A374" t="str">
        <v>L-S</v>
      </c>
      <c r="B374" s="59">
        <v>26.21</v>
      </c>
      <c r="C374" s="12">
        <v>1</v>
      </c>
      <c r="D374" s="49">
        <v>46139</v>
      </c>
      <c r="E374" s="57" t="str">
        <v>MARIELA ARCE GARCIA</v>
      </c>
      <c r="F374" s="32">
        <v>8</v>
      </c>
      <c r="H374" s="36">
        <v>0</v>
      </c>
      <c r="I374" s="36">
        <v>0</v>
      </c>
      <c r="J374" s="36">
        <v>0.5</v>
      </c>
      <c r="K374" s="36">
        <v>0</v>
      </c>
      <c r="L374" s="37">
        <v>0.5</v>
      </c>
      <c r="M374" s="37">
        <v>0</v>
      </c>
      <c r="O374" s="36">
        <v>0</v>
      </c>
    </row>
    <row r="375" spans="1:15">
      <c r="A375" t="str">
        <v>L-S</v>
      </c>
      <c r="B375" s="59">
        <v>26.29</v>
      </c>
      <c r="C375" s="12">
        <v>1</v>
      </c>
      <c r="D375" s="49">
        <v>46139</v>
      </c>
      <c r="E375" s="57" t="str">
        <v>ANTHONY ALVAREZ NAVARRO</v>
      </c>
      <c r="F375" s="32">
        <v>8</v>
      </c>
      <c r="H375" s="36">
        <v>0</v>
      </c>
      <c r="I375" s="36">
        <v>0</v>
      </c>
      <c r="J375" s="36">
        <v>0</v>
      </c>
      <c r="K375" s="36">
        <v>0</v>
      </c>
      <c r="L375" s="37">
        <v>0</v>
      </c>
      <c r="M375" s="37">
        <v>0</v>
      </c>
      <c r="O375" s="36">
        <v>0</v>
      </c>
    </row>
    <row r="376" spans="1:15">
      <c r="A376" t="str">
        <v>L-S</v>
      </c>
      <c r="B376" s="59">
        <v>26.36</v>
      </c>
      <c r="C376" s="12">
        <v>1</v>
      </c>
      <c r="D376" s="49">
        <v>46139</v>
      </c>
      <c r="E376" s="57" t="str">
        <v>CESAR MATARRITA MATARRITA</v>
      </c>
      <c r="F376" s="32">
        <v>8</v>
      </c>
      <c r="H376" s="36">
        <v>0</v>
      </c>
      <c r="I376" s="36">
        <v>0</v>
      </c>
      <c r="J376" s="36">
        <v>2.5</v>
      </c>
      <c r="K376" s="36">
        <v>0</v>
      </c>
      <c r="L376" s="37">
        <v>2.5</v>
      </c>
      <c r="M376" s="37">
        <v>0</v>
      </c>
      <c r="O376" s="36">
        <v>0</v>
      </c>
    </row>
    <row r="377" spans="1:15">
      <c r="A377" t="str">
        <v>L-S</v>
      </c>
      <c r="B377" s="59">
        <v>26.43</v>
      </c>
      <c r="C377" s="12">
        <v>1</v>
      </c>
      <c r="D377" s="49">
        <v>46139</v>
      </c>
      <c r="E377" s="57" t="str">
        <v>GERARDO BOLIVAR VARGAS FERNANDEZ</v>
      </c>
      <c r="F377" s="32">
        <v>8</v>
      </c>
      <c r="H377" s="36">
        <v>0</v>
      </c>
      <c r="I377" s="36">
        <v>0</v>
      </c>
      <c r="J377" s="36">
        <v>0</v>
      </c>
      <c r="K377" s="36">
        <v>0</v>
      </c>
      <c r="L377" s="37">
        <v>0</v>
      </c>
      <c r="M377" s="37">
        <v>0</v>
      </c>
      <c r="O377" s="36">
        <v>0</v>
      </c>
    </row>
    <row r="378" spans="1:15">
      <c r="A378" t="str">
        <v>L-S</v>
      </c>
      <c r="B378" s="59">
        <v>26.5</v>
      </c>
      <c r="C378" s="12">
        <v>1</v>
      </c>
      <c r="D378" s="49">
        <v>46139</v>
      </c>
      <c r="E378" s="57" t="str">
        <v>LAURA REBECA CORDOBA FERNANDEZ</v>
      </c>
      <c r="F378" s="32">
        <v>8</v>
      </c>
      <c r="H378" s="36">
        <v>0</v>
      </c>
      <c r="I378" s="36">
        <v>0</v>
      </c>
      <c r="J378" s="36">
        <v>0</v>
      </c>
      <c r="K378" s="36">
        <v>0</v>
      </c>
      <c r="L378" s="37">
        <v>0</v>
      </c>
      <c r="M378" s="37">
        <v>0</v>
      </c>
      <c r="O378" s="36">
        <v>0</v>
      </c>
    </row>
    <row r="379" spans="1:15">
      <c r="A379" t="str">
        <v>L-S</v>
      </c>
      <c r="B379" s="59">
        <v>26.57</v>
      </c>
      <c r="C379" s="12">
        <v>1</v>
      </c>
      <c r="D379" s="49">
        <v>46139</v>
      </c>
      <c r="E379" s="57" t="str">
        <v>VICTOR CHAVES MONTERO</v>
      </c>
      <c r="F379" s="32">
        <v>8</v>
      </c>
      <c r="H379" s="36">
        <v>0</v>
      </c>
      <c r="I379" s="36">
        <v>0</v>
      </c>
      <c r="J379" s="36">
        <v>8</v>
      </c>
      <c r="K379" s="36">
        <v>0</v>
      </c>
      <c r="L379" s="37">
        <v>8</v>
      </c>
      <c r="M379" s="37">
        <v>0</v>
      </c>
      <c r="O379" s="36">
        <v>0</v>
      </c>
    </row>
    <row r="380" spans="1:15">
      <c r="A380" t="str">
        <v>L-S</v>
      </c>
      <c r="B380" s="59">
        <v>26.64</v>
      </c>
      <c r="C380" s="12">
        <v>1</v>
      </c>
      <c r="D380" s="49">
        <v>46139</v>
      </c>
      <c r="E380" s="57" t="str">
        <v>MEYLIN ALEJANDRA ZUÑIGA NUÑEZ</v>
      </c>
      <c r="F380" s="32">
        <v>8</v>
      </c>
      <c r="H380" s="36">
        <v>0</v>
      </c>
      <c r="I380" s="36">
        <v>0</v>
      </c>
      <c r="J380" s="36">
        <v>0</v>
      </c>
      <c r="K380" s="36">
        <v>0</v>
      </c>
      <c r="L380" s="37">
        <v>0</v>
      </c>
      <c r="M380" s="37">
        <v>0</v>
      </c>
      <c r="O380" s="36">
        <v>0</v>
      </c>
    </row>
    <row r="381" spans="1:15">
      <c r="A381" t="str">
        <v>L-S</v>
      </c>
      <c r="B381" s="59">
        <v>26.71</v>
      </c>
      <c r="C381" s="12">
        <v>1</v>
      </c>
      <c r="D381" s="49">
        <v>46139</v>
      </c>
      <c r="E381" s="57" t="str">
        <v>RAFAEL VEGA ALVAREZ</v>
      </c>
      <c r="F381" s="32">
        <v>8</v>
      </c>
      <c r="H381" s="36">
        <v>0</v>
      </c>
      <c r="I381" s="36">
        <v>0</v>
      </c>
      <c r="J381" s="36">
        <v>1</v>
      </c>
      <c r="K381" s="36">
        <v>0</v>
      </c>
      <c r="L381" s="37">
        <v>1</v>
      </c>
      <c r="M381" s="37">
        <v>0</v>
      </c>
      <c r="O381" s="36">
        <v>0</v>
      </c>
    </row>
    <row r="382" spans="1:15">
      <c r="A382" t="str">
        <v>L-S</v>
      </c>
      <c r="B382" s="59">
        <v>26.79</v>
      </c>
      <c r="C382" s="12">
        <v>1</v>
      </c>
      <c r="D382" s="49">
        <v>46139</v>
      </c>
      <c r="E382" s="57" t="str">
        <v>JOSE QUESADA SOLIS</v>
      </c>
      <c r="F382" s="32">
        <v>8</v>
      </c>
      <c r="H382" s="36">
        <v>0</v>
      </c>
      <c r="I382" s="36">
        <v>0</v>
      </c>
      <c r="J382" s="36">
        <v>0</v>
      </c>
      <c r="K382" s="36">
        <v>0</v>
      </c>
      <c r="L382" s="37">
        <v>0</v>
      </c>
      <c r="M382" s="37">
        <v>0</v>
      </c>
      <c r="O382" s="36">
        <v>0</v>
      </c>
    </row>
    <row r="383" spans="1:15">
      <c r="A383" t="str">
        <v>L-S</v>
      </c>
      <c r="B383" s="59">
        <v>26.86</v>
      </c>
      <c r="C383" s="12">
        <v>1</v>
      </c>
      <c r="D383" s="49">
        <v>46139</v>
      </c>
      <c r="E383" s="57" t="str">
        <v>MARIA FERNANDA ARAYA ARGUEDAS</v>
      </c>
      <c r="F383" s="32">
        <v>8</v>
      </c>
      <c r="H383" s="36">
        <v>0</v>
      </c>
      <c r="I383" s="36">
        <v>0</v>
      </c>
      <c r="J383" s="36">
        <v>0</v>
      </c>
      <c r="K383" s="36">
        <v>0</v>
      </c>
      <c r="L383" s="37">
        <v>0</v>
      </c>
      <c r="M383" s="37">
        <v>0</v>
      </c>
      <c r="O383" s="36">
        <v>0</v>
      </c>
    </row>
    <row r="384" spans="1:15">
      <c r="A384" t="str">
        <v>L-S</v>
      </c>
      <c r="B384" s="59">
        <v>26.93</v>
      </c>
      <c r="C384" s="12">
        <v>1</v>
      </c>
      <c r="D384" s="49">
        <v>46139</v>
      </c>
      <c r="E384" s="57" t="str">
        <v>ANDREY ALONSO PALACIOS ALVAREZ</v>
      </c>
      <c r="F384" s="32">
        <v>8</v>
      </c>
      <c r="H384" s="36">
        <v>0</v>
      </c>
      <c r="I384" s="36">
        <v>0</v>
      </c>
      <c r="J384" s="36">
        <v>0</v>
      </c>
      <c r="K384" s="36">
        <v>0</v>
      </c>
      <c r="L384" s="37">
        <v>0</v>
      </c>
      <c r="M384" s="37">
        <v>0</v>
      </c>
      <c r="O384" s="36">
        <v>0</v>
      </c>
    </row>
    <row r="385" spans="1:15">
      <c r="A385" t="str">
        <v>L-S</v>
      </c>
      <c r="B385" s="59">
        <v>27</v>
      </c>
      <c r="C385" s="12">
        <v>2</v>
      </c>
      <c r="D385" s="49">
        <v>46140</v>
      </c>
      <c r="E385" s="57" t="str">
        <v>ELIER CORTES BALTODANO</v>
      </c>
      <c r="F385" s="32">
        <v>8</v>
      </c>
      <c r="H385" s="36">
        <v>0</v>
      </c>
      <c r="I385" s="36">
        <v>0</v>
      </c>
      <c r="J385" s="36">
        <v>0.75</v>
      </c>
      <c r="K385" s="36">
        <v>0</v>
      </c>
      <c r="L385" s="37">
        <v>0.75</v>
      </c>
      <c r="M385" s="37">
        <v>0</v>
      </c>
      <c r="O385" s="36">
        <v>0</v>
      </c>
    </row>
    <row r="386" spans="1:15">
      <c r="A386" t="str">
        <v>L-S</v>
      </c>
      <c r="B386" s="59">
        <v>27.07</v>
      </c>
      <c r="C386" s="12">
        <v>2</v>
      </c>
      <c r="D386" s="49">
        <v>46140</v>
      </c>
      <c r="E386" s="57" t="str">
        <v>NEIL JOSE GARCIA VARGAS</v>
      </c>
      <c r="F386" s="32">
        <v>8</v>
      </c>
      <c r="H386" s="36">
        <v>0</v>
      </c>
      <c r="I386" s="36">
        <v>0</v>
      </c>
      <c r="J386" s="36">
        <v>0</v>
      </c>
      <c r="K386" s="36">
        <v>0</v>
      </c>
      <c r="L386" s="37">
        <v>0</v>
      </c>
      <c r="M386" s="37">
        <v>0</v>
      </c>
      <c r="O386" s="36">
        <v>0</v>
      </c>
    </row>
    <row r="387" spans="1:15">
      <c r="A387" t="str">
        <v>L-S</v>
      </c>
      <c r="B387" s="59">
        <v>27.14</v>
      </c>
      <c r="C387" s="12">
        <v>2</v>
      </c>
      <c r="D387" s="49">
        <v>46140</v>
      </c>
      <c r="E387" s="57" t="str">
        <v>JOSE DANIEL CHINCHILLA CERDAS</v>
      </c>
      <c r="F387" s="32">
        <v>8</v>
      </c>
      <c r="H387" s="36">
        <v>0</v>
      </c>
      <c r="I387" s="36">
        <v>0</v>
      </c>
      <c r="J387" s="36">
        <v>0</v>
      </c>
      <c r="K387" s="36">
        <v>0</v>
      </c>
      <c r="L387" s="37">
        <v>0</v>
      </c>
      <c r="M387" s="37">
        <v>0</v>
      </c>
      <c r="O387" s="36">
        <v>0</v>
      </c>
    </row>
    <row r="388" spans="1:15">
      <c r="A388" t="str">
        <v>L-S</v>
      </c>
      <c r="B388" s="59">
        <v>27.21</v>
      </c>
      <c r="C388" s="12">
        <v>2</v>
      </c>
      <c r="D388" s="49">
        <v>46140</v>
      </c>
      <c r="E388" s="57" t="str">
        <v>MARIELA ARCE GARCIA</v>
      </c>
      <c r="F388" s="32">
        <v>8</v>
      </c>
      <c r="H388" s="36">
        <v>0</v>
      </c>
      <c r="I388" s="36">
        <v>0</v>
      </c>
      <c r="J388" s="36">
        <v>0.5</v>
      </c>
      <c r="K388" s="36">
        <v>0</v>
      </c>
      <c r="L388" s="37">
        <v>0.5</v>
      </c>
      <c r="M388" s="37">
        <v>0</v>
      </c>
      <c r="O388" s="36">
        <v>0</v>
      </c>
    </row>
    <row r="389" spans="1:15">
      <c r="A389" t="str">
        <v>L-S</v>
      </c>
      <c r="B389" s="59">
        <v>27.29</v>
      </c>
      <c r="C389" s="12">
        <v>2</v>
      </c>
      <c r="D389" s="49">
        <v>46140</v>
      </c>
      <c r="E389" s="57" t="str">
        <v>ANTHONY ALVAREZ NAVARRO</v>
      </c>
      <c r="F389" s="32">
        <v>8</v>
      </c>
      <c r="H389" s="36">
        <v>0</v>
      </c>
      <c r="I389" s="36">
        <v>0</v>
      </c>
      <c r="J389" s="36">
        <v>0</v>
      </c>
      <c r="K389" s="36">
        <v>0</v>
      </c>
      <c r="L389" s="37">
        <v>0</v>
      </c>
      <c r="M389" s="37">
        <v>0</v>
      </c>
      <c r="O389" s="36">
        <v>0</v>
      </c>
    </row>
    <row r="390" spans="1:15">
      <c r="A390" t="str">
        <v>L-S</v>
      </c>
      <c r="B390" s="59">
        <v>27.36</v>
      </c>
      <c r="C390" s="12">
        <v>2</v>
      </c>
      <c r="D390" s="49">
        <v>46140</v>
      </c>
      <c r="E390" s="57" t="str">
        <v>CESAR MATARRITA MATARRITA</v>
      </c>
      <c r="F390" s="32">
        <v>8</v>
      </c>
      <c r="H390" s="36">
        <v>0</v>
      </c>
      <c r="I390" s="36">
        <v>0</v>
      </c>
      <c r="J390" s="36">
        <v>0</v>
      </c>
      <c r="K390" s="36">
        <v>0</v>
      </c>
      <c r="L390" s="37">
        <v>0</v>
      </c>
      <c r="M390" s="37">
        <v>0</v>
      </c>
      <c r="O390" s="36">
        <v>0</v>
      </c>
    </row>
    <row r="391" spans="1:15">
      <c r="A391" t="str">
        <v>L-S</v>
      </c>
      <c r="B391" s="59">
        <v>27.43</v>
      </c>
      <c r="C391" s="12">
        <v>2</v>
      </c>
      <c r="D391" s="49">
        <v>46140</v>
      </c>
      <c r="E391" s="57" t="str">
        <v>GERARDO BOLIVAR VARGAS FERNANDEZ</v>
      </c>
      <c r="F391" s="32">
        <v>8</v>
      </c>
      <c r="H391" s="36">
        <v>0</v>
      </c>
      <c r="I391" s="36">
        <v>0</v>
      </c>
      <c r="J391" s="36">
        <v>2.25</v>
      </c>
      <c r="K391" s="36">
        <v>0</v>
      </c>
      <c r="L391" s="37">
        <v>2.25</v>
      </c>
      <c r="M391" s="37">
        <v>0</v>
      </c>
      <c r="O391" s="36">
        <v>0</v>
      </c>
    </row>
    <row r="392" spans="1:15">
      <c r="A392" t="str">
        <v>L-S</v>
      </c>
      <c r="B392" s="59">
        <v>27.5</v>
      </c>
      <c r="C392" s="12">
        <v>2</v>
      </c>
      <c r="D392" s="49">
        <v>46140</v>
      </c>
      <c r="E392" s="57" t="str">
        <v>LAURA REBECA CORDOBA FERNANDEZ</v>
      </c>
      <c r="F392" s="32">
        <v>8</v>
      </c>
      <c r="H392" s="36">
        <v>0</v>
      </c>
      <c r="I392" s="36">
        <v>0</v>
      </c>
      <c r="J392" s="36">
        <v>2</v>
      </c>
      <c r="K392" s="36">
        <v>0</v>
      </c>
      <c r="L392" s="37">
        <v>2</v>
      </c>
      <c r="M392" s="37">
        <v>0</v>
      </c>
      <c r="O392" s="36">
        <v>0</v>
      </c>
    </row>
    <row r="393" spans="1:15">
      <c r="A393" t="str">
        <v>L-S</v>
      </c>
      <c r="B393" s="59">
        <v>27.57</v>
      </c>
      <c r="C393" s="12">
        <v>2</v>
      </c>
      <c r="D393" s="49">
        <v>46140</v>
      </c>
      <c r="E393" s="57" t="str">
        <v>VICTOR CHAVES MONTERO</v>
      </c>
      <c r="F393" s="32">
        <v>8</v>
      </c>
      <c r="H393" s="36">
        <v>0</v>
      </c>
      <c r="I393" s="36">
        <v>0</v>
      </c>
      <c r="J393" s="36">
        <v>8</v>
      </c>
      <c r="K393" s="36">
        <v>0</v>
      </c>
      <c r="L393" s="37">
        <v>8</v>
      </c>
      <c r="M393" s="37">
        <v>0</v>
      </c>
      <c r="O393" s="36">
        <v>0</v>
      </c>
    </row>
    <row r="394" spans="1:15">
      <c r="A394" t="str">
        <v>L-S</v>
      </c>
      <c r="B394" s="59">
        <v>27.64</v>
      </c>
      <c r="C394" s="12">
        <v>2</v>
      </c>
      <c r="D394" s="49">
        <v>46140</v>
      </c>
      <c r="E394" s="57" t="str">
        <v>MEYLIN ALEJANDRA ZUÑIGA NUÑEZ</v>
      </c>
      <c r="F394" s="32">
        <v>8</v>
      </c>
      <c r="H394" s="36">
        <v>0</v>
      </c>
      <c r="I394" s="36">
        <v>0</v>
      </c>
      <c r="J394" s="36">
        <v>0</v>
      </c>
      <c r="K394" s="36">
        <v>0</v>
      </c>
      <c r="L394" s="37">
        <v>0</v>
      </c>
      <c r="M394" s="37">
        <v>0</v>
      </c>
      <c r="O394" s="36">
        <v>0</v>
      </c>
    </row>
    <row r="395" spans="1:15">
      <c r="A395" t="str">
        <v>L-S</v>
      </c>
      <c r="B395" s="59">
        <v>27.71</v>
      </c>
      <c r="C395" s="12">
        <v>2</v>
      </c>
      <c r="D395" s="49">
        <v>46140</v>
      </c>
      <c r="E395" s="57" t="str">
        <v>RAFAEL VEGA ALVAREZ</v>
      </c>
      <c r="F395" s="32">
        <v>8</v>
      </c>
      <c r="H395" s="36">
        <v>0</v>
      </c>
      <c r="I395" s="36">
        <v>0</v>
      </c>
      <c r="J395" s="36">
        <v>1</v>
      </c>
      <c r="K395" s="36">
        <v>0</v>
      </c>
      <c r="L395" s="37">
        <v>1</v>
      </c>
      <c r="M395" s="37">
        <v>0</v>
      </c>
      <c r="O395" s="36">
        <v>0</v>
      </c>
    </row>
    <row r="396" spans="1:15">
      <c r="A396" t="str">
        <v>L-S</v>
      </c>
      <c r="B396" s="59">
        <v>27.79</v>
      </c>
      <c r="C396" s="12">
        <v>2</v>
      </c>
      <c r="D396" s="49">
        <v>46140</v>
      </c>
      <c r="E396" s="57" t="str">
        <v>JOSE QUESADA SOLIS</v>
      </c>
      <c r="F396" s="32">
        <v>8</v>
      </c>
      <c r="H396" s="36">
        <v>0</v>
      </c>
      <c r="I396" s="36">
        <v>0</v>
      </c>
      <c r="J396" s="36">
        <v>0</v>
      </c>
      <c r="K396" s="36">
        <v>0</v>
      </c>
      <c r="L396" s="37">
        <v>0</v>
      </c>
      <c r="M396" s="37">
        <v>0</v>
      </c>
      <c r="O396" s="36">
        <v>0</v>
      </c>
    </row>
    <row r="397" spans="1:15">
      <c r="A397" t="str">
        <v>L-S</v>
      </c>
      <c r="B397" s="59">
        <v>27.86</v>
      </c>
      <c r="C397" s="12">
        <v>2</v>
      </c>
      <c r="D397" s="49">
        <v>46140</v>
      </c>
      <c r="E397" s="57" t="str">
        <v>MARIA FERNANDA ARAYA ARGUEDAS</v>
      </c>
      <c r="F397" s="32">
        <v>8</v>
      </c>
      <c r="H397" s="36">
        <v>0</v>
      </c>
      <c r="I397" s="36">
        <v>0</v>
      </c>
      <c r="J397" s="36">
        <v>5.5</v>
      </c>
      <c r="K397" s="36">
        <v>0</v>
      </c>
      <c r="L397" s="37">
        <v>5.5</v>
      </c>
      <c r="M397" s="37">
        <v>0</v>
      </c>
      <c r="O397" s="36">
        <v>0</v>
      </c>
    </row>
    <row r="398" spans="1:15">
      <c r="A398" t="str">
        <v>L-S</v>
      </c>
      <c r="B398" s="59">
        <v>27.93</v>
      </c>
      <c r="C398" s="12">
        <v>2</v>
      </c>
      <c r="D398" s="49">
        <v>46140</v>
      </c>
      <c r="E398" s="57" t="str">
        <v>ANDREY ALONSO PALACIOS ALVAREZ</v>
      </c>
      <c r="F398" s="32">
        <v>8</v>
      </c>
      <c r="H398" s="36">
        <v>0</v>
      </c>
      <c r="I398" s="36">
        <v>0</v>
      </c>
      <c r="J398" s="36">
        <v>0</v>
      </c>
      <c r="K398" s="36">
        <v>0</v>
      </c>
      <c r="L398" s="37">
        <v>0</v>
      </c>
      <c r="M398" s="37">
        <v>0</v>
      </c>
      <c r="O398" s="36">
        <v>0</v>
      </c>
    </row>
    <row r="399" spans="1:15">
      <c r="A399" t="str">
        <v>L-S</v>
      </c>
      <c r="B399" s="59">
        <v>28</v>
      </c>
      <c r="C399" s="12">
        <v>3</v>
      </c>
      <c r="D399" s="49">
        <v>46141</v>
      </c>
      <c r="E399" s="57" t="str">
        <v>ELIER CORTES BALTODANO</v>
      </c>
      <c r="F399" s="32">
        <v>8</v>
      </c>
      <c r="H399" s="36">
        <v>0</v>
      </c>
      <c r="I399" s="36">
        <v>0</v>
      </c>
      <c r="J399" s="36">
        <v>0</v>
      </c>
      <c r="K399" s="36">
        <v>0</v>
      </c>
      <c r="L399" s="37">
        <v>0</v>
      </c>
      <c r="M399" s="37">
        <v>0</v>
      </c>
      <c r="O399" s="36">
        <v>0</v>
      </c>
    </row>
    <row r="400" spans="1:15">
      <c r="A400" t="str">
        <v>L-S</v>
      </c>
      <c r="B400" s="59">
        <v>28.07</v>
      </c>
      <c r="C400" s="12">
        <v>3</v>
      </c>
      <c r="D400" s="49">
        <v>46141</v>
      </c>
      <c r="E400" s="57" t="str">
        <v>NEIL JOSE GARCIA VARGAS</v>
      </c>
      <c r="F400" s="32">
        <v>8</v>
      </c>
      <c r="H400" s="36">
        <v>0</v>
      </c>
      <c r="I400" s="36">
        <v>0</v>
      </c>
      <c r="J400" s="36">
        <v>0</v>
      </c>
      <c r="K400" s="36">
        <v>0</v>
      </c>
      <c r="L400" s="37">
        <v>0</v>
      </c>
      <c r="M400" s="37">
        <v>0</v>
      </c>
      <c r="O400" s="36">
        <v>0</v>
      </c>
    </row>
    <row r="401" spans="1:15">
      <c r="A401" t="str">
        <v>L-S</v>
      </c>
      <c r="B401" s="59">
        <v>28.14</v>
      </c>
      <c r="C401" s="12">
        <v>3</v>
      </c>
      <c r="D401" s="49">
        <v>46141</v>
      </c>
      <c r="E401" s="57" t="str">
        <v>JOSE DANIEL CHINCHILLA CERDAS</v>
      </c>
      <c r="F401" s="32">
        <v>8</v>
      </c>
      <c r="H401" s="36">
        <v>0</v>
      </c>
      <c r="I401" s="36">
        <v>0</v>
      </c>
      <c r="J401" s="36">
        <v>0</v>
      </c>
      <c r="K401" s="36">
        <v>0</v>
      </c>
      <c r="L401" s="37">
        <v>0</v>
      </c>
      <c r="M401" s="37">
        <v>0</v>
      </c>
      <c r="O401" s="36">
        <v>0</v>
      </c>
    </row>
    <row r="402" spans="1:15">
      <c r="A402" t="str">
        <v>L-S</v>
      </c>
      <c r="B402" s="59">
        <v>28.21</v>
      </c>
      <c r="C402" s="12">
        <v>3</v>
      </c>
      <c r="D402" s="49">
        <v>46141</v>
      </c>
      <c r="E402" s="57" t="str">
        <v>MARIELA ARCE GARCIA</v>
      </c>
      <c r="F402" s="32">
        <v>8</v>
      </c>
      <c r="H402" s="36">
        <v>0</v>
      </c>
      <c r="I402" s="36">
        <v>0</v>
      </c>
      <c r="J402" s="36">
        <v>0</v>
      </c>
      <c r="K402" s="36">
        <v>0</v>
      </c>
      <c r="L402" s="37">
        <v>0</v>
      </c>
      <c r="M402" s="37">
        <v>0</v>
      </c>
      <c r="O402" s="36">
        <v>0</v>
      </c>
    </row>
    <row r="403" spans="1:15">
      <c r="A403" t="str">
        <v>L-S</v>
      </c>
      <c r="B403" s="59">
        <v>28.29</v>
      </c>
      <c r="C403" s="12">
        <v>3</v>
      </c>
      <c r="D403" s="49">
        <v>46141</v>
      </c>
      <c r="E403" s="57" t="str">
        <v>ANTHONY ALVAREZ NAVARRO</v>
      </c>
      <c r="F403" s="32">
        <v>8</v>
      </c>
      <c r="H403" s="36">
        <v>0</v>
      </c>
      <c r="I403" s="36">
        <v>0</v>
      </c>
      <c r="J403" s="36">
        <v>0</v>
      </c>
      <c r="K403" s="36">
        <v>0</v>
      </c>
      <c r="L403" s="37">
        <v>0</v>
      </c>
      <c r="M403" s="37">
        <v>0</v>
      </c>
      <c r="O403" s="36">
        <v>0</v>
      </c>
    </row>
    <row r="404" spans="1:15">
      <c r="A404" t="str">
        <v>L-S</v>
      </c>
      <c r="B404" s="59">
        <v>28.36</v>
      </c>
      <c r="C404" s="12">
        <v>3</v>
      </c>
      <c r="D404" s="49">
        <v>46141</v>
      </c>
      <c r="E404" s="57" t="str">
        <v>CESAR MATARRITA MATARRITA</v>
      </c>
      <c r="F404" s="32">
        <v>8</v>
      </c>
      <c r="H404" s="36">
        <v>0</v>
      </c>
      <c r="I404" s="36">
        <v>0</v>
      </c>
      <c r="J404" s="36">
        <v>1</v>
      </c>
      <c r="K404" s="36">
        <v>0</v>
      </c>
      <c r="L404" s="37">
        <v>1</v>
      </c>
      <c r="M404" s="37">
        <v>0</v>
      </c>
      <c r="O404" s="36">
        <v>0</v>
      </c>
    </row>
    <row r="405" spans="1:15">
      <c r="A405" t="str">
        <v>L-S</v>
      </c>
      <c r="B405" s="59">
        <v>28.43</v>
      </c>
      <c r="C405" s="12">
        <v>3</v>
      </c>
      <c r="D405" s="49">
        <v>46141</v>
      </c>
      <c r="E405" s="57" t="str">
        <v>GERARDO BOLIVAR VARGAS FERNANDEZ</v>
      </c>
      <c r="F405" s="32">
        <v>8</v>
      </c>
      <c r="H405" s="36">
        <v>0</v>
      </c>
      <c r="I405" s="36">
        <v>0</v>
      </c>
      <c r="J405" s="36">
        <v>0</v>
      </c>
      <c r="K405" s="36">
        <v>0</v>
      </c>
      <c r="L405" s="37">
        <v>0</v>
      </c>
      <c r="M405" s="37">
        <v>0</v>
      </c>
      <c r="O405" s="36">
        <v>0</v>
      </c>
    </row>
    <row r="406" spans="1:15">
      <c r="A406" t="str">
        <v>L-S</v>
      </c>
      <c r="B406" s="59">
        <v>28.5</v>
      </c>
      <c r="C406" s="12">
        <v>3</v>
      </c>
      <c r="D406" s="49">
        <v>46141</v>
      </c>
      <c r="E406" s="57" t="str">
        <v>LAURA REBECA CORDOBA FERNANDEZ</v>
      </c>
      <c r="F406" s="32">
        <v>8</v>
      </c>
      <c r="H406" s="36">
        <v>0</v>
      </c>
      <c r="I406" s="36">
        <v>0</v>
      </c>
      <c r="J406" s="36">
        <v>0</v>
      </c>
      <c r="K406" s="36">
        <v>0</v>
      </c>
      <c r="L406" s="37">
        <v>0</v>
      </c>
      <c r="M406" s="37">
        <v>0</v>
      </c>
      <c r="O406" s="36">
        <v>0</v>
      </c>
    </row>
    <row r="407" spans="1:15">
      <c r="A407" t="str">
        <v>L-S</v>
      </c>
      <c r="B407" s="59">
        <v>28.57</v>
      </c>
      <c r="C407" s="12">
        <v>3</v>
      </c>
      <c r="D407" s="49">
        <v>46141</v>
      </c>
      <c r="E407" s="57" t="str">
        <v>VICTOR CHAVES MONTERO</v>
      </c>
      <c r="F407" s="32">
        <v>8</v>
      </c>
      <c r="H407" s="36">
        <v>0</v>
      </c>
      <c r="I407" s="36">
        <v>0</v>
      </c>
      <c r="J407" s="36">
        <v>8</v>
      </c>
      <c r="K407" s="36">
        <v>0</v>
      </c>
      <c r="L407" s="37">
        <v>8</v>
      </c>
      <c r="M407" s="37">
        <v>0</v>
      </c>
      <c r="O407" s="36">
        <v>0</v>
      </c>
    </row>
    <row r="408" spans="1:15">
      <c r="A408" t="str">
        <v>L-S</v>
      </c>
      <c r="B408" s="59">
        <v>28.64</v>
      </c>
      <c r="C408" s="12">
        <v>3</v>
      </c>
      <c r="D408" s="49">
        <v>46141</v>
      </c>
      <c r="E408" s="57" t="str">
        <v>MEYLIN ALEJANDRA ZUÑIGA NUÑEZ</v>
      </c>
      <c r="F408" s="32">
        <v>8</v>
      </c>
      <c r="H408" s="36">
        <v>0</v>
      </c>
      <c r="I408" s="36">
        <v>0</v>
      </c>
      <c r="J408" s="36">
        <v>0</v>
      </c>
      <c r="K408" s="36">
        <v>0</v>
      </c>
      <c r="L408" s="37">
        <v>0</v>
      </c>
      <c r="M408" s="37">
        <v>0</v>
      </c>
      <c r="O408" s="36">
        <v>0</v>
      </c>
    </row>
    <row r="409" spans="1:15">
      <c r="A409" t="str">
        <v>L-S</v>
      </c>
      <c r="B409" s="59">
        <v>28.71</v>
      </c>
      <c r="C409" s="12">
        <v>3</v>
      </c>
      <c r="D409" s="49">
        <v>46141</v>
      </c>
      <c r="E409" s="57" t="str">
        <v>RAFAEL VEGA ALVAREZ</v>
      </c>
      <c r="F409" s="32">
        <v>8</v>
      </c>
      <c r="H409" s="36">
        <v>0</v>
      </c>
      <c r="I409" s="36">
        <v>0</v>
      </c>
      <c r="J409" s="36">
        <v>1</v>
      </c>
      <c r="K409" s="36">
        <v>0</v>
      </c>
      <c r="L409" s="37">
        <v>1</v>
      </c>
      <c r="M409" s="37">
        <v>0</v>
      </c>
      <c r="O409" s="36">
        <v>0</v>
      </c>
    </row>
    <row r="410" spans="1:15">
      <c r="A410" t="str">
        <v>L-S</v>
      </c>
      <c r="B410" s="59">
        <v>28.79</v>
      </c>
      <c r="C410" s="12">
        <v>3</v>
      </c>
      <c r="D410" s="49">
        <v>46141</v>
      </c>
      <c r="E410" s="57" t="str">
        <v>JOSE QUESADA SOLIS</v>
      </c>
      <c r="F410" s="32">
        <v>8</v>
      </c>
      <c r="H410" s="36">
        <v>0</v>
      </c>
      <c r="I410" s="36">
        <v>0</v>
      </c>
      <c r="J410" s="36">
        <v>0</v>
      </c>
      <c r="K410" s="36">
        <v>0</v>
      </c>
      <c r="L410" s="37">
        <v>0</v>
      </c>
      <c r="M410" s="37">
        <v>0</v>
      </c>
      <c r="O410" s="36">
        <v>0</v>
      </c>
    </row>
    <row r="411" spans="1:15">
      <c r="A411" t="str">
        <v>L-S</v>
      </c>
      <c r="B411" s="59">
        <v>28.86</v>
      </c>
      <c r="C411" s="12">
        <v>3</v>
      </c>
      <c r="D411" s="49">
        <v>46141</v>
      </c>
      <c r="E411" s="57" t="str">
        <v>MARIA FERNANDA ARAYA ARGUEDAS</v>
      </c>
      <c r="F411" s="32">
        <v>8</v>
      </c>
      <c r="H411" s="36">
        <v>0</v>
      </c>
      <c r="I411" s="36">
        <v>0</v>
      </c>
      <c r="J411" s="36">
        <v>7</v>
      </c>
      <c r="K411" s="36">
        <v>0</v>
      </c>
      <c r="L411" s="37">
        <v>7</v>
      </c>
      <c r="M411" s="37">
        <v>0</v>
      </c>
      <c r="O411" s="36">
        <v>0</v>
      </c>
    </row>
    <row r="412" spans="1:15">
      <c r="A412" t="str">
        <v>L-S</v>
      </c>
      <c r="B412" s="59">
        <v>28.93</v>
      </c>
      <c r="C412" s="12">
        <v>3</v>
      </c>
      <c r="D412" s="49">
        <v>46141</v>
      </c>
      <c r="E412" s="57" t="str">
        <v>ANDREY ALONSO PALACIOS ALVAREZ</v>
      </c>
      <c r="F412" s="32">
        <v>8</v>
      </c>
      <c r="H412" s="36">
        <v>0</v>
      </c>
      <c r="I412" s="36">
        <v>0</v>
      </c>
      <c r="J412" s="36">
        <v>0</v>
      </c>
      <c r="K412" s="36">
        <v>0</v>
      </c>
      <c r="L412" s="37">
        <v>0</v>
      </c>
      <c r="M412" s="37">
        <v>0</v>
      </c>
      <c r="O412" s="36">
        <v>0</v>
      </c>
    </row>
    <row r="413" spans="1:15">
      <c r="A413" t="str">
        <v>L-S</v>
      </c>
      <c r="B413" s="59">
        <v>29</v>
      </c>
      <c r="C413" s="12">
        <v>4</v>
      </c>
      <c r="D413" s="49">
        <v>46142</v>
      </c>
      <c r="E413" s="57" t="str">
        <v>ELIER CORTES BALTODANO</v>
      </c>
      <c r="F413" s="32">
        <v>8</v>
      </c>
      <c r="H413" s="36">
        <v>0</v>
      </c>
      <c r="I413" s="36">
        <v>0</v>
      </c>
      <c r="J413" s="36">
        <v>0</v>
      </c>
      <c r="K413" s="36">
        <v>0</v>
      </c>
      <c r="L413" s="37">
        <v>0</v>
      </c>
      <c r="M413" s="37">
        <v>0</v>
      </c>
      <c r="O413" s="36">
        <v>0</v>
      </c>
    </row>
    <row r="414" spans="1:15">
      <c r="A414" t="str">
        <v>L-S</v>
      </c>
      <c r="B414" s="59">
        <v>29.07</v>
      </c>
      <c r="C414" s="12">
        <v>4</v>
      </c>
      <c r="D414" s="49">
        <v>46142</v>
      </c>
      <c r="E414" s="57" t="str">
        <v>NEIL JOSE GARCIA VARGAS</v>
      </c>
      <c r="F414" s="32">
        <v>8</v>
      </c>
      <c r="H414" s="36">
        <v>0</v>
      </c>
      <c r="I414" s="36">
        <v>0</v>
      </c>
      <c r="J414" s="36">
        <v>0</v>
      </c>
      <c r="K414" s="36">
        <v>0</v>
      </c>
      <c r="L414" s="37">
        <v>0</v>
      </c>
      <c r="M414" s="37">
        <v>0</v>
      </c>
      <c r="O414" s="36">
        <v>0</v>
      </c>
    </row>
    <row r="415" spans="1:15">
      <c r="A415" t="str">
        <v>L-S</v>
      </c>
      <c r="B415" s="59">
        <v>29.14</v>
      </c>
      <c r="C415" s="12">
        <v>4</v>
      </c>
      <c r="D415" s="49">
        <v>46142</v>
      </c>
      <c r="E415" s="57" t="str">
        <v>JOSE DANIEL CHINCHILLA CERDAS</v>
      </c>
      <c r="F415" s="32">
        <v>8</v>
      </c>
      <c r="H415" s="36">
        <v>0</v>
      </c>
      <c r="I415" s="36">
        <v>0</v>
      </c>
      <c r="J415" s="36">
        <v>0.5</v>
      </c>
      <c r="K415" s="36">
        <v>0</v>
      </c>
      <c r="L415" s="37">
        <v>0.5</v>
      </c>
      <c r="M415" s="37">
        <v>0</v>
      </c>
      <c r="O415" s="36">
        <v>0</v>
      </c>
    </row>
    <row r="416" spans="1:15">
      <c r="A416" t="str">
        <v>L-S</v>
      </c>
      <c r="B416" s="59">
        <v>29.21</v>
      </c>
      <c r="C416" s="12">
        <v>4</v>
      </c>
      <c r="D416" s="49">
        <v>46142</v>
      </c>
      <c r="E416" s="57" t="str">
        <v>MARIELA ARCE GARCIA</v>
      </c>
      <c r="F416" s="32">
        <v>8</v>
      </c>
      <c r="H416" s="36">
        <v>0</v>
      </c>
      <c r="I416" s="36">
        <v>0</v>
      </c>
      <c r="J416" s="36">
        <v>0.5</v>
      </c>
      <c r="K416" s="36">
        <v>0</v>
      </c>
      <c r="L416" s="37">
        <v>0.5</v>
      </c>
      <c r="M416" s="37">
        <v>0</v>
      </c>
      <c r="O416" s="36">
        <v>0</v>
      </c>
    </row>
    <row r="417" spans="1:15">
      <c r="A417" t="str">
        <v>L-S</v>
      </c>
      <c r="B417" s="59">
        <v>29.29</v>
      </c>
      <c r="C417" s="12">
        <v>4</v>
      </c>
      <c r="D417" s="49">
        <v>46142</v>
      </c>
      <c r="E417" s="57" t="str">
        <v>ANTHONY ALVAREZ NAVARRO</v>
      </c>
      <c r="F417" s="32">
        <v>8</v>
      </c>
      <c r="H417" s="36">
        <v>0</v>
      </c>
      <c r="I417" s="36">
        <v>0</v>
      </c>
      <c r="J417" s="36">
        <v>0</v>
      </c>
      <c r="K417" s="36">
        <v>0</v>
      </c>
      <c r="L417" s="37">
        <v>0</v>
      </c>
      <c r="M417" s="37">
        <v>0</v>
      </c>
      <c r="O417" s="36">
        <v>0</v>
      </c>
    </row>
    <row r="418" spans="1:15">
      <c r="A418" t="str">
        <v>L-S</v>
      </c>
      <c r="B418" s="59">
        <v>29.36</v>
      </c>
      <c r="C418" s="12">
        <v>4</v>
      </c>
      <c r="D418" s="49">
        <v>46142</v>
      </c>
      <c r="E418" s="57" t="str">
        <v>CESAR MATARRITA MATARRITA</v>
      </c>
      <c r="F418" s="32">
        <v>8</v>
      </c>
      <c r="H418" s="36">
        <v>0</v>
      </c>
      <c r="I418" s="36">
        <v>0</v>
      </c>
      <c r="J418" s="36">
        <v>0</v>
      </c>
      <c r="K418" s="36">
        <v>0</v>
      </c>
      <c r="L418" s="37">
        <v>0</v>
      </c>
      <c r="M418" s="37">
        <v>0</v>
      </c>
      <c r="O418" s="36">
        <v>0</v>
      </c>
    </row>
    <row r="419" spans="1:15">
      <c r="A419" t="str">
        <v>L-S</v>
      </c>
      <c r="B419" s="59">
        <v>29.43</v>
      </c>
      <c r="C419" s="12">
        <v>4</v>
      </c>
      <c r="D419" s="49">
        <v>46142</v>
      </c>
      <c r="E419" s="57" t="str">
        <v>GERARDO BOLIVAR VARGAS FERNANDEZ</v>
      </c>
      <c r="F419" s="32">
        <v>8</v>
      </c>
      <c r="H419" s="36">
        <v>0</v>
      </c>
      <c r="I419" s="36">
        <v>0</v>
      </c>
      <c r="J419" s="36">
        <v>0</v>
      </c>
      <c r="K419" s="36">
        <v>0</v>
      </c>
      <c r="L419" s="37">
        <v>0</v>
      </c>
      <c r="M419" s="37">
        <v>0</v>
      </c>
      <c r="O419" s="36">
        <v>0</v>
      </c>
    </row>
    <row r="420" spans="1:15">
      <c r="A420" t="str">
        <v>L-S</v>
      </c>
      <c r="B420" s="59">
        <v>29.5</v>
      </c>
      <c r="C420" s="12">
        <v>4</v>
      </c>
      <c r="D420" s="49">
        <v>46142</v>
      </c>
      <c r="E420" s="57" t="str">
        <v>LAURA REBECA CORDOBA FERNANDEZ</v>
      </c>
      <c r="F420" s="32">
        <v>8</v>
      </c>
      <c r="H420" s="36">
        <v>0</v>
      </c>
      <c r="I420" s="36">
        <v>0</v>
      </c>
      <c r="J420" s="36">
        <v>0</v>
      </c>
      <c r="K420" s="36">
        <v>0</v>
      </c>
      <c r="L420" s="37">
        <v>0</v>
      </c>
      <c r="M420" s="37">
        <v>0</v>
      </c>
      <c r="O420" s="36">
        <v>0</v>
      </c>
    </row>
    <row r="421" spans="1:15">
      <c r="A421" t="str">
        <v>L-S</v>
      </c>
      <c r="B421" s="59">
        <v>29.57</v>
      </c>
      <c r="C421" s="12">
        <v>4</v>
      </c>
      <c r="D421" s="49">
        <v>46142</v>
      </c>
      <c r="E421" s="57" t="str">
        <v>VICTOR CHAVES MONTERO</v>
      </c>
      <c r="F421" s="32">
        <v>8</v>
      </c>
      <c r="H421" s="36">
        <v>0</v>
      </c>
      <c r="I421" s="36">
        <v>0</v>
      </c>
      <c r="J421" s="36">
        <v>8</v>
      </c>
      <c r="K421" s="36">
        <v>0</v>
      </c>
      <c r="L421" s="37">
        <v>8</v>
      </c>
      <c r="M421" s="37">
        <v>0</v>
      </c>
      <c r="O421" s="36">
        <v>0</v>
      </c>
    </row>
    <row r="422" spans="1:15">
      <c r="A422" t="str">
        <v>L-S</v>
      </c>
      <c r="B422" s="59">
        <v>29.64</v>
      </c>
      <c r="C422" s="12">
        <v>4</v>
      </c>
      <c r="D422" s="49">
        <v>46142</v>
      </c>
      <c r="E422" s="57" t="str">
        <v>MEYLIN ALEJANDRA ZUÑIGA NUÑEZ</v>
      </c>
      <c r="F422" s="32">
        <v>8</v>
      </c>
      <c r="H422" s="36">
        <v>0</v>
      </c>
      <c r="I422" s="36">
        <v>0</v>
      </c>
      <c r="J422" s="36">
        <v>4</v>
      </c>
      <c r="K422" s="36">
        <v>0</v>
      </c>
      <c r="L422" s="37">
        <v>4</v>
      </c>
      <c r="M422" s="37">
        <v>0</v>
      </c>
      <c r="O422" s="36">
        <v>0</v>
      </c>
    </row>
    <row r="423" spans="1:15">
      <c r="A423" t="str">
        <v>L-S</v>
      </c>
      <c r="B423" s="59">
        <v>29.71</v>
      </c>
      <c r="C423" s="12">
        <v>4</v>
      </c>
      <c r="D423" s="49">
        <v>46142</v>
      </c>
      <c r="E423" s="57" t="str">
        <v>RAFAEL VEGA ALVAREZ</v>
      </c>
      <c r="F423" s="32">
        <v>8</v>
      </c>
      <c r="H423" s="36">
        <v>0</v>
      </c>
      <c r="I423" s="36">
        <v>0</v>
      </c>
      <c r="J423" s="36">
        <v>2.25</v>
      </c>
      <c r="K423" s="36">
        <v>0</v>
      </c>
      <c r="L423" s="37">
        <v>2.25</v>
      </c>
      <c r="M423" s="37">
        <v>0</v>
      </c>
      <c r="O423" s="36">
        <v>0</v>
      </c>
    </row>
    <row r="424" spans="1:15">
      <c r="A424" t="str">
        <v>L-S</v>
      </c>
      <c r="B424" s="59">
        <v>29.79</v>
      </c>
      <c r="C424" s="12">
        <v>4</v>
      </c>
      <c r="D424" s="49">
        <v>46142</v>
      </c>
      <c r="E424" s="57" t="str">
        <v>JOSE QUESADA SOLIS</v>
      </c>
      <c r="F424" s="32">
        <v>8</v>
      </c>
      <c r="H424" s="36">
        <v>0</v>
      </c>
      <c r="I424" s="36">
        <v>0</v>
      </c>
      <c r="J424" s="36">
        <v>0</v>
      </c>
      <c r="K424" s="36">
        <v>0</v>
      </c>
      <c r="L424" s="37">
        <v>0</v>
      </c>
      <c r="M424" s="37">
        <v>0</v>
      </c>
      <c r="O424" s="36">
        <v>0</v>
      </c>
    </row>
    <row r="425" spans="1:15">
      <c r="A425" t="str">
        <v>L-S</v>
      </c>
      <c r="B425" s="59">
        <v>29.86</v>
      </c>
      <c r="C425" s="12">
        <v>4</v>
      </c>
      <c r="D425" s="49">
        <v>46142</v>
      </c>
      <c r="E425" s="57" t="str">
        <v>MARIA FERNANDA ARAYA ARGUEDAS</v>
      </c>
      <c r="F425" s="32">
        <v>8</v>
      </c>
      <c r="H425" s="36">
        <v>0</v>
      </c>
      <c r="I425" s="36">
        <v>0</v>
      </c>
      <c r="J425" s="36">
        <v>4</v>
      </c>
      <c r="K425" s="36">
        <v>0</v>
      </c>
      <c r="L425" s="37">
        <v>4</v>
      </c>
      <c r="M425" s="37">
        <v>0</v>
      </c>
      <c r="O425" s="36">
        <v>0</v>
      </c>
    </row>
    <row r="426" spans="1:15">
      <c r="A426" t="str">
        <v>L-S</v>
      </c>
      <c r="B426" s="59">
        <v>29.93</v>
      </c>
      <c r="C426" s="12">
        <v>4</v>
      </c>
      <c r="D426" s="49">
        <v>46142</v>
      </c>
      <c r="E426" s="57" t="str">
        <v>ANDREY ALONSO PALACIOS ALVAREZ</v>
      </c>
      <c r="F426" s="32">
        <v>8</v>
      </c>
      <c r="H426" s="36">
        <v>0</v>
      </c>
      <c r="I426" s="36">
        <v>0</v>
      </c>
      <c r="J426" s="36">
        <v>0</v>
      </c>
      <c r="K426" s="36">
        <v>0</v>
      </c>
      <c r="L426" s="37">
        <v>0</v>
      </c>
      <c r="M426" s="37">
        <v>0</v>
      </c>
      <c r="O426" s="36">
        <v>0</v>
      </c>
    </row>
    <row r="427" spans="1:15">
      <c r="B427" s="59"/>
      <c r="C427" s="12"/>
      <c r="D427" s="49"/>
      <c r="E427" s="57"/>
      <c r="F427" s="32"/>
      <c r="H427" s="36"/>
      <c r="I427" s="36"/>
      <c r="J427" s="36"/>
      <c r="K427" s="36"/>
      <c r="L427" s="37"/>
      <c r="M427" s="37"/>
      <c r="O427" s="36"/>
    </row>
    <row r="428" spans="1:15">
      <c r="B428" s="59"/>
      <c r="C428" s="12"/>
      <c r="D428" s="49"/>
      <c r="E428" s="57"/>
      <c r="F428" s="32"/>
      <c r="H428" s="36"/>
      <c r="I428" s="36"/>
      <c r="J428" s="36"/>
      <c r="K428" s="36"/>
      <c r="L428" s="37"/>
      <c r="M428" s="37"/>
      <c r="O428" s="36"/>
    </row>
    <row r="429" spans="1:15">
      <c r="B429" s="59"/>
      <c r="C429" s="12"/>
      <c r="D429" s="49"/>
      <c r="E429" s="57"/>
      <c r="F429" s="32"/>
      <c r="H429" s="36"/>
      <c r="I429" s="36"/>
      <c r="J429" s="36"/>
      <c r="K429" s="36"/>
      <c r="L429" s="37"/>
      <c r="M429" s="37"/>
      <c r="O429" s="36"/>
    </row>
    <row r="430" spans="1:15">
      <c r="B430" s="59"/>
      <c r="C430" s="12"/>
      <c r="D430" s="49"/>
      <c r="E430" s="57"/>
      <c r="F430" s="32"/>
      <c r="H430" s="36"/>
      <c r="I430" s="36"/>
      <c r="J430" s="36"/>
      <c r="K430" s="36"/>
      <c r="L430" s="37"/>
      <c r="M430" s="37"/>
      <c r="O430" s="36"/>
    </row>
    <row r="431" spans="1:15">
      <c r="B431" s="59"/>
      <c r="C431" s="12"/>
      <c r="D431" s="49"/>
      <c r="E431" s="57"/>
      <c r="F431" s="32"/>
      <c r="H431" s="36"/>
      <c r="I431" s="36"/>
      <c r="J431" s="36"/>
      <c r="K431" s="36"/>
      <c r="L431" s="37"/>
      <c r="M431" s="37"/>
      <c r="O431" s="36"/>
    </row>
    <row r="432" spans="1:15">
      <c r="B432" s="59"/>
      <c r="C432" s="12"/>
      <c r="D432" s="49"/>
      <c r="E432" s="57"/>
      <c r="F432" s="32"/>
      <c r="H432" s="36"/>
      <c r="I432" s="36"/>
      <c r="J432" s="36"/>
      <c r="K432" s="36"/>
      <c r="L432" s="37"/>
      <c r="M432" s="37"/>
      <c r="O432" s="36"/>
    </row>
    <row r="433" spans="2:15">
      <c r="B433" s="59"/>
      <c r="C433" s="12"/>
      <c r="D433" s="49"/>
      <c r="E433" s="57"/>
      <c r="F433" s="32"/>
      <c r="H433" s="36"/>
      <c r="I433" s="36"/>
      <c r="J433" s="36"/>
      <c r="K433" s="36"/>
      <c r="L433" s="37"/>
      <c r="M433" s="37"/>
      <c r="O433" s="36"/>
    </row>
    <row r="434" spans="2:15">
      <c r="B434" s="59"/>
      <c r="C434" s="12"/>
      <c r="D434" s="49"/>
      <c r="E434" s="57"/>
      <c r="F434" s="32"/>
      <c r="H434" s="36"/>
      <c r="I434" s="36"/>
      <c r="J434" s="36"/>
      <c r="K434" s="36"/>
      <c r="L434" s="37"/>
      <c r="M434" s="37"/>
      <c r="O434" s="36"/>
    </row>
    <row r="435" spans="2:15">
      <c r="B435" s="59"/>
      <c r="C435" s="12"/>
      <c r="D435" s="49"/>
      <c r="E435" s="57"/>
      <c r="F435" s="32"/>
      <c r="H435" s="36"/>
      <c r="I435" s="36"/>
      <c r="J435" s="36"/>
      <c r="K435" s="36"/>
      <c r="L435" s="37"/>
      <c r="M435" s="37"/>
      <c r="O435" s="36"/>
    </row>
    <row r="436" spans="2:15">
      <c r="B436" s="59"/>
      <c r="C436" s="12"/>
      <c r="D436" s="49"/>
      <c r="E436" s="57"/>
      <c r="F436" s="32"/>
      <c r="H436" s="36"/>
      <c r="I436" s="36"/>
      <c r="J436" s="36"/>
      <c r="K436" s="36"/>
      <c r="L436" s="37"/>
      <c r="M436" s="37"/>
      <c r="O436" s="36"/>
    </row>
    <row r="437" spans="2:15">
      <c r="B437" s="59"/>
      <c r="C437" s="12"/>
      <c r="D437" s="49"/>
      <c r="E437" s="57"/>
      <c r="F437" s="32"/>
      <c r="H437" s="36"/>
      <c r="I437" s="36"/>
      <c r="J437" s="36"/>
      <c r="K437" s="36"/>
      <c r="L437" s="37"/>
      <c r="M437" s="37"/>
      <c r="O437" s="36"/>
    </row>
    <row r="438" spans="2:15">
      <c r="B438" s="59"/>
      <c r="C438" s="12"/>
      <c r="D438" s="49"/>
      <c r="E438" s="57"/>
      <c r="F438" s="32"/>
      <c r="H438" s="36"/>
      <c r="I438" s="36"/>
      <c r="J438" s="36"/>
      <c r="K438" s="36"/>
      <c r="L438" s="37"/>
      <c r="M438" s="37"/>
      <c r="O438" s="36"/>
    </row>
    <row r="439" spans="2:15">
      <c r="B439" s="59"/>
      <c r="C439" s="12"/>
      <c r="D439" s="49"/>
      <c r="E439" s="57"/>
      <c r="F439" s="32"/>
      <c r="H439" s="36"/>
      <c r="I439" s="36"/>
      <c r="J439" s="36"/>
      <c r="K439" s="36"/>
      <c r="L439" s="37"/>
      <c r="M439" s="37"/>
      <c r="O439" s="36"/>
    </row>
    <row r="440" spans="2:15">
      <c r="B440" s="59"/>
      <c r="C440" s="12"/>
      <c r="D440" s="49"/>
      <c r="E440" s="57"/>
      <c r="F440" s="32"/>
      <c r="H440" s="36"/>
      <c r="I440" s="36"/>
      <c r="J440" s="36"/>
      <c r="K440" s="36"/>
      <c r="L440" s="37"/>
      <c r="M440" s="37"/>
      <c r="O440" s="36"/>
    </row>
    <row r="441" spans="2:15">
      <c r="B441" s="59"/>
      <c r="C441" s="12"/>
      <c r="D441" s="49"/>
      <c r="E441" s="57"/>
      <c r="F441" s="32"/>
      <c r="H441" s="36"/>
      <c r="I441" s="36"/>
      <c r="J441" s="36"/>
      <c r="K441" s="36"/>
      <c r="L441" s="37"/>
      <c r="M441" s="37"/>
      <c r="O441" s="36"/>
    </row>
    <row r="442" spans="2:15">
      <c r="B442" s="59"/>
      <c r="C442" s="12"/>
      <c r="D442" s="49"/>
      <c r="E442" s="57"/>
      <c r="F442" s="32"/>
      <c r="H442" s="36"/>
      <c r="I442" s="36"/>
      <c r="J442" s="36"/>
      <c r="K442" s="36"/>
      <c r="L442" s="37"/>
      <c r="M442" s="37"/>
      <c r="O442" s="36"/>
    </row>
    <row r="443" spans="2:15">
      <c r="B443" s="59"/>
      <c r="C443" s="12"/>
      <c r="D443" s="49"/>
      <c r="E443" s="57"/>
      <c r="F443" s="32"/>
      <c r="H443" s="36"/>
      <c r="I443" s="36"/>
      <c r="J443" s="36"/>
      <c r="K443" s="36"/>
      <c r="L443" s="37"/>
      <c r="M443" s="37"/>
      <c r="O443" s="36"/>
    </row>
    <row r="444" spans="2:15">
      <c r="B444" s="59"/>
      <c r="C444" s="12"/>
      <c r="D444" s="49"/>
      <c r="E444" s="57"/>
      <c r="F444" s="32"/>
      <c r="H444" s="36"/>
      <c r="I444" s="36"/>
      <c r="J444" s="36"/>
      <c r="K444" s="36"/>
      <c r="L444" s="37"/>
      <c r="M444" s="37"/>
      <c r="O444" s="36"/>
    </row>
    <row r="445" spans="2:15">
      <c r="B445" s="59"/>
      <c r="C445" s="12"/>
      <c r="D445" s="49"/>
      <c r="E445" s="57"/>
      <c r="F445" s="32"/>
      <c r="H445" s="36"/>
      <c r="I445" s="36"/>
      <c r="J445" s="36"/>
      <c r="K445" s="36"/>
      <c r="L445" s="37"/>
      <c r="M445" s="37"/>
      <c r="O445" s="36"/>
    </row>
    <row r="446" spans="2:15">
      <c r="B446" s="59"/>
      <c r="C446" s="12"/>
      <c r="D446" s="49"/>
      <c r="E446" s="57"/>
      <c r="F446" s="32"/>
      <c r="H446" s="36"/>
      <c r="I446" s="36"/>
      <c r="J446" s="36"/>
      <c r="K446" s="36"/>
      <c r="L446" s="37"/>
      <c r="M446" s="37"/>
      <c r="O446" s="36"/>
    </row>
    <row r="447" spans="2:15">
      <c r="B447" s="59"/>
      <c r="C447" s="12"/>
      <c r="D447" s="49"/>
      <c r="E447" s="57"/>
      <c r="F447" s="32"/>
      <c r="H447" s="36"/>
      <c r="I447" s="36"/>
      <c r="J447" s="36"/>
      <c r="K447" s="36"/>
      <c r="L447" s="37"/>
      <c r="M447" s="37"/>
      <c r="O447" s="36"/>
    </row>
    <row r="448" spans="2:15">
      <c r="B448" s="59"/>
      <c r="C448" s="12"/>
      <c r="D448" s="49"/>
      <c r="E448" s="57"/>
      <c r="F448" s="32"/>
      <c r="H448" s="36"/>
      <c r="I448" s="36"/>
      <c r="J448" s="36"/>
      <c r="K448" s="36"/>
      <c r="L448" s="37"/>
      <c r="M448" s="37"/>
      <c r="O448" s="36"/>
    </row>
    <row r="449" spans="2:15">
      <c r="B449" s="59"/>
      <c r="C449" s="12"/>
      <c r="D449" s="49"/>
      <c r="E449" s="57"/>
      <c r="F449" s="32"/>
      <c r="H449" s="36"/>
      <c r="I449" s="36"/>
      <c r="J449" s="36"/>
      <c r="K449" s="36"/>
      <c r="L449" s="37"/>
      <c r="M449" s="37"/>
      <c r="O449" s="36"/>
    </row>
    <row r="450" spans="2:15">
      <c r="B450" s="59"/>
      <c r="C450" s="12"/>
      <c r="D450" s="49"/>
      <c r="E450" s="57"/>
      <c r="F450" s="32"/>
      <c r="H450" s="36"/>
      <c r="I450" s="36"/>
      <c r="J450" s="36"/>
      <c r="K450" s="36"/>
      <c r="L450" s="37"/>
      <c r="M450" s="37"/>
      <c r="O450" s="36"/>
    </row>
    <row r="451" spans="2:15">
      <c r="B451" s="59"/>
      <c r="C451" s="12"/>
      <c r="D451" s="49"/>
      <c r="E451" s="57"/>
      <c r="F451" s="32"/>
      <c r="H451" s="36"/>
      <c r="I451" s="36"/>
      <c r="J451" s="36"/>
      <c r="K451" s="36"/>
      <c r="L451" s="37"/>
      <c r="M451" s="37"/>
      <c r="O451" s="36"/>
    </row>
    <row r="452" spans="2:15">
      <c r="B452" s="59"/>
      <c r="C452" s="12"/>
      <c r="D452" s="49"/>
      <c r="E452" s="57"/>
      <c r="F452" s="32"/>
      <c r="H452" s="36"/>
      <c r="I452" s="36"/>
      <c r="J452" s="36"/>
      <c r="K452" s="36"/>
      <c r="L452" s="37"/>
      <c r="M452" s="37"/>
      <c r="O452" s="36"/>
    </row>
    <row r="453" spans="2:15">
      <c r="B453" s="59"/>
      <c r="C453" s="12"/>
      <c r="D453" s="49"/>
      <c r="E453" s="57"/>
      <c r="F453" s="32"/>
      <c r="H453" s="36"/>
      <c r="I453" s="36"/>
      <c r="J453" s="36"/>
      <c r="K453" s="36"/>
      <c r="L453" s="37"/>
      <c r="M453" s="37"/>
      <c r="O453" s="36"/>
    </row>
    <row r="454" spans="2:15">
      <c r="B454" s="59"/>
      <c r="C454" s="12"/>
      <c r="D454" s="49"/>
      <c r="E454" s="57"/>
      <c r="F454" s="32"/>
      <c r="H454" s="36"/>
      <c r="I454" s="36"/>
      <c r="J454" s="36"/>
      <c r="K454" s="36"/>
      <c r="L454" s="37"/>
      <c r="M454" s="37"/>
      <c r="O454" s="36"/>
    </row>
    <row r="455" spans="2:15">
      <c r="B455" s="59"/>
      <c r="C455" s="12"/>
      <c r="D455" s="49"/>
      <c r="E455" s="57"/>
      <c r="F455" s="32"/>
      <c r="H455" s="36"/>
      <c r="I455" s="36"/>
      <c r="J455" s="36"/>
      <c r="K455" s="36"/>
      <c r="L455" s="37"/>
      <c r="M455" s="37"/>
      <c r="O455" s="36"/>
    </row>
    <row r="456" spans="2:15">
      <c r="B456" s="59"/>
      <c r="C456" s="12"/>
      <c r="D456" s="49"/>
      <c r="E456" s="57"/>
      <c r="F456" s="32"/>
      <c r="H456" s="36"/>
      <c r="I456" s="36"/>
      <c r="J456" s="36"/>
      <c r="K456" s="36"/>
      <c r="L456" s="37"/>
      <c r="M456" s="37"/>
      <c r="O456" s="36"/>
    </row>
    <row r="457" spans="2:15">
      <c r="B457" s="59"/>
      <c r="C457" s="12"/>
      <c r="D457" s="49"/>
      <c r="E457" s="57"/>
      <c r="F457" s="32"/>
      <c r="H457" s="36"/>
      <c r="I457" s="36"/>
      <c r="J457" s="36"/>
      <c r="K457" s="36"/>
      <c r="L457" s="37"/>
      <c r="M457" s="37"/>
      <c r="O457" s="36"/>
    </row>
    <row r="458" spans="2:15">
      <c r="B458" s="59"/>
      <c r="C458" s="12"/>
      <c r="D458" s="49"/>
      <c r="E458" s="57"/>
      <c r="F458" s="32"/>
      <c r="H458" s="36"/>
      <c r="I458" s="36"/>
      <c r="J458" s="36"/>
      <c r="K458" s="36"/>
      <c r="L458" s="37"/>
      <c r="M458" s="37"/>
      <c r="O458" s="36"/>
    </row>
    <row r="459" spans="2:15">
      <c r="B459" s="59"/>
      <c r="C459" s="12"/>
      <c r="D459" s="49"/>
      <c r="E459" s="57"/>
      <c r="F459" s="32"/>
      <c r="H459" s="36"/>
      <c r="I459" s="36"/>
      <c r="J459" s="36"/>
      <c r="K459" s="36"/>
      <c r="L459" s="37"/>
      <c r="M459" s="37"/>
      <c r="O459" s="36"/>
    </row>
    <row r="460" spans="2:15">
      <c r="B460" s="59"/>
      <c r="C460" s="12"/>
      <c r="D460" s="49"/>
      <c r="E460" s="57"/>
      <c r="F460" s="32"/>
      <c r="H460" s="36"/>
      <c r="I460" s="36"/>
      <c r="J460" s="36"/>
      <c r="K460" s="36"/>
      <c r="L460" s="37"/>
      <c r="M460" s="37"/>
      <c r="O460" s="36"/>
    </row>
    <row r="461" spans="2:15">
      <c r="B461" s="59"/>
      <c r="C461" s="12"/>
      <c r="D461" s="49"/>
      <c r="E461" s="57"/>
      <c r="F461" s="32"/>
      <c r="H461" s="36"/>
      <c r="I461" s="36"/>
      <c r="J461" s="36"/>
      <c r="K461" s="36"/>
      <c r="L461" s="37"/>
      <c r="M461" s="37"/>
      <c r="O461" s="36"/>
    </row>
    <row r="462" spans="2:15">
      <c r="B462" s="59"/>
      <c r="C462" s="12"/>
      <c r="D462" s="49"/>
      <c r="E462" s="57"/>
      <c r="F462" s="32"/>
      <c r="H462" s="36"/>
      <c r="I462" s="36"/>
      <c r="J462" s="36"/>
      <c r="K462" s="36"/>
      <c r="L462" s="37"/>
      <c r="M462" s="37"/>
      <c r="O462" s="36"/>
    </row>
    <row r="463" spans="2:15">
      <c r="B463" s="59"/>
      <c r="C463" s="12"/>
      <c r="D463" s="49"/>
      <c r="E463" s="57"/>
      <c r="F463" s="32"/>
      <c r="H463" s="36"/>
      <c r="I463" s="36"/>
      <c r="J463" s="36"/>
      <c r="K463" s="36"/>
      <c r="L463" s="37"/>
      <c r="M463" s="37"/>
      <c r="O463" s="36"/>
    </row>
    <row r="464" spans="2:15">
      <c r="B464" s="59"/>
      <c r="C464" s="12"/>
      <c r="D464" s="49"/>
      <c r="E464" s="57"/>
      <c r="F464" s="32"/>
      <c r="H464" s="36"/>
      <c r="I464" s="36"/>
      <c r="J464" s="36"/>
      <c r="K464" s="36"/>
      <c r="L464" s="37"/>
      <c r="M464" s="37"/>
      <c r="O464" s="36"/>
    </row>
    <row r="465" spans="2:15">
      <c r="B465" s="59"/>
      <c r="C465" s="12"/>
      <c r="D465" s="49"/>
      <c r="E465" s="57"/>
      <c r="F465" s="32"/>
      <c r="H465" s="36"/>
      <c r="I465" s="36"/>
      <c r="J465" s="36"/>
      <c r="K465" s="36"/>
      <c r="L465" s="37"/>
      <c r="M465" s="37"/>
      <c r="O465" s="36"/>
    </row>
    <row r="466" spans="2:15">
      <c r="B466" s="59"/>
      <c r="C466" s="12"/>
      <c r="D466" s="49"/>
      <c r="E466" s="57"/>
      <c r="F466" s="32"/>
      <c r="H466" s="36"/>
      <c r="I466" s="36"/>
      <c r="J466" s="36"/>
      <c r="K466" s="36"/>
      <c r="L466" s="37"/>
      <c r="M466" s="37"/>
      <c r="O466" s="36"/>
    </row>
    <row r="467" spans="2:15">
      <c r="B467" s="59"/>
      <c r="C467" s="12"/>
      <c r="D467" s="49"/>
      <c r="E467" s="57"/>
      <c r="F467" s="32"/>
      <c r="H467" s="36"/>
      <c r="I467" s="36"/>
      <c r="J467" s="36"/>
      <c r="K467" s="36"/>
      <c r="L467" s="37"/>
      <c r="M467" s="37"/>
      <c r="O467" s="36"/>
    </row>
    <row r="468" spans="2:15">
      <c r="B468" s="59"/>
      <c r="C468" s="12"/>
      <c r="D468" s="49"/>
      <c r="E468" s="57"/>
      <c r="F468" s="32"/>
      <c r="H468" s="36"/>
      <c r="I468" s="36"/>
      <c r="J468" s="36"/>
      <c r="K468" s="36"/>
      <c r="L468" s="37"/>
      <c r="M468" s="37"/>
      <c r="O468" s="36"/>
    </row>
    <row r="469" spans="2:15">
      <c r="B469" s="59"/>
      <c r="C469" s="12"/>
      <c r="D469" s="49"/>
      <c r="E469" s="57"/>
      <c r="F469" s="32"/>
      <c r="H469" s="36"/>
      <c r="I469" s="36"/>
      <c r="J469" s="36"/>
      <c r="K469" s="36"/>
      <c r="L469" s="37"/>
      <c r="M469" s="37"/>
      <c r="O469" s="36"/>
    </row>
    <row r="470" spans="2:15">
      <c r="B470" s="59"/>
      <c r="C470" s="12"/>
      <c r="D470" s="49"/>
      <c r="E470" s="57"/>
      <c r="F470" s="32"/>
      <c r="H470" s="36"/>
      <c r="I470" s="36"/>
      <c r="J470" s="36"/>
      <c r="K470" s="36"/>
      <c r="L470" s="37"/>
      <c r="M470" s="37"/>
      <c r="O470" s="36"/>
    </row>
    <row r="471" spans="2:15">
      <c r="B471" s="59"/>
      <c r="C471" s="12"/>
      <c r="D471" s="49"/>
      <c r="E471" s="57"/>
      <c r="F471" s="32"/>
      <c r="H471" s="36"/>
      <c r="I471" s="36"/>
      <c r="J471" s="36"/>
      <c r="K471" s="36"/>
      <c r="L471" s="37"/>
      <c r="M471" s="37"/>
      <c r="O471" s="36"/>
    </row>
    <row r="472" spans="2:15">
      <c r="B472" s="59"/>
      <c r="C472" s="12"/>
      <c r="D472" s="49"/>
      <c r="E472" s="57"/>
      <c r="F472" s="32"/>
      <c r="H472" s="36"/>
      <c r="I472" s="36"/>
      <c r="J472" s="36"/>
      <c r="K472" s="36"/>
      <c r="L472" s="37"/>
      <c r="M472" s="37"/>
      <c r="O472" s="36"/>
    </row>
    <row r="473" spans="2:15">
      <c r="B473" s="59"/>
      <c r="C473" s="12"/>
      <c r="D473" s="49"/>
      <c r="E473" s="57"/>
      <c r="F473" s="32"/>
      <c r="H473" s="36"/>
      <c r="I473" s="36"/>
      <c r="J473" s="36"/>
      <c r="K473" s="36"/>
      <c r="L473" s="37"/>
      <c r="M473" s="37"/>
      <c r="O473" s="36"/>
    </row>
    <row r="474" spans="2:15">
      <c r="B474" s="59"/>
      <c r="C474" s="12"/>
      <c r="D474" s="49"/>
      <c r="E474" s="57"/>
      <c r="F474" s="32"/>
      <c r="H474" s="36"/>
      <c r="I474" s="36"/>
      <c r="J474" s="36"/>
      <c r="K474" s="36"/>
      <c r="L474" s="37"/>
      <c r="M474" s="37"/>
      <c r="O474" s="36"/>
    </row>
    <row r="475" spans="2:15">
      <c r="B475" s="59"/>
      <c r="C475" s="12"/>
      <c r="D475" s="49"/>
      <c r="E475" s="57"/>
      <c r="F475" s="32"/>
      <c r="H475" s="36"/>
      <c r="I475" s="36"/>
      <c r="J475" s="36"/>
      <c r="K475" s="36"/>
      <c r="L475" s="37"/>
      <c r="M475" s="37"/>
      <c r="O475" s="36"/>
    </row>
    <row r="476" spans="2:15">
      <c r="B476" s="59"/>
      <c r="C476" s="12"/>
      <c r="D476" s="49"/>
      <c r="E476" s="57"/>
      <c r="F476" s="32"/>
      <c r="H476" s="36"/>
      <c r="I476" s="36"/>
      <c r="J476" s="36"/>
      <c r="K476" s="36"/>
      <c r="L476" s="37"/>
      <c r="M476" s="37"/>
      <c r="O476" s="36"/>
    </row>
    <row r="477" spans="2:15">
      <c r="B477" s="59"/>
      <c r="C477" s="12"/>
      <c r="D477" s="49"/>
      <c r="E477" s="57"/>
      <c r="F477" s="32"/>
      <c r="H477" s="36"/>
      <c r="I477" s="36"/>
      <c r="J477" s="36"/>
      <c r="K477" s="36"/>
      <c r="L477" s="37"/>
      <c r="M477" s="37"/>
      <c r="O477" s="36"/>
    </row>
    <row r="478" spans="2:15">
      <c r="B478" s="59"/>
      <c r="C478" s="12"/>
      <c r="D478" s="49"/>
      <c r="E478" s="57"/>
      <c r="F478" s="32"/>
      <c r="H478" s="36"/>
      <c r="I478" s="36"/>
      <c r="J478" s="36"/>
      <c r="K478" s="36"/>
      <c r="L478" s="37"/>
      <c r="M478" s="37"/>
      <c r="O478" s="36"/>
    </row>
    <row r="479" spans="2:15">
      <c r="B479" s="59"/>
      <c r="C479" s="12"/>
      <c r="D479" s="49"/>
      <c r="E479" s="57"/>
      <c r="F479" s="32"/>
      <c r="H479" s="36"/>
      <c r="I479" s="36"/>
      <c r="J479" s="36"/>
      <c r="K479" s="36"/>
      <c r="L479" s="37"/>
      <c r="M479" s="37"/>
      <c r="O479" s="36"/>
    </row>
    <row r="480" spans="2:15">
      <c r="B480" s="59"/>
      <c r="C480" s="12"/>
      <c r="D480" s="49"/>
      <c r="E480" s="57"/>
      <c r="F480" s="32"/>
      <c r="H480" s="36"/>
      <c r="I480" s="36"/>
      <c r="J480" s="36"/>
      <c r="K480" s="36"/>
      <c r="L480" s="37"/>
      <c r="M480" s="37"/>
      <c r="O480" s="36"/>
    </row>
    <row r="481" spans="2:15">
      <c r="B481" s="59"/>
      <c r="C481" s="12"/>
      <c r="D481" s="49"/>
      <c r="E481" s="57"/>
      <c r="F481" s="32"/>
      <c r="H481" s="36"/>
      <c r="I481" s="36"/>
      <c r="J481" s="36"/>
      <c r="K481" s="36"/>
      <c r="L481" s="37"/>
      <c r="M481" s="37"/>
      <c r="O481" s="36"/>
    </row>
    <row r="482" spans="2:15">
      <c r="B482" s="59"/>
      <c r="C482" s="12"/>
      <c r="D482" s="49"/>
      <c r="E482" s="57"/>
      <c r="F482" s="32"/>
      <c r="H482" s="36"/>
      <c r="I482" s="36"/>
      <c r="J482" s="36"/>
      <c r="K482" s="36"/>
      <c r="L482" s="37"/>
      <c r="M482" s="37"/>
      <c r="O482" s="36"/>
    </row>
    <row r="483" spans="2:15">
      <c r="B483" s="59"/>
      <c r="C483" s="12"/>
      <c r="D483" s="49"/>
      <c r="E483" s="57"/>
      <c r="F483" s="32"/>
      <c r="H483" s="36"/>
      <c r="I483" s="36"/>
      <c r="J483" s="36"/>
      <c r="K483" s="36"/>
      <c r="L483" s="37"/>
      <c r="M483" s="37"/>
      <c r="O483" s="36"/>
    </row>
    <row r="484" spans="2:15">
      <c r="B484" s="59"/>
      <c r="C484" s="12"/>
      <c r="D484" s="49"/>
      <c r="E484" s="57"/>
      <c r="F484" s="32"/>
      <c r="H484" s="36"/>
      <c r="I484" s="36"/>
      <c r="J484" s="36"/>
      <c r="K484" s="36"/>
      <c r="L484" s="37"/>
      <c r="M484" s="37"/>
      <c r="O484" s="36"/>
    </row>
    <row r="485" spans="2:15">
      <c r="B485" s="59"/>
      <c r="C485" s="12"/>
      <c r="D485" s="49"/>
      <c r="E485" s="57"/>
      <c r="F485" s="32"/>
      <c r="H485" s="36"/>
      <c r="I485" s="36"/>
      <c r="J485" s="36"/>
      <c r="K485" s="36"/>
      <c r="L485" s="37"/>
      <c r="M485" s="37"/>
      <c r="O485" s="36"/>
    </row>
    <row r="486" spans="2:15">
      <c r="B486" s="59"/>
      <c r="C486" s="12"/>
      <c r="D486" s="49"/>
      <c r="E486" s="57"/>
      <c r="F486" s="32"/>
      <c r="H486" s="36"/>
      <c r="I486" s="36"/>
      <c r="J486" s="36"/>
      <c r="K486" s="36"/>
      <c r="L486" s="37"/>
      <c r="M486" s="37"/>
      <c r="O486" s="36"/>
    </row>
    <row r="487" spans="2:15">
      <c r="B487" s="59"/>
      <c r="C487" s="12"/>
      <c r="D487" s="49"/>
      <c r="E487" s="57"/>
      <c r="F487" s="32"/>
      <c r="H487" s="36"/>
      <c r="I487" s="36"/>
      <c r="J487" s="36"/>
      <c r="K487" s="36"/>
      <c r="L487" s="37"/>
      <c r="M487" s="37"/>
      <c r="O487" s="36"/>
    </row>
    <row r="488" spans="2:15">
      <c r="B488" s="59"/>
      <c r="C488" s="12"/>
      <c r="D488" s="49"/>
      <c r="E488" s="57"/>
      <c r="F488" s="32"/>
      <c r="H488" s="36"/>
      <c r="I488" s="36"/>
      <c r="J488" s="36"/>
      <c r="K488" s="36"/>
      <c r="L488" s="37"/>
      <c r="M488" s="37"/>
      <c r="O488" s="36"/>
    </row>
    <row r="489" spans="2:15">
      <c r="B489" s="59"/>
      <c r="C489" s="12"/>
      <c r="D489" s="49"/>
      <c r="E489" s="57"/>
      <c r="F489" s="32"/>
      <c r="H489" s="36"/>
      <c r="I489" s="36"/>
      <c r="J489" s="36"/>
      <c r="K489" s="36"/>
      <c r="L489" s="37"/>
      <c r="M489" s="37"/>
      <c r="O489" s="36"/>
    </row>
    <row r="490" spans="2:15">
      <c r="B490" s="59"/>
      <c r="C490" s="12"/>
      <c r="D490" s="49"/>
      <c r="E490" s="57"/>
      <c r="F490" s="32"/>
      <c r="H490" s="36"/>
      <c r="I490" s="36"/>
      <c r="J490" s="36"/>
      <c r="K490" s="36"/>
      <c r="L490" s="37"/>
      <c r="M490" s="37"/>
      <c r="O490" s="36"/>
    </row>
    <row r="491" spans="2:15">
      <c r="B491" s="59"/>
      <c r="C491" s="12"/>
      <c r="D491" s="49"/>
      <c r="E491" s="57"/>
      <c r="F491" s="32"/>
      <c r="H491" s="36"/>
      <c r="I491" s="36"/>
      <c r="J491" s="36"/>
      <c r="K491" s="36"/>
      <c r="L491" s="37"/>
      <c r="M491" s="37"/>
      <c r="O491" s="36"/>
    </row>
    <row r="492" spans="2:15">
      <c r="B492" s="59"/>
      <c r="C492" s="12"/>
      <c r="D492" s="49"/>
      <c r="E492" s="57"/>
      <c r="F492" s="32"/>
      <c r="H492" s="36"/>
      <c r="I492" s="36"/>
      <c r="J492" s="36"/>
      <c r="K492" s="36"/>
      <c r="L492" s="37"/>
      <c r="M492" s="37"/>
      <c r="O492" s="36"/>
    </row>
    <row r="493" spans="2:15">
      <c r="B493" s="59"/>
      <c r="C493" s="12"/>
      <c r="D493" s="49"/>
      <c r="E493" s="57"/>
      <c r="F493" s="32"/>
      <c r="H493" s="36"/>
      <c r="I493" s="36"/>
      <c r="J493" s="36"/>
      <c r="K493" s="36"/>
      <c r="L493" s="37"/>
      <c r="M493" s="37"/>
      <c r="O493" s="36"/>
    </row>
    <row r="494" spans="2:15">
      <c r="B494" s="59"/>
      <c r="C494" s="12"/>
      <c r="D494" s="49"/>
      <c r="E494" s="57"/>
      <c r="F494" s="32"/>
      <c r="H494" s="36"/>
      <c r="I494" s="36"/>
      <c r="J494" s="36"/>
      <c r="K494" s="36"/>
      <c r="L494" s="37"/>
      <c r="M494" s="37"/>
      <c r="O494" s="36"/>
    </row>
    <row r="495" spans="2:15">
      <c r="B495" s="59"/>
      <c r="C495" s="12"/>
      <c r="D495" s="49"/>
      <c r="E495" s="57"/>
      <c r="F495" s="32"/>
      <c r="H495" s="36"/>
      <c r="I495" s="36"/>
      <c r="J495" s="36"/>
      <c r="K495" s="36"/>
      <c r="L495" s="37"/>
      <c r="M495" s="37"/>
      <c r="O495" s="36"/>
    </row>
    <row r="496" spans="2:15">
      <c r="B496" s="59"/>
      <c r="C496" s="12"/>
      <c r="D496" s="49"/>
      <c r="E496" s="57"/>
      <c r="F496" s="32"/>
      <c r="H496" s="36"/>
      <c r="I496" s="36"/>
      <c r="J496" s="36"/>
      <c r="K496" s="36"/>
      <c r="L496" s="37"/>
      <c r="M496" s="37"/>
      <c r="O496" s="36"/>
    </row>
    <row r="497" spans="2:15">
      <c r="B497" s="59"/>
      <c r="C497" s="12"/>
      <c r="D497" s="49"/>
      <c r="E497" s="57"/>
      <c r="F497" s="32"/>
      <c r="H497" s="36"/>
      <c r="I497" s="36"/>
      <c r="J497" s="36"/>
      <c r="K497" s="36"/>
      <c r="L497" s="37"/>
      <c r="M497" s="37"/>
      <c r="O497" s="36"/>
    </row>
    <row r="498" spans="2:15">
      <c r="B498" s="59"/>
      <c r="C498" s="12"/>
      <c r="D498" s="49"/>
      <c r="E498" s="57"/>
      <c r="F498" s="32"/>
      <c r="H498" s="36"/>
      <c r="I498" s="36"/>
      <c r="J498" s="36"/>
      <c r="K498" s="36"/>
      <c r="L498" s="37"/>
      <c r="M498" s="37"/>
      <c r="O498" s="36"/>
    </row>
    <row r="499" spans="2:15">
      <c r="B499" s="59"/>
      <c r="C499" s="12"/>
      <c r="D499" s="49"/>
      <c r="E499" s="57"/>
      <c r="F499" s="32"/>
      <c r="H499" s="36"/>
      <c r="I499" s="36"/>
      <c r="J499" s="36"/>
      <c r="K499" s="36"/>
      <c r="L499" s="37"/>
      <c r="M499" s="37"/>
      <c r="O499" s="36"/>
    </row>
    <row r="500" spans="2:15">
      <c r="B500" s="59"/>
      <c r="C500" s="12"/>
      <c r="D500" s="49"/>
      <c r="E500" s="57"/>
      <c r="F500" s="32"/>
      <c r="H500" s="36"/>
      <c r="I500" s="36"/>
      <c r="J500" s="36"/>
      <c r="K500" s="36"/>
      <c r="L500" s="37"/>
      <c r="M500" s="37"/>
      <c r="O500" s="36"/>
    </row>
    <row r="501" spans="2:15">
      <c r="B501" s="59"/>
      <c r="C501" s="12"/>
      <c r="D501" s="49"/>
      <c r="E501" s="57"/>
      <c r="F501" s="32"/>
      <c r="H501" s="36"/>
      <c r="I501" s="36"/>
      <c r="J501" s="36"/>
      <c r="K501" s="36"/>
      <c r="L501" s="37"/>
      <c r="M501" s="37"/>
      <c r="O501" s="36"/>
    </row>
    <row r="502" spans="2:15">
      <c r="B502" s="59"/>
      <c r="C502" s="12"/>
      <c r="D502" s="49"/>
      <c r="E502" s="57"/>
      <c r="F502" s="32"/>
      <c r="H502" s="36"/>
      <c r="I502" s="36"/>
      <c r="J502" s="36"/>
      <c r="K502" s="36"/>
      <c r="L502" s="37"/>
      <c r="M502" s="37"/>
      <c r="O502" s="36"/>
    </row>
    <row r="503" spans="2:15">
      <c r="B503" s="59"/>
      <c r="C503" s="12"/>
      <c r="D503" s="49"/>
      <c r="E503" s="57"/>
      <c r="F503" s="32"/>
      <c r="H503" s="36"/>
      <c r="I503" s="36"/>
      <c r="J503" s="36"/>
      <c r="K503" s="36"/>
      <c r="L503" s="37"/>
      <c r="M503" s="37"/>
      <c r="O503" s="36"/>
    </row>
    <row r="504" spans="2:15">
      <c r="B504" s="59"/>
      <c r="C504" s="12"/>
      <c r="D504" s="49"/>
      <c r="E504" s="57"/>
      <c r="F504" s="32"/>
      <c r="H504" s="36"/>
      <c r="I504" s="36"/>
      <c r="J504" s="36"/>
      <c r="K504" s="36"/>
      <c r="L504" s="37"/>
      <c r="M504" s="37"/>
      <c r="O504" s="36"/>
    </row>
    <row r="505" spans="2:15">
      <c r="B505" s="59"/>
      <c r="C505" s="12"/>
      <c r="D505" s="49"/>
      <c r="E505" s="57"/>
      <c r="F505" s="32"/>
      <c r="H505" s="36"/>
      <c r="I505" s="36"/>
      <c r="J505" s="36"/>
      <c r="K505" s="36"/>
      <c r="L505" s="37"/>
      <c r="M505" s="37"/>
      <c r="O505" s="36"/>
    </row>
    <row r="506" spans="2:15">
      <c r="B506" s="59"/>
      <c r="C506" s="12"/>
      <c r="D506" s="49"/>
      <c r="E506" s="57"/>
      <c r="F506" s="32"/>
      <c r="H506" s="36"/>
      <c r="I506" s="36"/>
      <c r="J506" s="36"/>
      <c r="K506" s="36"/>
      <c r="L506" s="37"/>
      <c r="M506" s="37"/>
      <c r="O506" s="36"/>
    </row>
    <row r="507" spans="2:15">
      <c r="B507" s="59"/>
      <c r="C507" s="12"/>
      <c r="D507" s="49"/>
      <c r="E507" s="57"/>
      <c r="F507" s="32"/>
      <c r="H507" s="36"/>
      <c r="I507" s="36"/>
      <c r="J507" s="36"/>
      <c r="K507" s="36"/>
      <c r="L507" s="37"/>
      <c r="M507" s="37"/>
      <c r="O507" s="36"/>
    </row>
    <row r="508" spans="2:15">
      <c r="B508" s="59"/>
      <c r="C508" s="12"/>
      <c r="D508" s="49"/>
      <c r="E508" s="57"/>
      <c r="F508" s="32"/>
      <c r="H508" s="36"/>
      <c r="I508" s="36"/>
      <c r="J508" s="36"/>
      <c r="K508" s="36"/>
      <c r="L508" s="37"/>
      <c r="M508" s="37"/>
      <c r="O508" s="36"/>
    </row>
    <row r="509" spans="2:15">
      <c r="B509" s="59"/>
      <c r="C509" s="12"/>
      <c r="D509" s="49"/>
      <c r="E509" s="57"/>
      <c r="F509" s="32"/>
      <c r="H509" s="36"/>
      <c r="I509" s="36"/>
      <c r="J509" s="36"/>
      <c r="K509" s="36"/>
      <c r="L509" s="37"/>
      <c r="M509" s="37"/>
      <c r="O509" s="36"/>
    </row>
    <row r="510" spans="2:15">
      <c r="B510" s="59"/>
      <c r="C510" s="12"/>
      <c r="D510" s="49"/>
      <c r="E510" s="57"/>
      <c r="F510" s="32"/>
      <c r="H510" s="36"/>
      <c r="I510" s="36"/>
      <c r="J510" s="36"/>
      <c r="K510" s="36"/>
      <c r="L510" s="37"/>
      <c r="M510" s="37"/>
      <c r="O510" s="36"/>
    </row>
    <row r="511" spans="2:15">
      <c r="B511" s="59"/>
      <c r="C511" s="12"/>
      <c r="D511" s="49"/>
      <c r="E511" s="57"/>
      <c r="F511" s="32"/>
      <c r="H511" s="36"/>
      <c r="I511" s="36"/>
      <c r="J511" s="36"/>
      <c r="K511" s="36"/>
      <c r="L511" s="37"/>
      <c r="M511" s="37"/>
      <c r="O511" s="36"/>
    </row>
    <row r="512" spans="2:15">
      <c r="B512" s="59"/>
      <c r="C512" s="12"/>
      <c r="D512" s="49"/>
      <c r="E512" s="57"/>
      <c r="F512" s="32"/>
      <c r="H512" s="36"/>
      <c r="I512" s="36"/>
      <c r="J512" s="36"/>
      <c r="K512" s="36"/>
      <c r="L512" s="37"/>
      <c r="M512" s="37"/>
      <c r="O512" s="36"/>
    </row>
    <row r="513" spans="2:15">
      <c r="B513" s="59"/>
      <c r="C513" s="12"/>
      <c r="D513" s="49"/>
      <c r="E513" s="57"/>
      <c r="F513" s="32"/>
      <c r="H513" s="36"/>
      <c r="I513" s="36"/>
      <c r="J513" s="36"/>
      <c r="K513" s="36"/>
      <c r="L513" s="37"/>
      <c r="M513" s="37"/>
      <c r="O513" s="36"/>
    </row>
    <row r="514" spans="2:15">
      <c r="B514" s="59"/>
      <c r="C514" s="12"/>
      <c r="D514" s="49"/>
      <c r="E514" s="57"/>
      <c r="F514" s="32"/>
      <c r="H514" s="36"/>
      <c r="I514" s="36"/>
      <c r="J514" s="36"/>
      <c r="K514" s="36"/>
      <c r="L514" s="37"/>
      <c r="M514" s="37"/>
      <c r="O514" s="36"/>
    </row>
    <row r="515" spans="2:15">
      <c r="B515" s="59"/>
      <c r="C515" s="12"/>
      <c r="D515" s="49"/>
      <c r="E515" s="57"/>
      <c r="F515" s="32"/>
      <c r="H515" s="36"/>
      <c r="I515" s="36"/>
      <c r="J515" s="36"/>
      <c r="K515" s="36"/>
      <c r="L515" s="37"/>
      <c r="M515" s="37"/>
      <c r="O515" s="36"/>
    </row>
    <row r="516" spans="2:15">
      <c r="B516" s="59"/>
      <c r="C516" s="12"/>
      <c r="D516" s="49"/>
      <c r="E516" s="57"/>
      <c r="F516" s="32"/>
      <c r="H516" s="36"/>
      <c r="I516" s="36"/>
      <c r="J516" s="36"/>
      <c r="K516" s="36"/>
      <c r="L516" s="37"/>
      <c r="M516" s="37"/>
      <c r="O516" s="36"/>
    </row>
    <row r="517" spans="2:15">
      <c r="B517" s="59"/>
      <c r="C517" s="12"/>
      <c r="D517" s="49"/>
      <c r="E517" s="57"/>
      <c r="F517" s="32"/>
      <c r="H517" s="36"/>
      <c r="I517" s="36"/>
      <c r="J517" s="36"/>
      <c r="K517" s="36"/>
      <c r="L517" s="37"/>
      <c r="M517" s="37"/>
      <c r="O517" s="36"/>
    </row>
    <row r="518" spans="2:15">
      <c r="B518" s="59"/>
      <c r="C518" s="12"/>
      <c r="D518" s="49"/>
      <c r="E518" s="57"/>
      <c r="F518" s="32"/>
      <c r="H518" s="36"/>
      <c r="I518" s="36"/>
      <c r="J518" s="36"/>
      <c r="K518" s="36"/>
      <c r="L518" s="37"/>
      <c r="M518" s="37"/>
      <c r="O518" s="36"/>
    </row>
    <row r="519" spans="2:15">
      <c r="B519" s="59"/>
      <c r="C519" s="12"/>
      <c r="D519" s="49"/>
      <c r="E519" s="57"/>
      <c r="F519" s="32"/>
      <c r="H519" s="36"/>
      <c r="I519" s="36"/>
      <c r="J519" s="36"/>
      <c r="K519" s="36"/>
      <c r="L519" s="37"/>
      <c r="M519" s="37"/>
      <c r="O519" s="36"/>
    </row>
    <row r="520" spans="2:15">
      <c r="B520" s="59"/>
      <c r="C520" s="12"/>
      <c r="D520" s="49"/>
      <c r="E520" s="57"/>
      <c r="F520" s="32"/>
      <c r="H520" s="36"/>
      <c r="I520" s="36"/>
      <c r="J520" s="36"/>
      <c r="K520" s="36"/>
      <c r="L520" s="37"/>
      <c r="M520" s="37"/>
      <c r="O520" s="36"/>
    </row>
    <row r="521" spans="2:15">
      <c r="B521" s="59"/>
      <c r="C521" s="12"/>
      <c r="D521" s="49"/>
      <c r="E521" s="57"/>
      <c r="F521" s="32"/>
      <c r="H521" s="36"/>
      <c r="I521" s="36"/>
      <c r="J521" s="36"/>
      <c r="K521" s="36"/>
      <c r="L521" s="37"/>
      <c r="M521" s="37"/>
      <c r="O521" s="36"/>
    </row>
    <row r="522" spans="2:15">
      <c r="B522" s="59"/>
      <c r="C522" s="12"/>
      <c r="D522" s="49"/>
      <c r="E522" s="57"/>
      <c r="F522" s="32"/>
      <c r="H522" s="36"/>
      <c r="I522" s="36"/>
      <c r="J522" s="36"/>
      <c r="K522" s="36"/>
      <c r="L522" s="37"/>
      <c r="M522" s="37"/>
      <c r="O522" s="36"/>
    </row>
    <row r="523" spans="2:15">
      <c r="B523" s="59"/>
      <c r="C523" s="12"/>
      <c r="D523" s="49"/>
      <c r="E523" s="57"/>
      <c r="F523" s="32"/>
      <c r="H523" s="36"/>
      <c r="I523" s="36"/>
      <c r="J523" s="36"/>
      <c r="K523" s="36"/>
      <c r="L523" s="37"/>
      <c r="M523" s="37"/>
      <c r="O523" s="36"/>
    </row>
    <row r="524" spans="2:15">
      <c r="B524" s="59"/>
      <c r="C524" s="12"/>
      <c r="D524" s="49"/>
      <c r="E524" s="57"/>
      <c r="F524" s="32"/>
      <c r="H524" s="36"/>
      <c r="I524" s="36"/>
      <c r="J524" s="36"/>
      <c r="K524" s="36"/>
      <c r="L524" s="37"/>
      <c r="M524" s="37"/>
      <c r="O524" s="36"/>
    </row>
    <row r="525" spans="2:15">
      <c r="B525" s="59"/>
      <c r="C525" s="12"/>
      <c r="D525" s="49"/>
      <c r="E525" s="57"/>
      <c r="F525" s="32"/>
      <c r="H525" s="36"/>
      <c r="I525" s="36"/>
      <c r="J525" s="36"/>
      <c r="K525" s="36"/>
      <c r="L525" s="37"/>
      <c r="M525" s="37"/>
      <c r="O525" s="36"/>
    </row>
    <row r="526" spans="2:15">
      <c r="B526" s="59"/>
      <c r="C526" s="12"/>
      <c r="D526" s="49"/>
      <c r="E526" s="57"/>
      <c r="F526" s="32"/>
      <c r="H526" s="36"/>
      <c r="I526" s="36"/>
      <c r="J526" s="36"/>
      <c r="K526" s="36"/>
      <c r="L526" s="37"/>
      <c r="M526" s="37"/>
      <c r="O526" s="36"/>
    </row>
    <row r="527" spans="2:15">
      <c r="B527" s="59"/>
      <c r="C527" s="12"/>
      <c r="D527" s="49"/>
      <c r="E527" s="57"/>
      <c r="F527" s="32"/>
      <c r="H527" s="36"/>
      <c r="I527" s="36"/>
      <c r="J527" s="36"/>
      <c r="K527" s="36"/>
      <c r="L527" s="37"/>
      <c r="M527" s="37"/>
      <c r="O527" s="36"/>
    </row>
    <row r="528" spans="2:15">
      <c r="B528" s="59"/>
      <c r="C528" s="12"/>
      <c r="D528" s="49"/>
      <c r="E528" s="57"/>
      <c r="F528" s="32"/>
      <c r="H528" s="36"/>
      <c r="I528" s="36"/>
      <c r="J528" s="36"/>
      <c r="K528" s="36"/>
      <c r="L528" s="37"/>
      <c r="M528" s="37"/>
      <c r="O528" s="36"/>
    </row>
    <row r="529" spans="2:15">
      <c r="B529" s="59"/>
      <c r="C529" s="12"/>
      <c r="D529" s="49"/>
      <c r="E529" s="57"/>
      <c r="F529" s="32"/>
      <c r="H529" s="36"/>
      <c r="I529" s="36"/>
      <c r="J529" s="36"/>
      <c r="K529" s="36"/>
      <c r="L529" s="37"/>
      <c r="M529" s="37"/>
      <c r="O529" s="36"/>
    </row>
    <row r="530" spans="2:15">
      <c r="B530" s="59"/>
      <c r="C530" s="12"/>
      <c r="D530" s="49"/>
      <c r="E530" s="57"/>
      <c r="F530" s="32"/>
      <c r="H530" s="36"/>
      <c r="I530" s="36"/>
      <c r="J530" s="36"/>
      <c r="K530" s="36"/>
      <c r="L530" s="37"/>
      <c r="M530" s="37"/>
      <c r="O530" s="36"/>
    </row>
    <row r="531" spans="2:15">
      <c r="B531" s="59"/>
      <c r="C531" s="12"/>
      <c r="D531" s="49"/>
      <c r="E531" s="57"/>
      <c r="F531" s="32"/>
      <c r="H531" s="36"/>
      <c r="I531" s="36"/>
      <c r="J531" s="36"/>
      <c r="K531" s="36"/>
      <c r="L531" s="37"/>
      <c r="M531" s="37"/>
      <c r="O531" s="36"/>
    </row>
    <row r="532" spans="2:15">
      <c r="B532" s="59"/>
      <c r="C532" s="12"/>
      <c r="D532" s="49"/>
      <c r="E532" s="57"/>
      <c r="F532" s="32"/>
      <c r="H532" s="36"/>
      <c r="I532" s="36"/>
      <c r="J532" s="36"/>
      <c r="K532" s="36"/>
      <c r="L532" s="37"/>
      <c r="M532" s="37"/>
      <c r="O532" s="36"/>
    </row>
    <row r="533" spans="2:15">
      <c r="B533" s="59"/>
      <c r="C533" s="12"/>
      <c r="D533" s="49"/>
      <c r="E533" s="57"/>
      <c r="F533" s="32"/>
      <c r="H533" s="36"/>
      <c r="I533" s="36"/>
      <c r="J533" s="36"/>
      <c r="K533" s="36"/>
      <c r="L533" s="37"/>
      <c r="M533" s="37"/>
      <c r="O533" s="36"/>
    </row>
    <row r="534" spans="2:15">
      <c r="B534" s="59"/>
      <c r="C534" s="12"/>
      <c r="D534" s="49"/>
      <c r="E534" s="57"/>
      <c r="F534" s="32"/>
      <c r="H534" s="36"/>
      <c r="I534" s="36"/>
      <c r="J534" s="36"/>
      <c r="K534" s="36"/>
      <c r="L534" s="37"/>
      <c r="M534" s="37"/>
      <c r="O534" s="36"/>
    </row>
    <row r="535" spans="2:15">
      <c r="B535" s="59"/>
      <c r="C535" s="12"/>
      <c r="D535" s="49"/>
      <c r="E535" s="57"/>
      <c r="F535" s="32"/>
      <c r="H535" s="36"/>
      <c r="I535" s="36"/>
      <c r="J535" s="36"/>
      <c r="K535" s="36"/>
      <c r="L535" s="37"/>
      <c r="M535" s="37"/>
      <c r="O535" s="36"/>
    </row>
    <row r="536" spans="2:15">
      <c r="B536" s="59"/>
      <c r="C536" s="12"/>
      <c r="D536" s="49"/>
      <c r="E536" s="57"/>
      <c r="F536" s="32"/>
      <c r="H536" s="36"/>
      <c r="I536" s="36"/>
      <c r="J536" s="36"/>
      <c r="K536" s="36"/>
      <c r="L536" s="37"/>
      <c r="M536" s="37"/>
      <c r="O536" s="36"/>
    </row>
    <row r="537" spans="2:15">
      <c r="B537" s="59"/>
      <c r="C537" s="12"/>
      <c r="D537" s="49"/>
      <c r="E537" s="57"/>
      <c r="F537" s="32"/>
      <c r="H537" s="36"/>
      <c r="I537" s="36"/>
      <c r="J537" s="36"/>
      <c r="K537" s="36"/>
      <c r="L537" s="37"/>
      <c r="M537" s="37"/>
      <c r="O537" s="36"/>
    </row>
    <row r="538" spans="2:15">
      <c r="B538" s="59"/>
      <c r="C538" s="12"/>
      <c r="D538" s="49"/>
      <c r="E538" s="57"/>
      <c r="F538" s="32"/>
      <c r="H538" s="36"/>
      <c r="I538" s="36"/>
      <c r="J538" s="36"/>
      <c r="K538" s="36"/>
      <c r="L538" s="37"/>
      <c r="M538" s="37"/>
      <c r="O538" s="36"/>
    </row>
    <row r="539" spans="2:15">
      <c r="B539" s="59"/>
      <c r="C539" s="12"/>
      <c r="D539" s="49"/>
      <c r="E539" s="57"/>
      <c r="F539" s="32"/>
      <c r="H539" s="36"/>
      <c r="I539" s="36"/>
      <c r="J539" s="36"/>
      <c r="K539" s="36"/>
      <c r="L539" s="37"/>
      <c r="M539" s="37"/>
      <c r="O539" s="36"/>
    </row>
    <row r="540" spans="2:15">
      <c r="B540" s="59"/>
      <c r="C540" s="12"/>
      <c r="D540" s="49"/>
      <c r="E540" s="57"/>
      <c r="F540" s="32"/>
      <c r="H540" s="36"/>
      <c r="I540" s="36"/>
      <c r="J540" s="36"/>
      <c r="K540" s="36"/>
      <c r="L540" s="37"/>
      <c r="M540" s="37"/>
      <c r="O540" s="36"/>
    </row>
    <row r="541" spans="2:15">
      <c r="B541" s="59"/>
      <c r="C541" s="12"/>
      <c r="D541" s="49"/>
      <c r="E541" s="57"/>
      <c r="F541" s="32"/>
      <c r="H541" s="36"/>
      <c r="I541" s="36"/>
      <c r="J541" s="36"/>
      <c r="K541" s="36"/>
      <c r="L541" s="37"/>
      <c r="M541" s="37"/>
      <c r="O541" s="36"/>
    </row>
    <row r="542" spans="2:15">
      <c r="B542" s="59"/>
      <c r="C542" s="12"/>
      <c r="D542" s="49"/>
      <c r="E542" s="57"/>
      <c r="F542" s="32"/>
      <c r="H542" s="36"/>
      <c r="I542" s="36"/>
      <c r="J542" s="36"/>
      <c r="K542" s="36"/>
      <c r="L542" s="37"/>
      <c r="M542" s="37"/>
      <c r="O542" s="36"/>
    </row>
    <row r="543" spans="2:15">
      <c r="B543" s="59"/>
      <c r="C543" s="12"/>
      <c r="D543" s="49"/>
      <c r="E543" s="57"/>
      <c r="F543" s="32"/>
      <c r="H543" s="36"/>
      <c r="I543" s="36"/>
      <c r="J543" s="36"/>
      <c r="K543" s="36"/>
      <c r="L543" s="37"/>
      <c r="M543" s="37"/>
      <c r="O543" s="36"/>
    </row>
    <row r="544" spans="2:15">
      <c r="B544" s="59"/>
      <c r="C544" s="12"/>
      <c r="D544" s="49"/>
      <c r="E544" s="57"/>
      <c r="F544" s="32"/>
      <c r="H544" s="36"/>
      <c r="I544" s="36"/>
      <c r="J544" s="36"/>
      <c r="K544" s="36"/>
      <c r="L544" s="37"/>
      <c r="M544" s="37"/>
      <c r="O544" s="36"/>
    </row>
    <row r="545" spans="2:15">
      <c r="B545" s="59"/>
      <c r="C545" s="12"/>
      <c r="D545" s="49"/>
      <c r="E545" s="57"/>
      <c r="F545" s="32"/>
      <c r="H545" s="36"/>
      <c r="I545" s="36"/>
      <c r="J545" s="36"/>
      <c r="K545" s="36"/>
      <c r="L545" s="37"/>
      <c r="M545" s="37"/>
      <c r="O545" s="36"/>
    </row>
    <row r="546" spans="2:15">
      <c r="B546" s="59"/>
      <c r="C546" s="12"/>
      <c r="D546" s="49"/>
      <c r="E546" s="57"/>
      <c r="F546" s="32"/>
      <c r="H546" s="36"/>
      <c r="I546" s="36"/>
      <c r="J546" s="36"/>
      <c r="K546" s="36"/>
      <c r="L546" s="37"/>
      <c r="M546" s="37"/>
      <c r="O546" s="36"/>
    </row>
    <row r="547" spans="2:15">
      <c r="B547" s="59"/>
      <c r="C547" s="12"/>
      <c r="D547" s="49"/>
      <c r="E547" s="57"/>
      <c r="F547" s="32"/>
      <c r="H547" s="36"/>
      <c r="I547" s="36"/>
      <c r="J547" s="36"/>
      <c r="K547" s="36"/>
      <c r="L547" s="37"/>
      <c r="M547" s="37"/>
      <c r="O547" s="36"/>
    </row>
    <row r="548" spans="2:15">
      <c r="B548" s="59"/>
      <c r="C548" s="12"/>
      <c r="D548" s="49"/>
      <c r="E548" s="57"/>
      <c r="F548" s="32"/>
      <c r="H548" s="36"/>
      <c r="I548" s="36"/>
      <c r="J548" s="36"/>
      <c r="K548" s="36"/>
      <c r="L548" s="37"/>
      <c r="M548" s="37"/>
      <c r="O548" s="36"/>
    </row>
    <row r="549" spans="2:15">
      <c r="B549" s="59"/>
      <c r="C549" s="12"/>
      <c r="D549" s="49"/>
      <c r="E549" s="57"/>
      <c r="F549" s="32"/>
      <c r="H549" s="36"/>
      <c r="I549" s="36"/>
      <c r="J549" s="36"/>
      <c r="K549" s="36"/>
      <c r="L549" s="37"/>
      <c r="M549" s="37"/>
      <c r="O549" s="36"/>
    </row>
    <row r="550" spans="2:15">
      <c r="B550" s="59"/>
      <c r="C550" s="12"/>
      <c r="D550" s="49"/>
      <c r="E550" s="57"/>
      <c r="F550" s="32"/>
      <c r="H550" s="36"/>
      <c r="I550" s="36"/>
      <c r="J550" s="36"/>
      <c r="K550" s="36"/>
      <c r="L550" s="37"/>
      <c r="M550" s="37"/>
      <c r="O550" s="36"/>
    </row>
    <row r="551" spans="2:15">
      <c r="B551" s="59"/>
      <c r="C551" s="12"/>
      <c r="D551" s="49"/>
      <c r="E551" s="57"/>
      <c r="F551" s="32"/>
      <c r="H551" s="36"/>
      <c r="I551" s="36"/>
      <c r="J551" s="36"/>
      <c r="K551" s="36"/>
      <c r="L551" s="37"/>
      <c r="M551" s="37"/>
      <c r="O551" s="36"/>
    </row>
    <row r="552" spans="2:15">
      <c r="B552" s="59"/>
      <c r="C552" s="12"/>
      <c r="D552" s="49"/>
      <c r="E552" s="57"/>
      <c r="F552" s="32"/>
      <c r="H552" s="36"/>
      <c r="I552" s="36"/>
      <c r="J552" s="36"/>
      <c r="K552" s="36"/>
      <c r="L552" s="37"/>
      <c r="M552" s="37"/>
      <c r="O552" s="36"/>
    </row>
    <row r="553" spans="2:15">
      <c r="B553" s="59"/>
      <c r="C553" s="12"/>
      <c r="D553" s="49"/>
      <c r="E553" s="57"/>
      <c r="F553" s="32"/>
      <c r="H553" s="36"/>
      <c r="I553" s="36"/>
      <c r="J553" s="36"/>
      <c r="K553" s="36"/>
      <c r="L553" s="37"/>
      <c r="M553" s="37"/>
      <c r="O553" s="36"/>
    </row>
    <row r="554" spans="2:15">
      <c r="B554" s="59"/>
      <c r="C554" s="12"/>
      <c r="D554" s="49"/>
      <c r="E554" s="57"/>
      <c r="F554" s="32"/>
      <c r="H554" s="36"/>
      <c r="I554" s="36"/>
      <c r="J554" s="36"/>
      <c r="K554" s="36"/>
      <c r="L554" s="37"/>
      <c r="M554" s="37"/>
      <c r="O554" s="36"/>
    </row>
    <row r="555" spans="2:15">
      <c r="B555" s="59"/>
      <c r="C555" s="12"/>
      <c r="D555" s="49"/>
      <c r="E555" s="57"/>
      <c r="F555" s="32"/>
      <c r="H555" s="36"/>
      <c r="I555" s="36"/>
      <c r="J555" s="36"/>
      <c r="K555" s="36"/>
      <c r="L555" s="37"/>
      <c r="M555" s="37"/>
      <c r="O555" s="36"/>
    </row>
    <row r="556" spans="2:15">
      <c r="B556" s="59"/>
      <c r="C556" s="12"/>
      <c r="D556" s="49"/>
      <c r="E556" s="57"/>
      <c r="F556" s="32"/>
      <c r="H556" s="36"/>
      <c r="I556" s="36"/>
      <c r="J556" s="36"/>
      <c r="K556" s="36"/>
      <c r="L556" s="37"/>
      <c r="M556" s="37"/>
      <c r="O556" s="36"/>
    </row>
    <row r="557" spans="2:15">
      <c r="B557" s="59"/>
      <c r="C557" s="12"/>
      <c r="D557" s="49"/>
      <c r="E557" s="57"/>
      <c r="F557" s="32"/>
      <c r="H557" s="36"/>
      <c r="I557" s="36"/>
      <c r="J557" s="36"/>
      <c r="K557" s="36"/>
      <c r="L557" s="37"/>
      <c r="M557" s="37"/>
      <c r="O557" s="36"/>
    </row>
    <row r="558" spans="2:15">
      <c r="B558" s="59"/>
      <c r="C558" s="12"/>
      <c r="D558" s="49"/>
      <c r="E558" s="57"/>
      <c r="F558" s="32"/>
      <c r="H558" s="36"/>
      <c r="I558" s="36"/>
      <c r="J558" s="36"/>
      <c r="K558" s="36"/>
      <c r="L558" s="37"/>
      <c r="M558" s="37"/>
      <c r="O558" s="36"/>
    </row>
    <row r="559" spans="2:15">
      <c r="B559" s="59"/>
      <c r="C559" s="12"/>
      <c r="D559" s="49"/>
      <c r="E559" s="57"/>
      <c r="F559" s="32"/>
      <c r="H559" s="36"/>
      <c r="I559" s="36"/>
      <c r="J559" s="36"/>
      <c r="K559" s="36"/>
      <c r="L559" s="37"/>
      <c r="M559" s="37"/>
      <c r="O559" s="36"/>
    </row>
    <row r="560" spans="2:15">
      <c r="B560" s="59"/>
      <c r="C560" s="12"/>
      <c r="D560" s="49"/>
      <c r="E560" s="57"/>
      <c r="F560" s="32"/>
      <c r="H560" s="36"/>
      <c r="I560" s="36"/>
      <c r="J560" s="36"/>
      <c r="K560" s="36"/>
      <c r="L560" s="37"/>
      <c r="M560" s="37"/>
      <c r="O560" s="36"/>
    </row>
    <row r="561" spans="2:15">
      <c r="B561" s="59"/>
      <c r="C561" s="12"/>
      <c r="D561" s="49"/>
      <c r="E561" s="57"/>
      <c r="F561" s="32"/>
      <c r="H561" s="36"/>
      <c r="I561" s="36"/>
      <c r="J561" s="36"/>
      <c r="K561" s="36"/>
      <c r="L561" s="37"/>
      <c r="M561" s="37"/>
      <c r="O561" s="36"/>
    </row>
    <row r="562" spans="2:15">
      <c r="B562" s="59"/>
      <c r="C562" s="12"/>
      <c r="D562" s="49"/>
      <c r="E562" s="57"/>
      <c r="F562" s="32"/>
      <c r="H562" s="36"/>
      <c r="I562" s="36"/>
      <c r="J562" s="36"/>
      <c r="K562" s="36"/>
      <c r="L562" s="37"/>
      <c r="M562" s="37"/>
      <c r="O562" s="36"/>
    </row>
    <row r="563" spans="2:15">
      <c r="B563" s="59"/>
      <c r="C563" s="12"/>
      <c r="D563" s="49"/>
      <c r="E563" s="57"/>
      <c r="F563" s="32"/>
      <c r="H563" s="36"/>
      <c r="I563" s="36"/>
      <c r="J563" s="36"/>
      <c r="K563" s="36"/>
      <c r="L563" s="37"/>
      <c r="M563" s="37"/>
      <c r="O563" s="36"/>
    </row>
    <row r="564" spans="2:15">
      <c r="B564" s="59"/>
      <c r="C564" s="12"/>
      <c r="D564" s="49"/>
      <c r="E564" s="57"/>
      <c r="F564" s="32"/>
      <c r="H564" s="36"/>
      <c r="I564" s="36"/>
      <c r="J564" s="36"/>
      <c r="K564" s="36"/>
      <c r="L564" s="37"/>
      <c r="M564" s="37"/>
      <c r="O564" s="36"/>
    </row>
    <row r="565" spans="2:15">
      <c r="B565" s="59"/>
      <c r="C565" s="12"/>
      <c r="D565" s="49"/>
      <c r="E565" s="57"/>
      <c r="F565" s="32"/>
      <c r="H565" s="36"/>
      <c r="I565" s="36"/>
      <c r="J565" s="36"/>
      <c r="K565" s="36"/>
      <c r="L565" s="37"/>
      <c r="M565" s="37"/>
      <c r="O565" s="36"/>
    </row>
    <row r="566" spans="2:15">
      <c r="B566" s="59"/>
      <c r="C566" s="12"/>
      <c r="D566" s="49"/>
      <c r="E566" s="57"/>
      <c r="F566" s="32"/>
      <c r="H566" s="36"/>
      <c r="I566" s="36"/>
      <c r="J566" s="36"/>
      <c r="K566" s="36"/>
      <c r="L566" s="37"/>
      <c r="M566" s="37"/>
      <c r="O566" s="36"/>
    </row>
    <row r="567" spans="2:15">
      <c r="B567" s="59"/>
      <c r="C567" s="12"/>
      <c r="D567" s="49"/>
      <c r="E567" s="57"/>
      <c r="F567" s="32"/>
      <c r="H567" s="36"/>
      <c r="I567" s="36"/>
      <c r="J567" s="36"/>
      <c r="K567" s="36"/>
      <c r="L567" s="37"/>
      <c r="M567" s="37"/>
      <c r="O567" s="36"/>
    </row>
    <row r="568" spans="2:15">
      <c r="B568" s="59"/>
      <c r="C568" s="12"/>
      <c r="D568" s="49"/>
      <c r="E568" s="57"/>
      <c r="F568" s="32"/>
      <c r="H568" s="36"/>
      <c r="I568" s="36"/>
      <c r="J568" s="36"/>
      <c r="K568" s="36"/>
      <c r="L568" s="37"/>
      <c r="M568" s="37"/>
      <c r="O568" s="36"/>
    </row>
    <row r="569" spans="2:15">
      <c r="B569" s="59"/>
      <c r="C569" s="12"/>
      <c r="D569" s="49"/>
      <c r="E569" s="57"/>
      <c r="F569" s="32"/>
      <c r="H569" s="36"/>
      <c r="I569" s="36"/>
      <c r="J569" s="36"/>
      <c r="K569" s="36"/>
      <c r="L569" s="37"/>
      <c r="M569" s="37"/>
      <c r="O569" s="36"/>
    </row>
    <row r="570" spans="2:15">
      <c r="B570" s="59"/>
      <c r="C570" s="12"/>
      <c r="D570" s="49"/>
      <c r="E570" s="57"/>
      <c r="F570" s="32"/>
      <c r="H570" s="36"/>
      <c r="I570" s="36"/>
      <c r="J570" s="36"/>
      <c r="K570" s="36"/>
      <c r="L570" s="37"/>
      <c r="M570" s="37"/>
      <c r="O570" s="36"/>
    </row>
    <row r="571" spans="2:15">
      <c r="B571" s="59"/>
      <c r="C571" s="12"/>
      <c r="D571" s="49"/>
      <c r="E571" s="57"/>
      <c r="F571" s="32"/>
      <c r="H571" s="36"/>
      <c r="I571" s="36"/>
      <c r="J571" s="36"/>
      <c r="K571" s="36"/>
      <c r="L571" s="37"/>
      <c r="M571" s="37"/>
      <c r="O571" s="36"/>
    </row>
    <row r="572" spans="2:15">
      <c r="B572" s="59"/>
      <c r="C572" s="12"/>
      <c r="D572" s="49"/>
      <c r="E572" s="57"/>
      <c r="F572" s="32"/>
      <c r="H572" s="36"/>
      <c r="I572" s="36"/>
      <c r="J572" s="36"/>
      <c r="K572" s="36"/>
      <c r="L572" s="37"/>
      <c r="M572" s="37"/>
      <c r="O572" s="36"/>
    </row>
    <row r="573" spans="2:15">
      <c r="B573" s="59"/>
      <c r="C573" s="12"/>
      <c r="D573" s="49"/>
      <c r="E573" s="57"/>
      <c r="F573" s="32"/>
      <c r="H573" s="36"/>
      <c r="I573" s="36"/>
      <c r="J573" s="36"/>
      <c r="K573" s="36"/>
      <c r="L573" s="37"/>
      <c r="M573" s="37"/>
      <c r="O573" s="36"/>
    </row>
    <row r="574" spans="2:15">
      <c r="B574" s="59"/>
      <c r="C574" s="12"/>
      <c r="D574" s="49"/>
      <c r="E574" s="57"/>
      <c r="F574" s="32"/>
      <c r="H574" s="36"/>
      <c r="I574" s="36"/>
      <c r="J574" s="36"/>
      <c r="K574" s="36"/>
      <c r="L574" s="37"/>
      <c r="M574" s="37"/>
      <c r="O574" s="36"/>
    </row>
    <row r="575" spans="2:15">
      <c r="B575" s="59"/>
      <c r="C575" s="12"/>
      <c r="D575" s="49"/>
      <c r="E575" s="57"/>
      <c r="F575" s="32"/>
      <c r="H575" s="36"/>
      <c r="I575" s="36"/>
      <c r="J575" s="36"/>
      <c r="K575" s="36"/>
      <c r="L575" s="37"/>
      <c r="M575" s="37"/>
      <c r="O575" s="36"/>
    </row>
    <row r="576" spans="2:15">
      <c r="B576" s="59"/>
      <c r="C576" s="12"/>
      <c r="D576" s="49"/>
      <c r="E576" s="57"/>
      <c r="F576" s="32"/>
      <c r="H576" s="36"/>
      <c r="I576" s="36"/>
      <c r="J576" s="36"/>
      <c r="K576" s="36"/>
      <c r="L576" s="37"/>
      <c r="M576" s="37"/>
      <c r="O576" s="36"/>
    </row>
    <row r="577" spans="2:15">
      <c r="B577" s="59"/>
      <c r="C577" s="12"/>
      <c r="D577" s="49"/>
      <c r="E577" s="57"/>
      <c r="F577" s="32"/>
      <c r="H577" s="36"/>
      <c r="I577" s="36"/>
      <c r="J577" s="36"/>
      <c r="K577" s="36"/>
      <c r="L577" s="37"/>
      <c r="M577" s="37"/>
      <c r="O577" s="36"/>
    </row>
    <row r="578" spans="2:15">
      <c r="B578" s="59"/>
      <c r="C578" s="12"/>
      <c r="D578" s="49"/>
      <c r="E578" s="57"/>
      <c r="F578" s="32"/>
      <c r="H578" s="36"/>
      <c r="I578" s="36"/>
      <c r="J578" s="36"/>
      <c r="K578" s="36"/>
      <c r="L578" s="37"/>
      <c r="M578" s="37"/>
      <c r="O578" s="36"/>
    </row>
    <row r="579" spans="2:15">
      <c r="B579" s="59"/>
      <c r="C579" s="12"/>
      <c r="D579" s="49"/>
      <c r="E579" s="57"/>
      <c r="F579" s="32"/>
      <c r="H579" s="36"/>
      <c r="I579" s="36"/>
      <c r="J579" s="36"/>
      <c r="K579" s="36"/>
      <c r="L579" s="37"/>
      <c r="M579" s="37"/>
      <c r="O579" s="36"/>
    </row>
    <row r="580" spans="2:15">
      <c r="B580" s="59"/>
      <c r="C580" s="12"/>
      <c r="D580" s="49"/>
      <c r="E580" s="57"/>
      <c r="F580" s="32"/>
      <c r="H580" s="36"/>
      <c r="I580" s="36"/>
      <c r="J580" s="36"/>
      <c r="K580" s="36"/>
      <c r="L580" s="37"/>
      <c r="M580" s="37"/>
      <c r="O580" s="36"/>
    </row>
    <row r="581" spans="2:15">
      <c r="B581" s="59"/>
      <c r="C581" s="12"/>
      <c r="D581" s="49"/>
      <c r="E581" s="57"/>
      <c r="F581" s="32"/>
      <c r="H581" s="36"/>
      <c r="I581" s="36"/>
      <c r="J581" s="36"/>
      <c r="K581" s="36"/>
      <c r="L581" s="37"/>
      <c r="M581" s="37"/>
      <c r="O581" s="36"/>
    </row>
    <row r="582" spans="2:15">
      <c r="B582" s="59"/>
      <c r="C582" s="12"/>
      <c r="D582" s="49"/>
      <c r="E582" s="57"/>
      <c r="F582" s="32"/>
      <c r="H582" s="36"/>
      <c r="I582" s="36"/>
      <c r="J582" s="36"/>
      <c r="K582" s="36"/>
      <c r="L582" s="37"/>
      <c r="M582" s="37"/>
      <c r="O582" s="36"/>
    </row>
    <row r="583" spans="2:15">
      <c r="B583" s="59"/>
      <c r="C583" s="12"/>
      <c r="D583" s="49"/>
      <c r="E583" s="57"/>
      <c r="F583" s="32"/>
      <c r="H583" s="36"/>
      <c r="I583" s="36"/>
      <c r="J583" s="36"/>
      <c r="K583" s="36"/>
      <c r="L583" s="37"/>
      <c r="M583" s="37"/>
      <c r="O583" s="36"/>
    </row>
    <row r="584" spans="2:15">
      <c r="B584" s="59"/>
      <c r="C584" s="12"/>
      <c r="D584" s="49"/>
      <c r="E584" s="57"/>
      <c r="F584" s="32"/>
      <c r="H584" s="36"/>
      <c r="I584" s="36"/>
      <c r="J584" s="36"/>
      <c r="K584" s="36"/>
      <c r="L584" s="37"/>
      <c r="M584" s="37"/>
      <c r="O584" s="36"/>
    </row>
    <row r="585" spans="2:15">
      <c r="B585" s="59"/>
      <c r="C585" s="12"/>
      <c r="D585" s="49"/>
      <c r="E585" s="57"/>
      <c r="F585" s="32"/>
      <c r="H585" s="36"/>
      <c r="I585" s="36"/>
      <c r="J585" s="36"/>
      <c r="K585" s="36"/>
      <c r="L585" s="37"/>
      <c r="M585" s="37"/>
      <c r="O585" s="36"/>
    </row>
    <row r="586" spans="2:15">
      <c r="B586" s="59"/>
      <c r="C586" s="12"/>
      <c r="D586" s="49"/>
      <c r="E586" s="57"/>
      <c r="F586" s="32"/>
      <c r="H586" s="36"/>
      <c r="I586" s="36"/>
      <c r="J586" s="36"/>
      <c r="K586" s="36"/>
      <c r="L586" s="37"/>
      <c r="M586" s="37"/>
      <c r="O586" s="36"/>
    </row>
    <row r="587" spans="2:15">
      <c r="B587" s="59"/>
      <c r="C587" s="12"/>
      <c r="D587" s="49"/>
      <c r="E587" s="57"/>
      <c r="F587" s="32"/>
      <c r="H587" s="36"/>
      <c r="I587" s="36"/>
      <c r="J587" s="36"/>
      <c r="K587" s="36"/>
      <c r="L587" s="37"/>
      <c r="M587" s="37"/>
      <c r="O587" s="36"/>
    </row>
    <row r="588" spans="2:15">
      <c r="B588" s="59"/>
      <c r="C588" s="12"/>
      <c r="D588" s="49"/>
      <c r="E588" s="57"/>
      <c r="F588" s="32"/>
      <c r="H588" s="36"/>
      <c r="I588" s="36"/>
      <c r="J588" s="36"/>
      <c r="K588" s="36"/>
      <c r="L588" s="37"/>
      <c r="M588" s="37"/>
      <c r="O588" s="36"/>
    </row>
    <row r="589" spans="2:15">
      <c r="B589" s="59"/>
      <c r="C589" s="12"/>
      <c r="D589" s="49"/>
      <c r="E589" s="57"/>
      <c r="F589" s="32"/>
      <c r="H589" s="36"/>
      <c r="I589" s="36"/>
      <c r="J589" s="36"/>
      <c r="K589" s="36"/>
      <c r="L589" s="37"/>
      <c r="M589" s="37"/>
      <c r="O589" s="36"/>
    </row>
    <row r="590" spans="2:15">
      <c r="B590" s="59"/>
      <c r="C590" s="12"/>
      <c r="D590" s="49"/>
      <c r="E590" s="57"/>
      <c r="F590" s="32"/>
      <c r="H590" s="36"/>
      <c r="I590" s="36"/>
      <c r="J590" s="36"/>
      <c r="K590" s="36"/>
      <c r="L590" s="37"/>
      <c r="M590" s="37"/>
      <c r="O590" s="36"/>
    </row>
    <row r="591" spans="2:15">
      <c r="B591" s="59"/>
      <c r="C591" s="12"/>
      <c r="D591" s="49"/>
      <c r="E591" s="57"/>
      <c r="F591" s="32"/>
      <c r="H591" s="36"/>
      <c r="I591" s="36"/>
      <c r="J591" s="36"/>
      <c r="K591" s="36"/>
      <c r="L591" s="37"/>
      <c r="M591" s="37"/>
      <c r="O591" s="36"/>
    </row>
    <row r="592" spans="2:15">
      <c r="B592" s="59"/>
      <c r="C592" s="12"/>
      <c r="D592" s="49"/>
      <c r="E592" s="57"/>
      <c r="F592" s="32"/>
      <c r="H592" s="36"/>
      <c r="I592" s="36"/>
      <c r="J592" s="36"/>
      <c r="K592" s="36"/>
      <c r="L592" s="37"/>
      <c r="M592" s="37"/>
      <c r="O592" s="36"/>
    </row>
    <row r="593" spans="2:15">
      <c r="B593" s="59"/>
      <c r="C593" s="12"/>
      <c r="D593" s="49"/>
      <c r="E593" s="57"/>
      <c r="F593" s="32"/>
      <c r="H593" s="36"/>
      <c r="I593" s="36"/>
      <c r="J593" s="36"/>
      <c r="K593" s="36"/>
      <c r="L593" s="37"/>
      <c r="M593" s="37"/>
      <c r="O593" s="36"/>
    </row>
    <row r="594" spans="2:15">
      <c r="B594" s="59"/>
      <c r="C594" s="12"/>
      <c r="D594" s="49"/>
      <c r="E594" s="57"/>
      <c r="F594" s="32"/>
      <c r="H594" s="36"/>
      <c r="I594" s="36"/>
      <c r="J594" s="36"/>
      <c r="K594" s="36"/>
      <c r="L594" s="37"/>
      <c r="M594" s="37"/>
      <c r="O594" s="36"/>
    </row>
    <row r="595" spans="2:15">
      <c r="B595" s="59"/>
      <c r="C595" s="12"/>
      <c r="D595" s="49"/>
      <c r="E595" s="57"/>
      <c r="F595" s="32"/>
      <c r="H595" s="36"/>
      <c r="I595" s="36"/>
      <c r="J595" s="36"/>
      <c r="K595" s="36"/>
      <c r="L595" s="37"/>
      <c r="M595" s="37"/>
      <c r="O595" s="36"/>
    </row>
    <row r="596" spans="2:15">
      <c r="B596" s="59"/>
      <c r="C596" s="12"/>
      <c r="D596" s="49"/>
      <c r="E596" s="57"/>
      <c r="F596" s="32"/>
      <c r="H596" s="36"/>
      <c r="I596" s="36"/>
      <c r="J596" s="36"/>
      <c r="K596" s="36"/>
      <c r="L596" s="37"/>
      <c r="M596" s="37"/>
      <c r="O596" s="36"/>
    </row>
    <row r="597" spans="2:15">
      <c r="B597" s="59"/>
      <c r="C597" s="12"/>
      <c r="D597" s="49"/>
      <c r="E597" s="57"/>
      <c r="F597" s="32"/>
      <c r="H597" s="36"/>
      <c r="I597" s="36"/>
      <c r="J597" s="36"/>
      <c r="K597" s="36"/>
      <c r="L597" s="37"/>
      <c r="M597" s="37"/>
      <c r="O597" s="36"/>
    </row>
    <row r="598" spans="2:15">
      <c r="B598" s="59"/>
      <c r="C598" s="12"/>
      <c r="D598" s="49"/>
      <c r="E598" s="57"/>
      <c r="F598" s="32"/>
      <c r="H598" s="36"/>
      <c r="I598" s="36"/>
      <c r="J598" s="36"/>
      <c r="K598" s="36"/>
      <c r="L598" s="37"/>
      <c r="M598" s="37"/>
      <c r="O598" s="36"/>
    </row>
    <row r="599" spans="2:15">
      <c r="B599" s="59"/>
      <c r="C599" s="12"/>
      <c r="D599" s="49"/>
      <c r="E599" s="57"/>
      <c r="F599" s="32"/>
      <c r="H599" s="36"/>
      <c r="I599" s="36"/>
      <c r="J599" s="36"/>
      <c r="K599" s="36"/>
      <c r="L599" s="37"/>
      <c r="M599" s="37"/>
      <c r="O599" s="36"/>
    </row>
    <row r="600" spans="2:15">
      <c r="B600" s="59"/>
      <c r="C600" s="12"/>
      <c r="D600" s="49"/>
      <c r="E600" s="57"/>
      <c r="F600" s="32"/>
      <c r="H600" s="36"/>
      <c r="I600" s="36"/>
      <c r="J600" s="36"/>
      <c r="K600" s="36"/>
      <c r="L600" s="37"/>
      <c r="M600" s="37"/>
      <c r="O600" s="36"/>
    </row>
    <row r="601" spans="2:15">
      <c r="B601" s="59"/>
      <c r="C601" s="12"/>
      <c r="D601" s="49"/>
      <c r="E601" s="57"/>
      <c r="F601" s="32"/>
      <c r="H601" s="36"/>
      <c r="I601" s="36"/>
      <c r="J601" s="36"/>
      <c r="K601" s="36"/>
      <c r="L601" s="37"/>
      <c r="M601" s="37"/>
      <c r="O601" s="36"/>
    </row>
    <row r="602" spans="2:15">
      <c r="B602" s="59"/>
      <c r="C602" s="12"/>
      <c r="D602" s="49"/>
      <c r="E602" s="57"/>
      <c r="F602" s="32"/>
      <c r="H602" s="36"/>
      <c r="I602" s="36"/>
      <c r="J602" s="36"/>
      <c r="K602" s="36"/>
      <c r="L602" s="37"/>
      <c r="M602" s="37"/>
      <c r="O602" s="36"/>
    </row>
    <row r="603" spans="2:15">
      <c r="B603" s="59"/>
      <c r="C603" s="12"/>
      <c r="D603" s="49"/>
      <c r="E603" s="57"/>
      <c r="F603" s="32"/>
      <c r="H603" s="36"/>
      <c r="I603" s="36"/>
      <c r="J603" s="36"/>
      <c r="K603" s="36"/>
      <c r="L603" s="37"/>
      <c r="M603" s="37"/>
      <c r="O603" s="36"/>
    </row>
    <row r="604" spans="2:15">
      <c r="B604" s="59"/>
      <c r="C604" s="12"/>
      <c r="D604" s="49"/>
      <c r="E604" s="57"/>
      <c r="F604" s="32"/>
      <c r="H604" s="36"/>
      <c r="I604" s="36"/>
      <c r="J604" s="36"/>
      <c r="K604" s="36"/>
      <c r="L604" s="37"/>
      <c r="M604" s="37"/>
      <c r="O604" s="36"/>
    </row>
    <row r="605" spans="2:15">
      <c r="B605" s="59"/>
      <c r="C605" s="12"/>
      <c r="D605" s="49"/>
      <c r="E605" s="57"/>
      <c r="F605" s="32"/>
      <c r="H605" s="36"/>
      <c r="I605" s="36"/>
      <c r="J605" s="36"/>
      <c r="K605" s="36"/>
      <c r="L605" s="37"/>
      <c r="M605" s="37"/>
      <c r="O605" s="36"/>
    </row>
    <row r="606" spans="2:15">
      <c r="B606" s="59"/>
      <c r="C606" s="12"/>
      <c r="D606" s="49"/>
      <c r="E606" s="57"/>
      <c r="F606" s="32"/>
      <c r="H606" s="36"/>
      <c r="I606" s="36"/>
      <c r="J606" s="36"/>
      <c r="K606" s="36"/>
      <c r="L606" s="37"/>
      <c r="M606" s="37"/>
      <c r="O606" s="36"/>
    </row>
    <row r="607" spans="2:15">
      <c r="B607" s="59"/>
      <c r="C607" s="12"/>
      <c r="D607" s="49"/>
      <c r="E607" s="57"/>
      <c r="F607" s="32"/>
      <c r="H607" s="36"/>
      <c r="I607" s="36"/>
      <c r="J607" s="36"/>
      <c r="K607" s="36"/>
      <c r="L607" s="37"/>
      <c r="M607" s="37"/>
      <c r="O607" s="36"/>
    </row>
    <row r="608" spans="2:15">
      <c r="B608" s="59"/>
      <c r="C608" s="12"/>
      <c r="D608" s="49"/>
      <c r="E608" s="57"/>
      <c r="F608" s="32"/>
      <c r="H608" s="36"/>
      <c r="I608" s="36"/>
      <c r="J608" s="36"/>
      <c r="K608" s="36"/>
      <c r="L608" s="37"/>
      <c r="M608" s="37"/>
      <c r="O608" s="36"/>
    </row>
    <row r="609" spans="2:15">
      <c r="B609" s="59"/>
      <c r="C609" s="12"/>
      <c r="D609" s="49"/>
      <c r="E609" s="57"/>
      <c r="F609" s="32"/>
      <c r="H609" s="36"/>
      <c r="I609" s="36"/>
      <c r="J609" s="36"/>
      <c r="K609" s="36"/>
      <c r="L609" s="37"/>
      <c r="M609" s="37"/>
      <c r="O609" s="36"/>
    </row>
    <row r="610" spans="2:15">
      <c r="B610" s="59"/>
      <c r="C610" s="12"/>
      <c r="D610" s="49"/>
      <c r="E610" s="57"/>
      <c r="F610" s="32"/>
      <c r="H610" s="36"/>
      <c r="I610" s="36"/>
      <c r="J610" s="36"/>
      <c r="K610" s="36"/>
      <c r="L610" s="37"/>
      <c r="M610" s="37"/>
      <c r="O610" s="36"/>
    </row>
    <row r="611" spans="2:15">
      <c r="B611" s="59"/>
      <c r="C611" s="12"/>
      <c r="D611" s="49"/>
      <c r="E611" s="57"/>
      <c r="F611" s="32"/>
      <c r="H611" s="36"/>
      <c r="I611" s="36"/>
      <c r="J611" s="36"/>
      <c r="K611" s="36"/>
      <c r="L611" s="37"/>
      <c r="M611" s="37"/>
      <c r="O611" s="36"/>
    </row>
    <row r="612" spans="2:15">
      <c r="B612" s="59"/>
      <c r="C612" s="12"/>
      <c r="D612" s="49"/>
      <c r="E612" s="57"/>
      <c r="F612" s="32"/>
      <c r="H612" s="36"/>
      <c r="I612" s="36"/>
      <c r="J612" s="36"/>
      <c r="K612" s="36"/>
      <c r="L612" s="37"/>
      <c r="M612" s="37"/>
      <c r="O612" s="36"/>
    </row>
    <row r="613" spans="2:15">
      <c r="B613" s="59"/>
      <c r="C613" s="12"/>
      <c r="D613" s="49"/>
      <c r="E613" s="57"/>
      <c r="F613" s="32"/>
      <c r="H613" s="36"/>
      <c r="I613" s="36"/>
      <c r="J613" s="36"/>
      <c r="K613" s="36"/>
      <c r="L613" s="37"/>
      <c r="M613" s="37"/>
      <c r="O613" s="36"/>
    </row>
    <row r="614" spans="2:15">
      <c r="B614" s="59"/>
      <c r="C614" s="12"/>
      <c r="D614" s="49"/>
      <c r="E614" s="57"/>
      <c r="F614" s="32"/>
      <c r="H614" s="36"/>
      <c r="I614" s="36"/>
      <c r="J614" s="36"/>
      <c r="K614" s="36"/>
      <c r="L614" s="37"/>
      <c r="M614" s="37"/>
      <c r="O614" s="36"/>
    </row>
    <row r="615" spans="2:15">
      <c r="B615" s="59"/>
      <c r="C615" s="12"/>
      <c r="D615" s="49"/>
      <c r="E615" s="57"/>
      <c r="F615" s="32"/>
      <c r="H615" s="36"/>
      <c r="I615" s="36"/>
      <c r="J615" s="36"/>
      <c r="K615" s="36"/>
      <c r="L615" s="37"/>
      <c r="M615" s="37"/>
      <c r="O615" s="36"/>
    </row>
    <row r="616" spans="2:15">
      <c r="B616" s="59"/>
      <c r="C616" s="12"/>
      <c r="D616" s="49"/>
      <c r="E616" s="57"/>
      <c r="F616" s="32"/>
      <c r="H616" s="36"/>
      <c r="I616" s="36"/>
      <c r="J616" s="36"/>
      <c r="K616" s="36"/>
      <c r="L616" s="37"/>
      <c r="M616" s="37"/>
      <c r="O616" s="36"/>
    </row>
    <row r="617" spans="2:15">
      <c r="B617" s="59"/>
      <c r="C617" s="12"/>
      <c r="D617" s="49"/>
      <c r="E617" s="57"/>
      <c r="F617" s="32"/>
      <c r="H617" s="36"/>
      <c r="I617" s="36"/>
      <c r="J617" s="36"/>
      <c r="K617" s="36"/>
      <c r="L617" s="37"/>
      <c r="M617" s="37"/>
      <c r="O617" s="36"/>
    </row>
    <row r="618" spans="2:15">
      <c r="B618" s="59"/>
      <c r="C618" s="12"/>
      <c r="D618" s="49"/>
      <c r="E618" s="57"/>
      <c r="F618" s="32"/>
      <c r="H618" s="36"/>
      <c r="I618" s="36"/>
      <c r="J618" s="36"/>
      <c r="K618" s="36"/>
      <c r="L618" s="37"/>
      <c r="M618" s="37"/>
      <c r="O618" s="36"/>
    </row>
    <row r="619" spans="2:15">
      <c r="B619" s="59"/>
      <c r="C619" s="12"/>
      <c r="D619" s="49"/>
      <c r="E619" s="57"/>
      <c r="F619" s="32"/>
      <c r="H619" s="36"/>
      <c r="I619" s="36"/>
      <c r="J619" s="36"/>
      <c r="K619" s="36"/>
      <c r="L619" s="37"/>
      <c r="M619" s="37"/>
      <c r="O619" s="36"/>
    </row>
    <row r="620" spans="2:15">
      <c r="B620" s="59"/>
      <c r="C620" s="12"/>
      <c r="D620" s="49"/>
      <c r="E620" s="57"/>
      <c r="F620" s="32"/>
      <c r="H620" s="36"/>
      <c r="I620" s="36"/>
      <c r="J620" s="36"/>
      <c r="K620" s="36"/>
      <c r="L620" s="37"/>
      <c r="M620" s="37"/>
      <c r="O620" s="36"/>
    </row>
    <row r="621" spans="2:15">
      <c r="B621" s="59"/>
      <c r="C621" s="12"/>
      <c r="D621" s="49"/>
      <c r="E621" s="57"/>
      <c r="F621" s="32"/>
      <c r="H621" s="36"/>
      <c r="I621" s="36"/>
      <c r="J621" s="36"/>
      <c r="K621" s="36"/>
      <c r="L621" s="37"/>
      <c r="M621" s="37"/>
      <c r="O621" s="36"/>
    </row>
    <row r="622" spans="2:15">
      <c r="B622" s="59"/>
      <c r="C622" s="12"/>
      <c r="D622" s="49"/>
      <c r="E622" s="57"/>
      <c r="F622" s="32"/>
      <c r="H622" s="36"/>
      <c r="I622" s="36"/>
      <c r="J622" s="36"/>
      <c r="K622" s="36"/>
      <c r="L622" s="37"/>
      <c r="M622" s="37"/>
      <c r="O622" s="36"/>
    </row>
    <row r="623" spans="2:15">
      <c r="B623" s="59"/>
      <c r="C623" s="12"/>
      <c r="D623" s="49"/>
      <c r="E623" s="57"/>
      <c r="F623" s="32"/>
      <c r="H623" s="36"/>
      <c r="I623" s="36"/>
      <c r="J623" s="36"/>
      <c r="K623" s="36"/>
      <c r="L623" s="37"/>
      <c r="M623" s="37"/>
      <c r="O623" s="36"/>
    </row>
    <row r="624" spans="2:15">
      <c r="B624" s="59"/>
      <c r="C624" s="12"/>
      <c r="D624" s="49"/>
      <c r="E624" s="57"/>
      <c r="F624" s="32"/>
      <c r="H624" s="36"/>
      <c r="I624" s="36"/>
      <c r="J624" s="36"/>
      <c r="K624" s="36"/>
      <c r="L624" s="37"/>
      <c r="M624" s="37"/>
      <c r="O624" s="36"/>
    </row>
    <row r="625" spans="2:15">
      <c r="B625" s="59"/>
      <c r="C625" s="12"/>
      <c r="D625" s="49"/>
      <c r="E625" s="57"/>
      <c r="F625" s="32"/>
      <c r="H625" s="36"/>
      <c r="I625" s="36"/>
      <c r="J625" s="36"/>
      <c r="K625" s="36"/>
      <c r="L625" s="37"/>
      <c r="M625" s="37"/>
      <c r="O625" s="36"/>
    </row>
    <row r="626" spans="2:15">
      <c r="B626" s="59"/>
      <c r="C626" s="12"/>
      <c r="D626" s="49"/>
      <c r="E626" s="57"/>
      <c r="F626" s="32"/>
      <c r="H626" s="36"/>
      <c r="I626" s="36"/>
      <c r="J626" s="36"/>
      <c r="K626" s="36"/>
      <c r="L626" s="37"/>
      <c r="M626" s="37"/>
      <c r="O626" s="36"/>
    </row>
    <row r="627" spans="2:15">
      <c r="B627" s="59"/>
      <c r="C627" s="12"/>
      <c r="D627" s="49"/>
      <c r="E627" s="57"/>
      <c r="F627" s="32"/>
      <c r="H627" s="36"/>
      <c r="I627" s="36"/>
      <c r="J627" s="36"/>
      <c r="K627" s="36"/>
      <c r="L627" s="37"/>
      <c r="M627" s="37"/>
      <c r="O627" s="36"/>
    </row>
    <row r="628" spans="2:15">
      <c r="B628" s="59"/>
      <c r="C628" s="12"/>
      <c r="D628" s="49"/>
      <c r="E628" s="57"/>
      <c r="F628" s="32"/>
      <c r="H628" s="36"/>
      <c r="I628" s="36"/>
      <c r="J628" s="36"/>
      <c r="K628" s="36"/>
      <c r="L628" s="37"/>
      <c r="M628" s="37"/>
      <c r="O628" s="36"/>
    </row>
    <row r="629" spans="2:15">
      <c r="B629" s="59"/>
      <c r="C629" s="12"/>
      <c r="D629" s="49"/>
      <c r="E629" s="57"/>
      <c r="F629" s="32"/>
      <c r="H629" s="36"/>
      <c r="I629" s="36"/>
      <c r="J629" s="36"/>
      <c r="K629" s="36"/>
      <c r="L629" s="37"/>
      <c r="M629" s="37"/>
      <c r="O629" s="36"/>
    </row>
    <row r="630" spans="2:15">
      <c r="B630" s="59"/>
      <c r="C630" s="12"/>
      <c r="D630" s="49"/>
      <c r="E630" s="57"/>
      <c r="F630" s="32"/>
      <c r="H630" s="36"/>
      <c r="I630" s="36"/>
      <c r="J630" s="36"/>
      <c r="K630" s="36"/>
      <c r="L630" s="37"/>
      <c r="M630" s="37"/>
      <c r="O630" s="36"/>
    </row>
    <row r="631" spans="2:15">
      <c r="B631" s="59"/>
      <c r="C631" s="12"/>
      <c r="D631" s="49"/>
      <c r="E631" s="57"/>
      <c r="F631" s="32"/>
      <c r="H631" s="36"/>
      <c r="I631" s="36"/>
      <c r="J631" s="36"/>
      <c r="K631" s="36"/>
      <c r="L631" s="37"/>
      <c r="M631" s="37"/>
      <c r="O631" s="36"/>
    </row>
    <row r="632" spans="2:15">
      <c r="B632" s="59"/>
      <c r="C632" s="12"/>
      <c r="D632" s="49"/>
      <c r="E632" s="57"/>
      <c r="F632" s="32"/>
      <c r="H632" s="36"/>
      <c r="I632" s="36"/>
      <c r="J632" s="36"/>
      <c r="K632" s="36"/>
      <c r="L632" s="37"/>
      <c r="M632" s="37"/>
      <c r="O632" s="36"/>
    </row>
    <row r="633" spans="2:15">
      <c r="B633" s="59"/>
      <c r="C633" s="12"/>
      <c r="D633" s="49"/>
      <c r="E633" s="57"/>
      <c r="F633" s="32"/>
      <c r="H633" s="36"/>
      <c r="I633" s="36"/>
      <c r="J633" s="36"/>
      <c r="K633" s="36"/>
      <c r="L633" s="37"/>
      <c r="M633" s="37"/>
      <c r="O633" s="36"/>
    </row>
    <row r="634" spans="2:15">
      <c r="B634" s="59"/>
      <c r="C634" s="12"/>
      <c r="D634" s="49"/>
      <c r="E634" s="57"/>
      <c r="F634" s="32"/>
      <c r="H634" s="36"/>
      <c r="I634" s="36"/>
      <c r="J634" s="36"/>
      <c r="K634" s="36"/>
      <c r="L634" s="37"/>
      <c r="M634" s="37"/>
      <c r="O634" s="36"/>
    </row>
    <row r="635" spans="2:15">
      <c r="B635" s="59"/>
      <c r="C635" s="12"/>
      <c r="D635" s="49"/>
      <c r="E635" s="57"/>
      <c r="F635" s="32"/>
      <c r="H635" s="36"/>
      <c r="I635" s="36"/>
      <c r="J635" s="36"/>
      <c r="K635" s="36"/>
      <c r="L635" s="37"/>
      <c r="M635" s="37"/>
      <c r="O635" s="36"/>
    </row>
    <row r="636" spans="2:15">
      <c r="B636" s="59"/>
      <c r="C636" s="12"/>
      <c r="D636" s="49"/>
      <c r="E636" s="57"/>
      <c r="F636" s="32"/>
      <c r="H636" s="36"/>
      <c r="I636" s="36"/>
      <c r="J636" s="36"/>
      <c r="K636" s="36"/>
      <c r="L636" s="37"/>
      <c r="M636" s="37"/>
      <c r="O636" s="36"/>
    </row>
    <row r="637" spans="2:15">
      <c r="B637" s="59"/>
      <c r="C637" s="12"/>
      <c r="D637" s="49"/>
      <c r="E637" s="57"/>
      <c r="F637" s="32"/>
      <c r="H637" s="36"/>
      <c r="I637" s="36"/>
      <c r="J637" s="36"/>
      <c r="K637" s="36"/>
      <c r="L637" s="37"/>
      <c r="M637" s="37"/>
      <c r="O637" s="36"/>
    </row>
    <row r="638" spans="2:15">
      <c r="B638" s="59"/>
      <c r="C638" s="12"/>
      <c r="D638" s="49"/>
      <c r="E638" s="57"/>
      <c r="F638" s="32"/>
      <c r="H638" s="36"/>
      <c r="I638" s="36"/>
      <c r="J638" s="36"/>
      <c r="K638" s="36"/>
      <c r="L638" s="37"/>
      <c r="M638" s="37"/>
      <c r="O638" s="36"/>
    </row>
    <row r="639" spans="2:15">
      <c r="B639" s="59"/>
      <c r="C639" s="12"/>
      <c r="D639" s="49"/>
      <c r="E639" s="57"/>
      <c r="F639" s="32"/>
      <c r="H639" s="36"/>
      <c r="I639" s="36"/>
      <c r="J639" s="36"/>
      <c r="K639" s="36"/>
      <c r="L639" s="37"/>
      <c r="M639" s="37"/>
      <c r="O639" s="36"/>
    </row>
    <row r="640" spans="2:15">
      <c r="B640" s="59"/>
      <c r="C640" s="12"/>
      <c r="D640" s="49"/>
      <c r="E640" s="57"/>
      <c r="F640" s="32"/>
      <c r="H640" s="36"/>
      <c r="I640" s="36"/>
      <c r="J640" s="36"/>
      <c r="K640" s="36"/>
      <c r="L640" s="37"/>
      <c r="M640" s="37"/>
      <c r="O640" s="36"/>
    </row>
    <row r="641" spans="2:15">
      <c r="B641" s="59"/>
      <c r="C641" s="12"/>
      <c r="D641" s="49"/>
      <c r="E641" s="57"/>
      <c r="F641" s="32"/>
      <c r="H641" s="36"/>
      <c r="I641" s="36"/>
      <c r="J641" s="36"/>
      <c r="K641" s="36"/>
      <c r="L641" s="37"/>
      <c r="M641" s="37"/>
      <c r="O641" s="36"/>
    </row>
    <row r="642" spans="2:15">
      <c r="B642" s="59"/>
      <c r="C642" s="12"/>
      <c r="D642" s="49"/>
      <c r="E642" s="57"/>
      <c r="F642" s="32"/>
      <c r="H642" s="36"/>
      <c r="I642" s="36"/>
      <c r="J642" s="36"/>
      <c r="K642" s="36"/>
      <c r="L642" s="37"/>
      <c r="M642" s="37"/>
      <c r="O642" s="36"/>
    </row>
    <row r="643" spans="2:15">
      <c r="B643" s="59"/>
      <c r="C643" s="12"/>
      <c r="D643" s="49"/>
      <c r="E643" s="57"/>
      <c r="F643" s="32"/>
      <c r="H643" s="36"/>
      <c r="I643" s="36"/>
      <c r="J643" s="36"/>
      <c r="K643" s="36"/>
      <c r="L643" s="37"/>
      <c r="M643" s="37"/>
      <c r="O643" s="36"/>
    </row>
    <row r="644" spans="2:15">
      <c r="B644" s="59"/>
      <c r="C644" s="12"/>
      <c r="D644" s="49"/>
      <c r="E644" s="57"/>
      <c r="F644" s="32"/>
      <c r="H644" s="36"/>
      <c r="I644" s="36"/>
      <c r="J644" s="36"/>
      <c r="K644" s="36"/>
      <c r="L644" s="37"/>
      <c r="M644" s="37"/>
      <c r="O644" s="36"/>
    </row>
    <row r="645" spans="2:15">
      <c r="B645" s="59"/>
      <c r="C645" s="12"/>
      <c r="D645" s="49"/>
      <c r="E645" s="57"/>
      <c r="F645" s="32"/>
      <c r="H645" s="36"/>
      <c r="I645" s="36"/>
      <c r="J645" s="36"/>
      <c r="K645" s="36"/>
      <c r="L645" s="37"/>
      <c r="M645" s="37"/>
      <c r="O645" s="36"/>
    </row>
    <row r="646" spans="2:15">
      <c r="B646" s="59"/>
      <c r="C646" s="12"/>
      <c r="D646" s="49"/>
      <c r="E646" s="57"/>
      <c r="F646" s="32"/>
      <c r="H646" s="36"/>
      <c r="I646" s="36"/>
      <c r="J646" s="36"/>
      <c r="K646" s="36"/>
      <c r="L646" s="37"/>
      <c r="M646" s="37"/>
      <c r="O646" s="36"/>
    </row>
    <row r="647" spans="2:15">
      <c r="B647" s="59"/>
      <c r="C647" s="12"/>
      <c r="D647" s="49"/>
      <c r="E647" s="57"/>
      <c r="F647" s="32"/>
      <c r="H647" s="36"/>
      <c r="I647" s="36"/>
      <c r="J647" s="36"/>
      <c r="K647" s="36"/>
      <c r="L647" s="37"/>
      <c r="M647" s="37"/>
      <c r="O647" s="36"/>
    </row>
    <row r="648" spans="2:15">
      <c r="B648" s="59"/>
      <c r="C648" s="12"/>
      <c r="D648" s="49"/>
      <c r="E648" s="57"/>
      <c r="F648" s="32"/>
      <c r="H648" s="36"/>
      <c r="I648" s="36"/>
      <c r="J648" s="36"/>
      <c r="K648" s="36"/>
      <c r="L648" s="37"/>
      <c r="M648" s="37"/>
      <c r="O648" s="36"/>
    </row>
    <row r="649" spans="2:15">
      <c r="B649" s="59"/>
      <c r="C649" s="12"/>
      <c r="D649" s="49"/>
      <c r="E649" s="57"/>
      <c r="F649" s="32"/>
      <c r="H649" s="36"/>
      <c r="I649" s="36"/>
      <c r="J649" s="36"/>
      <c r="K649" s="36"/>
      <c r="L649" s="37"/>
      <c r="M649" s="37"/>
      <c r="O649" s="36"/>
    </row>
    <row r="650" spans="2:15">
      <c r="B650" s="59"/>
      <c r="C650" s="12"/>
      <c r="D650" s="49"/>
      <c r="E650" s="57"/>
      <c r="F650" s="32"/>
      <c r="H650" s="36"/>
      <c r="I650" s="36"/>
      <c r="J650" s="36"/>
      <c r="K650" s="36"/>
      <c r="L650" s="37"/>
      <c r="M650" s="37"/>
      <c r="O650" s="36"/>
    </row>
    <row r="651" spans="2:15">
      <c r="B651" s="59"/>
      <c r="C651" s="12"/>
      <c r="D651" s="49"/>
      <c r="E651" s="57"/>
      <c r="F651" s="32"/>
      <c r="H651" s="36"/>
      <c r="I651" s="36"/>
      <c r="J651" s="36"/>
      <c r="K651" s="36"/>
      <c r="L651" s="37"/>
      <c r="M651" s="37"/>
      <c r="O651" s="36"/>
    </row>
    <row r="652" spans="2:15">
      <c r="B652" s="59"/>
      <c r="C652" s="12"/>
      <c r="D652" s="49"/>
      <c r="E652" s="57"/>
      <c r="F652" s="32"/>
      <c r="H652" s="36"/>
      <c r="I652" s="36"/>
      <c r="J652" s="36"/>
      <c r="K652" s="36"/>
      <c r="L652" s="37"/>
      <c r="M652" s="37"/>
      <c r="O652" s="36"/>
    </row>
    <row r="653" spans="2:15">
      <c r="B653" s="59"/>
      <c r="C653" s="12"/>
      <c r="D653" s="49"/>
      <c r="E653" s="57"/>
      <c r="F653" s="32"/>
      <c r="H653" s="36"/>
      <c r="I653" s="36"/>
      <c r="J653" s="36"/>
      <c r="K653" s="36"/>
      <c r="L653" s="37"/>
      <c r="M653" s="37"/>
      <c r="O653" s="36"/>
    </row>
    <row r="654" spans="2:15">
      <c r="B654" s="59"/>
      <c r="C654" s="12"/>
      <c r="D654" s="49"/>
      <c r="E654" s="57"/>
      <c r="F654" s="32"/>
      <c r="H654" s="36"/>
      <c r="I654" s="36"/>
      <c r="J654" s="36"/>
      <c r="K654" s="36"/>
      <c r="L654" s="37"/>
      <c r="M654" s="37"/>
      <c r="O654" s="36"/>
    </row>
    <row r="655" spans="2:15">
      <c r="B655" s="59"/>
      <c r="C655" s="12"/>
      <c r="D655" s="49"/>
      <c r="E655" s="57"/>
      <c r="F655" s="32"/>
      <c r="H655" s="36"/>
      <c r="I655" s="36"/>
      <c r="J655" s="36"/>
      <c r="K655" s="36"/>
      <c r="L655" s="37"/>
      <c r="M655" s="37"/>
      <c r="O655" s="36"/>
    </row>
    <row r="656" spans="2:15">
      <c r="B656" s="59"/>
      <c r="C656" s="12"/>
      <c r="D656" s="49"/>
      <c r="E656" s="57"/>
      <c r="F656" s="32"/>
      <c r="H656" s="36"/>
      <c r="I656" s="36"/>
      <c r="J656" s="36"/>
      <c r="K656" s="36"/>
      <c r="L656" s="37"/>
      <c r="M656" s="37"/>
      <c r="O656" s="36"/>
    </row>
    <row r="657" spans="2:15">
      <c r="B657" s="59"/>
      <c r="C657" s="12"/>
      <c r="D657" s="49"/>
      <c r="E657" s="57"/>
      <c r="F657" s="32"/>
      <c r="H657" s="36"/>
      <c r="I657" s="36"/>
      <c r="J657" s="36"/>
      <c r="K657" s="36"/>
      <c r="L657" s="37"/>
      <c r="M657" s="37"/>
      <c r="O657" s="36"/>
    </row>
    <row r="658" spans="2:15">
      <c r="B658" s="59"/>
      <c r="C658" s="12"/>
      <c r="D658" s="49"/>
      <c r="E658" s="57"/>
      <c r="F658" s="32"/>
      <c r="H658" s="36"/>
      <c r="I658" s="36"/>
      <c r="J658" s="36"/>
      <c r="K658" s="36"/>
      <c r="L658" s="37"/>
      <c r="M658" s="37"/>
      <c r="O658" s="36"/>
    </row>
    <row r="659" spans="2:15">
      <c r="B659" s="59"/>
      <c r="C659" s="12"/>
      <c r="D659" s="49"/>
      <c r="E659" s="57"/>
      <c r="F659" s="32"/>
      <c r="H659" s="36"/>
      <c r="I659" s="36"/>
      <c r="J659" s="36"/>
      <c r="K659" s="36"/>
      <c r="L659" s="37"/>
      <c r="M659" s="37"/>
      <c r="O659" s="36"/>
    </row>
    <row r="660" spans="2:15">
      <c r="B660" s="59"/>
      <c r="C660" s="12"/>
      <c r="D660" s="49"/>
      <c r="E660" s="57"/>
      <c r="F660" s="32"/>
      <c r="H660" s="36"/>
      <c r="I660" s="36"/>
      <c r="J660" s="36"/>
      <c r="K660" s="36"/>
      <c r="L660" s="37"/>
      <c r="M660" s="37"/>
      <c r="O660" s="36"/>
    </row>
    <row r="661" spans="2:15">
      <c r="B661" s="59"/>
      <c r="C661" s="12"/>
      <c r="D661" s="49"/>
      <c r="E661" s="57"/>
      <c r="F661" s="32"/>
      <c r="H661" s="36"/>
      <c r="I661" s="36"/>
      <c r="J661" s="36"/>
      <c r="K661" s="36"/>
      <c r="L661" s="37"/>
      <c r="M661" s="37"/>
      <c r="O661" s="36"/>
    </row>
    <row r="662" spans="2:15">
      <c r="B662" s="59"/>
      <c r="C662" s="12"/>
      <c r="D662" s="49"/>
      <c r="E662" s="57"/>
      <c r="F662" s="32"/>
      <c r="H662" s="36"/>
      <c r="I662" s="36"/>
      <c r="J662" s="36"/>
      <c r="K662" s="36"/>
      <c r="L662" s="37"/>
      <c r="M662" s="37"/>
      <c r="O662" s="36"/>
    </row>
    <row r="663" spans="2:15">
      <c r="B663" s="59"/>
      <c r="C663" s="12"/>
      <c r="D663" s="49"/>
      <c r="E663" s="57"/>
      <c r="F663" s="32"/>
      <c r="H663" s="36"/>
      <c r="I663" s="36"/>
      <c r="J663" s="36"/>
      <c r="K663" s="36"/>
      <c r="L663" s="37"/>
      <c r="M663" s="37"/>
      <c r="O663" s="36"/>
    </row>
    <row r="664" spans="2:15">
      <c r="B664" s="59"/>
      <c r="C664" s="12"/>
      <c r="D664" s="49"/>
      <c r="E664" s="57"/>
      <c r="F664" s="32"/>
      <c r="H664" s="36"/>
      <c r="I664" s="36"/>
      <c r="J664" s="36"/>
      <c r="K664" s="36"/>
      <c r="L664" s="37"/>
      <c r="M664" s="37"/>
      <c r="O664" s="36"/>
    </row>
    <row r="665" spans="2:15">
      <c r="B665" s="59"/>
      <c r="C665" s="12"/>
      <c r="D665" s="49"/>
      <c r="E665" s="57"/>
      <c r="F665" s="32"/>
      <c r="H665" s="36"/>
      <c r="I665" s="36"/>
      <c r="J665" s="36"/>
      <c r="K665" s="36"/>
      <c r="L665" s="37"/>
      <c r="M665" s="37"/>
      <c r="O665" s="36"/>
    </row>
    <row r="666" spans="2:15">
      <c r="B666" s="59"/>
      <c r="C666" s="12"/>
      <c r="D666" s="49"/>
      <c r="E666" s="57"/>
      <c r="F666" s="32"/>
      <c r="H666" s="36"/>
      <c r="I666" s="36"/>
      <c r="J666" s="36"/>
      <c r="K666" s="36"/>
      <c r="L666" s="37"/>
      <c r="M666" s="37"/>
      <c r="O666" s="36"/>
    </row>
    <row r="667" spans="2:15">
      <c r="B667" s="59"/>
      <c r="C667" s="12"/>
      <c r="D667" s="49"/>
      <c r="E667" s="57"/>
      <c r="F667" s="32"/>
      <c r="H667" s="36"/>
      <c r="I667" s="36"/>
      <c r="J667" s="36"/>
      <c r="K667" s="36"/>
      <c r="L667" s="37"/>
      <c r="M667" s="37"/>
      <c r="O667" s="36"/>
    </row>
    <row r="668" spans="2:15">
      <c r="B668" s="59"/>
      <c r="C668" s="12"/>
      <c r="D668" s="49"/>
      <c r="E668" s="57"/>
      <c r="F668" s="32"/>
      <c r="H668" s="36"/>
      <c r="I668" s="36"/>
      <c r="J668" s="36"/>
      <c r="K668" s="36"/>
      <c r="L668" s="37"/>
      <c r="M668" s="37"/>
      <c r="O668" s="36"/>
    </row>
    <row r="669" spans="2:15">
      <c r="B669" s="59"/>
      <c r="C669" s="12"/>
      <c r="D669" s="49"/>
      <c r="E669" s="57"/>
      <c r="F669" s="32"/>
      <c r="H669" s="36"/>
      <c r="I669" s="36"/>
      <c r="J669" s="36"/>
      <c r="K669" s="36"/>
      <c r="L669" s="37"/>
      <c r="M669" s="37"/>
      <c r="O669" s="36"/>
    </row>
    <row r="670" spans="2:15">
      <c r="B670" s="59"/>
      <c r="C670" s="12"/>
      <c r="D670" s="49"/>
      <c r="E670" s="57"/>
      <c r="F670" s="32"/>
      <c r="H670" s="36"/>
      <c r="I670" s="36"/>
      <c r="J670" s="36"/>
      <c r="K670" s="36"/>
      <c r="L670" s="37"/>
      <c r="M670" s="37"/>
      <c r="O670" s="36"/>
    </row>
    <row r="671" spans="2:15">
      <c r="B671" s="59"/>
      <c r="C671" s="12"/>
      <c r="D671" s="49"/>
      <c r="E671" s="57"/>
      <c r="F671" s="32"/>
      <c r="H671" s="36"/>
      <c r="I671" s="36"/>
      <c r="J671" s="36"/>
      <c r="K671" s="36"/>
      <c r="L671" s="37"/>
      <c r="M671" s="37"/>
      <c r="O671" s="36"/>
    </row>
    <row r="672" spans="2:15">
      <c r="B672" s="59"/>
      <c r="C672" s="12"/>
      <c r="D672" s="49"/>
      <c r="E672" s="57"/>
      <c r="F672" s="32"/>
      <c r="H672" s="36"/>
      <c r="I672" s="36"/>
      <c r="J672" s="36"/>
      <c r="K672" s="36"/>
      <c r="L672" s="37"/>
      <c r="M672" s="37"/>
      <c r="O672" s="36"/>
    </row>
    <row r="673" spans="2:15">
      <c r="B673" s="59"/>
      <c r="C673" s="12"/>
      <c r="D673" s="49"/>
      <c r="E673" s="57"/>
      <c r="F673" s="32"/>
      <c r="H673" s="36"/>
      <c r="I673" s="36"/>
      <c r="J673" s="36"/>
      <c r="K673" s="36"/>
      <c r="L673" s="37"/>
      <c r="M673" s="37"/>
      <c r="O673" s="36"/>
    </row>
    <row r="674" spans="2:15">
      <c r="B674" s="59"/>
      <c r="C674" s="12"/>
      <c r="D674" s="49"/>
      <c r="E674" s="57"/>
      <c r="F674" s="32"/>
      <c r="H674" s="36"/>
      <c r="I674" s="36"/>
      <c r="J674" s="36"/>
      <c r="K674" s="36"/>
      <c r="L674" s="37"/>
      <c r="M674" s="37"/>
      <c r="O674" s="36"/>
    </row>
    <row r="675" spans="2:15">
      <c r="B675" s="59"/>
      <c r="C675" s="12"/>
      <c r="D675" s="49"/>
      <c r="E675" s="57"/>
      <c r="F675" s="32"/>
      <c r="H675" s="36"/>
      <c r="I675" s="36"/>
      <c r="J675" s="36"/>
      <c r="K675" s="36"/>
      <c r="L675" s="37"/>
      <c r="M675" s="37"/>
      <c r="O675" s="36"/>
    </row>
    <row r="676" spans="2:15">
      <c r="B676" s="59"/>
      <c r="C676" s="12"/>
      <c r="D676" s="49"/>
      <c r="E676" s="57"/>
      <c r="F676" s="32"/>
      <c r="H676" s="36"/>
      <c r="I676" s="36"/>
      <c r="J676" s="36"/>
      <c r="K676" s="36"/>
      <c r="L676" s="37"/>
      <c r="M676" s="37"/>
      <c r="O676" s="36"/>
    </row>
    <row r="677" spans="2:15">
      <c r="B677" s="59"/>
      <c r="C677" s="12"/>
      <c r="D677" s="49"/>
      <c r="E677" s="57"/>
      <c r="F677" s="32"/>
      <c r="H677" s="36"/>
      <c r="I677" s="36"/>
      <c r="J677" s="36"/>
      <c r="K677" s="36"/>
      <c r="L677" s="37"/>
      <c r="M677" s="37"/>
      <c r="O677" s="36"/>
    </row>
    <row r="678" spans="2:15">
      <c r="B678" s="59"/>
      <c r="C678" s="12"/>
      <c r="D678" s="49"/>
      <c r="E678" s="57"/>
      <c r="F678" s="32"/>
      <c r="H678" s="36"/>
      <c r="I678" s="36"/>
      <c r="J678" s="36"/>
      <c r="K678" s="36"/>
      <c r="L678" s="37"/>
      <c r="M678" s="37"/>
      <c r="O678" s="36"/>
    </row>
    <row r="679" spans="2:15">
      <c r="B679" s="59"/>
      <c r="C679" s="12"/>
      <c r="D679" s="49"/>
      <c r="E679" s="57"/>
      <c r="F679" s="32"/>
      <c r="H679" s="36"/>
      <c r="I679" s="36"/>
      <c r="J679" s="36"/>
      <c r="K679" s="36"/>
      <c r="L679" s="37"/>
      <c r="M679" s="37"/>
      <c r="O679" s="36"/>
    </row>
    <row r="680" spans="2:15">
      <c r="B680" s="59"/>
      <c r="C680" s="12"/>
      <c r="D680" s="49"/>
      <c r="E680" s="57"/>
      <c r="F680" s="32"/>
      <c r="H680" s="36"/>
      <c r="I680" s="36"/>
      <c r="J680" s="36"/>
      <c r="K680" s="36"/>
      <c r="L680" s="37"/>
      <c r="M680" s="37"/>
      <c r="O680" s="36"/>
    </row>
    <row r="681" spans="2:15">
      <c r="B681" s="59"/>
      <c r="C681" s="12"/>
      <c r="D681" s="49"/>
      <c r="E681" s="57"/>
      <c r="F681" s="32"/>
      <c r="H681" s="36"/>
      <c r="I681" s="36"/>
      <c r="J681" s="36"/>
      <c r="K681" s="36"/>
      <c r="L681" s="37"/>
      <c r="M681" s="37"/>
      <c r="O681" s="36"/>
    </row>
    <row r="682" spans="2:15">
      <c r="B682" s="59"/>
      <c r="C682" s="12"/>
      <c r="D682" s="49"/>
      <c r="E682" s="57"/>
      <c r="F682" s="32"/>
      <c r="H682" s="36"/>
      <c r="I682" s="36"/>
      <c r="J682" s="36"/>
      <c r="K682" s="36"/>
      <c r="L682" s="37"/>
      <c r="M682" s="37"/>
      <c r="O682" s="36"/>
    </row>
    <row r="683" spans="2:15">
      <c r="B683" s="59"/>
      <c r="C683" s="12"/>
      <c r="D683" s="49"/>
      <c r="E683" s="57"/>
      <c r="F683" s="32"/>
      <c r="H683" s="36"/>
      <c r="I683" s="36"/>
      <c r="J683" s="36"/>
      <c r="K683" s="36"/>
      <c r="L683" s="37"/>
      <c r="M683" s="37"/>
      <c r="O683" s="36"/>
    </row>
    <row r="684" spans="2:15">
      <c r="B684" s="59"/>
      <c r="C684" s="12"/>
      <c r="D684" s="49"/>
      <c r="E684" s="57"/>
      <c r="F684" s="32"/>
      <c r="H684" s="36"/>
      <c r="I684" s="36"/>
      <c r="J684" s="36"/>
      <c r="K684" s="36"/>
      <c r="L684" s="37"/>
      <c r="M684" s="37"/>
      <c r="O684" s="36"/>
    </row>
    <row r="685" spans="2:15">
      <c r="B685" s="59"/>
      <c r="C685" s="12"/>
      <c r="D685" s="49"/>
      <c r="E685" s="57"/>
      <c r="F685" s="32"/>
      <c r="H685" s="36"/>
      <c r="I685" s="36"/>
      <c r="J685" s="36"/>
      <c r="K685" s="36"/>
      <c r="L685" s="37"/>
      <c r="M685" s="37"/>
      <c r="O685" s="36"/>
    </row>
    <row r="686" spans="2:15">
      <c r="B686" s="59"/>
      <c r="C686" s="12"/>
      <c r="D686" s="49"/>
      <c r="E686" s="57"/>
      <c r="F686" s="32"/>
      <c r="H686" s="36"/>
      <c r="I686" s="36"/>
      <c r="J686" s="36"/>
      <c r="K686" s="36"/>
      <c r="L686" s="37"/>
      <c r="M686" s="37"/>
      <c r="O686" s="36"/>
    </row>
    <row r="687" spans="2:15">
      <c r="B687" s="59"/>
      <c r="C687" s="12"/>
      <c r="D687" s="49"/>
      <c r="E687" s="57"/>
      <c r="F687" s="32"/>
      <c r="H687" s="36"/>
      <c r="I687" s="36"/>
      <c r="J687" s="36"/>
      <c r="K687" s="36"/>
      <c r="L687" s="37"/>
      <c r="M687" s="37"/>
      <c r="O687" s="36"/>
    </row>
    <row r="688" spans="2:15">
      <c r="B688" s="59"/>
      <c r="C688" s="12"/>
      <c r="D688" s="49"/>
      <c r="E688" s="57"/>
      <c r="F688" s="32"/>
      <c r="H688" s="36"/>
      <c r="I688" s="36"/>
      <c r="J688" s="36"/>
      <c r="K688" s="36"/>
      <c r="L688" s="37"/>
      <c r="M688" s="37"/>
      <c r="O688" s="36"/>
    </row>
    <row r="689" spans="2:15">
      <c r="B689" s="59"/>
      <c r="C689" s="12"/>
      <c r="D689" s="49"/>
      <c r="E689" s="57"/>
      <c r="F689" s="32"/>
      <c r="H689" s="36"/>
      <c r="I689" s="36"/>
      <c r="J689" s="36"/>
      <c r="K689" s="36"/>
      <c r="L689" s="37"/>
      <c r="M689" s="37"/>
      <c r="O689" s="36"/>
    </row>
    <row r="690" spans="2:15">
      <c r="B690" s="59"/>
      <c r="C690" s="12"/>
      <c r="D690" s="49"/>
      <c r="E690" s="57"/>
      <c r="F690" s="32"/>
      <c r="H690" s="36"/>
      <c r="I690" s="36"/>
      <c r="J690" s="36"/>
      <c r="K690" s="36"/>
      <c r="L690" s="37"/>
      <c r="M690" s="37"/>
      <c r="O690" s="36"/>
    </row>
    <row r="691" spans="2:15">
      <c r="B691" s="59"/>
      <c r="C691" s="12"/>
      <c r="D691" s="49"/>
      <c r="E691" s="57"/>
      <c r="F691" s="32"/>
      <c r="H691" s="36"/>
      <c r="I691" s="36"/>
      <c r="J691" s="36"/>
      <c r="K691" s="36"/>
      <c r="L691" s="37"/>
      <c r="M691" s="37"/>
      <c r="O691" s="36"/>
    </row>
    <row r="692" spans="2:15">
      <c r="B692" s="59"/>
      <c r="C692" s="12"/>
      <c r="D692" s="49"/>
      <c r="E692" s="57"/>
      <c r="F692" s="32"/>
      <c r="H692" s="36"/>
      <c r="I692" s="36"/>
      <c r="J692" s="36"/>
      <c r="K692" s="36"/>
      <c r="L692" s="37"/>
      <c r="M692" s="37"/>
      <c r="O692" s="36"/>
    </row>
    <row r="693" spans="2:15">
      <c r="B693" s="59"/>
      <c r="C693" s="12"/>
      <c r="D693" s="49"/>
      <c r="E693" s="57"/>
      <c r="F693" s="32"/>
      <c r="H693" s="36"/>
      <c r="I693" s="36"/>
      <c r="J693" s="36"/>
      <c r="K693" s="36"/>
      <c r="L693" s="37"/>
      <c r="M693" s="37"/>
      <c r="O693" s="36"/>
    </row>
    <row r="694" spans="2:15">
      <c r="B694" s="59"/>
      <c r="C694" s="12"/>
      <c r="D694" s="49"/>
      <c r="E694" s="57"/>
      <c r="F694" s="32"/>
      <c r="H694" s="36"/>
      <c r="I694" s="36"/>
      <c r="J694" s="36"/>
      <c r="K694" s="36"/>
      <c r="L694" s="37"/>
      <c r="M694" s="37"/>
      <c r="O694" s="36"/>
    </row>
    <row r="695" spans="2:15">
      <c r="B695" s="59"/>
      <c r="C695" s="12"/>
      <c r="D695" s="49"/>
      <c r="E695" s="57"/>
      <c r="F695" s="32"/>
      <c r="H695" s="36"/>
      <c r="I695" s="36"/>
      <c r="J695" s="36"/>
      <c r="K695" s="36"/>
      <c r="L695" s="37"/>
      <c r="M695" s="37"/>
      <c r="O695" s="36"/>
    </row>
    <row r="696" spans="2:15">
      <c r="B696" s="59"/>
      <c r="C696" s="12"/>
      <c r="D696" s="49"/>
      <c r="E696" s="57"/>
      <c r="F696" s="32"/>
      <c r="H696" s="36"/>
      <c r="I696" s="36"/>
      <c r="J696" s="36"/>
      <c r="K696" s="36"/>
      <c r="L696" s="37"/>
      <c r="M696" s="37"/>
      <c r="O696" s="36"/>
    </row>
    <row r="697" spans="2:15">
      <c r="B697" s="59"/>
      <c r="C697" s="12"/>
      <c r="D697" s="49"/>
      <c r="E697" s="57"/>
      <c r="F697" s="32"/>
      <c r="H697" s="36"/>
      <c r="I697" s="36"/>
      <c r="J697" s="36"/>
      <c r="K697" s="36"/>
      <c r="L697" s="37"/>
      <c r="M697" s="37"/>
      <c r="O697" s="36"/>
    </row>
    <row r="698" spans="2:15">
      <c r="B698" s="59"/>
      <c r="C698" s="12"/>
      <c r="D698" s="49"/>
      <c r="E698" s="57"/>
      <c r="F698" s="32"/>
      <c r="H698" s="36"/>
      <c r="I698" s="36"/>
      <c r="J698" s="36"/>
      <c r="K698" s="36"/>
      <c r="L698" s="37"/>
      <c r="M698" s="37"/>
      <c r="O698" s="36"/>
    </row>
    <row r="699" spans="2:15">
      <c r="B699" s="59"/>
      <c r="C699" s="12"/>
      <c r="D699" s="49"/>
      <c r="E699" s="57"/>
      <c r="F699" s="32"/>
      <c r="H699" s="36"/>
      <c r="I699" s="36"/>
      <c r="J699" s="36"/>
      <c r="K699" s="36"/>
      <c r="L699" s="37"/>
      <c r="M699" s="37"/>
      <c r="O699" s="36"/>
    </row>
    <row r="700" spans="2:15">
      <c r="B700" s="59"/>
      <c r="C700" s="12"/>
      <c r="D700" s="49"/>
      <c r="E700" s="57"/>
      <c r="F700" s="32"/>
      <c r="H700" s="36"/>
      <c r="I700" s="36"/>
      <c r="J700" s="36"/>
      <c r="K700" s="36"/>
      <c r="L700" s="37"/>
      <c r="M700" s="37"/>
      <c r="O700" s="36"/>
    </row>
    <row r="701" spans="2:15">
      <c r="B701" s="59"/>
      <c r="C701" s="12"/>
      <c r="D701" s="49"/>
      <c r="E701" s="57"/>
      <c r="F701" s="32"/>
      <c r="H701" s="36"/>
      <c r="I701" s="36"/>
      <c r="J701" s="36"/>
      <c r="K701" s="36"/>
      <c r="L701" s="37"/>
      <c r="M701" s="37"/>
      <c r="O701" s="36"/>
    </row>
    <row r="702" spans="2:15">
      <c r="B702" s="59"/>
      <c r="C702" s="12"/>
      <c r="D702" s="49"/>
      <c r="E702" s="57"/>
      <c r="F702" s="32"/>
      <c r="H702" s="36"/>
      <c r="I702" s="36"/>
      <c r="J702" s="36"/>
      <c r="K702" s="36"/>
      <c r="L702" s="37"/>
      <c r="M702" s="37"/>
      <c r="O702" s="36"/>
    </row>
    <row r="703" spans="2:15">
      <c r="B703" s="59"/>
      <c r="C703" s="12"/>
      <c r="D703" s="49"/>
      <c r="E703" s="57"/>
      <c r="F703" s="32"/>
      <c r="H703" s="36"/>
      <c r="I703" s="36"/>
      <c r="J703" s="36"/>
      <c r="K703" s="36"/>
      <c r="L703" s="37"/>
      <c r="M703" s="37"/>
      <c r="O703" s="36"/>
    </row>
    <row r="704" spans="2:15">
      <c r="B704" s="59"/>
      <c r="C704" s="12"/>
      <c r="D704" s="49"/>
      <c r="E704" s="57"/>
      <c r="F704" s="32"/>
      <c r="H704" s="36"/>
      <c r="I704" s="36"/>
      <c r="J704" s="36"/>
      <c r="K704" s="36"/>
      <c r="L704" s="37"/>
      <c r="M704" s="37"/>
      <c r="O704" s="36"/>
    </row>
    <row r="705" spans="2:15">
      <c r="B705" s="59"/>
      <c r="C705" s="12"/>
      <c r="D705" s="49"/>
      <c r="E705" s="57"/>
      <c r="F705" s="32"/>
      <c r="H705" s="36"/>
      <c r="I705" s="36"/>
      <c r="J705" s="36"/>
      <c r="K705" s="36"/>
      <c r="L705" s="37"/>
      <c r="M705" s="37"/>
      <c r="O705" s="36"/>
    </row>
    <row r="706" spans="2:15">
      <c r="B706" s="59"/>
      <c r="C706" s="12"/>
      <c r="D706" s="49"/>
      <c r="E706" s="57"/>
      <c r="F706" s="32"/>
      <c r="H706" s="36"/>
      <c r="I706" s="36"/>
      <c r="J706" s="36"/>
      <c r="K706" s="36"/>
      <c r="L706" s="37"/>
      <c r="M706" s="37"/>
      <c r="O706" s="36"/>
    </row>
    <row r="707" spans="2:15">
      <c r="B707" s="59"/>
      <c r="C707" s="12"/>
      <c r="D707" s="49"/>
      <c r="E707" s="57"/>
      <c r="F707" s="32"/>
      <c r="H707" s="36"/>
      <c r="I707" s="36"/>
      <c r="J707" s="36"/>
      <c r="K707" s="36"/>
      <c r="L707" s="37"/>
      <c r="M707" s="37"/>
      <c r="O707" s="36"/>
    </row>
    <row r="708" spans="2:15">
      <c r="B708" s="59"/>
      <c r="C708" s="12"/>
      <c r="D708" s="49"/>
      <c r="E708" s="57"/>
      <c r="F708" s="32"/>
      <c r="H708" s="36"/>
      <c r="I708" s="36"/>
      <c r="J708" s="36"/>
      <c r="K708" s="36"/>
      <c r="L708" s="37"/>
      <c r="M708" s="37"/>
      <c r="O708" s="36"/>
    </row>
    <row r="709" spans="2:15">
      <c r="B709" s="59"/>
      <c r="C709" s="12"/>
      <c r="D709" s="49"/>
      <c r="E709" s="57"/>
      <c r="F709" s="32"/>
      <c r="H709" s="36"/>
      <c r="I709" s="36"/>
      <c r="J709" s="36"/>
      <c r="K709" s="36"/>
      <c r="L709" s="37"/>
      <c r="M709" s="37"/>
      <c r="O709" s="36"/>
    </row>
    <row r="710" spans="2:15">
      <c r="B710" s="59"/>
      <c r="C710" s="12"/>
      <c r="D710" s="49"/>
      <c r="E710" s="57"/>
      <c r="F710" s="32"/>
      <c r="H710" s="36"/>
      <c r="I710" s="36"/>
      <c r="J710" s="36"/>
      <c r="K710" s="36"/>
      <c r="L710" s="37"/>
      <c r="M710" s="37"/>
      <c r="O710" s="36"/>
    </row>
    <row r="711" spans="2:15">
      <c r="B711" s="59"/>
      <c r="C711" s="12"/>
      <c r="D711" s="49"/>
      <c r="E711" s="57"/>
      <c r="F711" s="32"/>
      <c r="H711" s="36"/>
      <c r="I711" s="36"/>
      <c r="J711" s="36"/>
      <c r="K711" s="36"/>
      <c r="L711" s="37"/>
      <c r="M711" s="37"/>
      <c r="O711" s="36"/>
    </row>
    <row r="712" spans="2:15">
      <c r="B712" s="59"/>
      <c r="C712" s="12"/>
      <c r="D712" s="49"/>
      <c r="E712" s="57"/>
      <c r="F712" s="32"/>
      <c r="H712" s="36"/>
      <c r="I712" s="36"/>
      <c r="J712" s="36"/>
      <c r="K712" s="36"/>
      <c r="L712" s="37"/>
      <c r="M712" s="37"/>
      <c r="O712" s="36"/>
    </row>
    <row r="713" spans="2:15">
      <c r="B713" s="59"/>
      <c r="C713" s="12"/>
      <c r="D713" s="49"/>
      <c r="E713" s="57"/>
      <c r="F713" s="32"/>
      <c r="H713" s="36"/>
      <c r="I713" s="36"/>
      <c r="J713" s="36"/>
      <c r="K713" s="36"/>
      <c r="L713" s="37"/>
      <c r="M713" s="37"/>
      <c r="O713" s="36"/>
    </row>
    <row r="714" spans="2:15">
      <c r="B714" s="59"/>
      <c r="C714" s="12"/>
      <c r="D714" s="49"/>
      <c r="E714" s="57"/>
      <c r="F714" s="32"/>
      <c r="H714" s="36"/>
      <c r="I714" s="36"/>
      <c r="J714" s="36"/>
      <c r="K714" s="36"/>
      <c r="L714" s="37"/>
      <c r="M714" s="37"/>
      <c r="O714" s="36"/>
    </row>
    <row r="715" spans="2:15">
      <c r="B715" s="59"/>
      <c r="C715" s="12"/>
      <c r="D715" s="49"/>
      <c r="E715" s="57"/>
      <c r="F715" s="32"/>
      <c r="H715" s="36"/>
      <c r="I715" s="36"/>
      <c r="J715" s="36"/>
      <c r="K715" s="36"/>
      <c r="L715" s="37"/>
      <c r="M715" s="37"/>
      <c r="O715" s="36"/>
    </row>
    <row r="716" spans="2:15">
      <c r="B716" s="59"/>
      <c r="C716" s="12"/>
      <c r="D716" s="49"/>
      <c r="E716" s="57"/>
      <c r="F716" s="32"/>
      <c r="H716" s="36"/>
      <c r="I716" s="36"/>
      <c r="J716" s="36"/>
      <c r="K716" s="36"/>
      <c r="L716" s="37"/>
      <c r="M716" s="37"/>
      <c r="O716" s="36"/>
    </row>
    <row r="717" spans="2:15">
      <c r="B717" s="59"/>
      <c r="C717" s="12"/>
      <c r="D717" s="49"/>
      <c r="E717" s="57"/>
      <c r="F717" s="32"/>
      <c r="H717" s="36"/>
      <c r="I717" s="36"/>
      <c r="J717" s="36"/>
      <c r="K717" s="36"/>
      <c r="L717" s="37"/>
      <c r="M717" s="37"/>
      <c r="O717" s="36"/>
    </row>
    <row r="718" spans="2:15">
      <c r="B718" s="59"/>
      <c r="C718" s="12"/>
      <c r="D718" s="49"/>
      <c r="E718" s="57"/>
      <c r="F718" s="32"/>
      <c r="H718" s="36"/>
      <c r="I718" s="36"/>
      <c r="J718" s="36"/>
      <c r="K718" s="36"/>
      <c r="L718" s="37"/>
      <c r="M718" s="37"/>
      <c r="O718" s="36"/>
    </row>
    <row r="719" spans="2:15">
      <c r="B719" s="59"/>
      <c r="C719" s="12"/>
      <c r="D719" s="49"/>
      <c r="E719" s="57"/>
      <c r="F719" s="32"/>
      <c r="H719" s="36"/>
      <c r="I719" s="36"/>
      <c r="J719" s="36"/>
      <c r="K719" s="36"/>
      <c r="L719" s="37"/>
      <c r="M719" s="37"/>
      <c r="O719" s="36"/>
    </row>
    <row r="720" spans="2:15">
      <c r="B720" s="59"/>
      <c r="C720" s="12"/>
      <c r="D720" s="49"/>
      <c r="E720" s="57"/>
      <c r="F720" s="32"/>
      <c r="H720" s="36"/>
      <c r="I720" s="36"/>
      <c r="J720" s="36"/>
      <c r="K720" s="36"/>
      <c r="L720" s="37"/>
      <c r="M720" s="37"/>
      <c r="O720" s="36"/>
    </row>
    <row r="721" spans="2:15">
      <c r="B721" s="59"/>
      <c r="C721" s="12"/>
      <c r="D721" s="49"/>
      <c r="E721" s="57"/>
      <c r="F721" s="32"/>
      <c r="H721" s="36"/>
      <c r="I721" s="36"/>
      <c r="J721" s="36"/>
      <c r="K721" s="36"/>
      <c r="L721" s="37"/>
      <c r="M721" s="37"/>
      <c r="O721" s="36"/>
    </row>
    <row r="722" spans="2:15">
      <c r="B722" s="59"/>
      <c r="C722" s="12"/>
      <c r="D722" s="49"/>
      <c r="E722" s="57"/>
      <c r="F722" s="32"/>
      <c r="H722" s="36"/>
      <c r="I722" s="36"/>
      <c r="J722" s="36"/>
      <c r="K722" s="36"/>
      <c r="L722" s="37"/>
      <c r="M722" s="37"/>
      <c r="O722" s="36"/>
    </row>
    <row r="723" spans="2:15">
      <c r="B723" s="59"/>
      <c r="C723" s="12"/>
      <c r="D723" s="49"/>
      <c r="E723" s="57"/>
      <c r="F723" s="32"/>
      <c r="H723" s="36"/>
      <c r="I723" s="36"/>
      <c r="J723" s="36"/>
      <c r="K723" s="36"/>
      <c r="L723" s="37"/>
      <c r="M723" s="37"/>
      <c r="O723" s="36"/>
    </row>
    <row r="724" spans="2:15">
      <c r="B724" s="59"/>
      <c r="C724" s="12"/>
      <c r="D724" s="49"/>
      <c r="E724" s="57"/>
      <c r="F724" s="32"/>
      <c r="H724" s="36"/>
      <c r="I724" s="36"/>
      <c r="J724" s="36"/>
      <c r="K724" s="36"/>
      <c r="L724" s="37"/>
      <c r="M724" s="37"/>
      <c r="O724" s="36"/>
    </row>
    <row r="725" spans="2:15">
      <c r="B725" s="59"/>
      <c r="C725" s="12"/>
      <c r="D725" s="49"/>
      <c r="E725" s="57"/>
      <c r="F725" s="32"/>
      <c r="H725" s="36"/>
      <c r="I725" s="36"/>
      <c r="J725" s="36"/>
      <c r="K725" s="36"/>
      <c r="L725" s="37"/>
      <c r="M725" s="37"/>
      <c r="O725" s="36"/>
    </row>
    <row r="726" spans="2:15">
      <c r="B726" s="59"/>
      <c r="C726" s="12"/>
      <c r="D726" s="49"/>
      <c r="E726" s="57"/>
      <c r="F726" s="32"/>
      <c r="H726" s="36"/>
      <c r="I726" s="36"/>
      <c r="J726" s="36"/>
      <c r="K726" s="36"/>
      <c r="L726" s="37"/>
      <c r="M726" s="37"/>
      <c r="O726" s="36"/>
    </row>
    <row r="727" spans="2:15">
      <c r="B727" s="59"/>
      <c r="C727" s="12"/>
      <c r="D727" s="49"/>
      <c r="E727" s="57"/>
      <c r="F727" s="32"/>
      <c r="H727" s="36"/>
      <c r="I727" s="36"/>
      <c r="J727" s="36"/>
      <c r="K727" s="36"/>
      <c r="L727" s="37"/>
      <c r="M727" s="37"/>
      <c r="O727" s="36"/>
    </row>
    <row r="728" spans="2:15">
      <c r="B728" s="59"/>
      <c r="C728" s="12"/>
      <c r="D728" s="49"/>
      <c r="E728" s="57"/>
      <c r="F728" s="32"/>
      <c r="H728" s="36"/>
      <c r="I728" s="36"/>
      <c r="J728" s="36"/>
      <c r="K728" s="36"/>
      <c r="L728" s="37"/>
      <c r="M728" s="37"/>
      <c r="O728" s="36"/>
    </row>
    <row r="729" spans="2:15">
      <c r="B729" s="59"/>
      <c r="C729" s="12"/>
      <c r="D729" s="49"/>
      <c r="E729" s="57"/>
      <c r="F729" s="32"/>
      <c r="H729" s="36"/>
      <c r="I729" s="36"/>
      <c r="J729" s="36"/>
      <c r="K729" s="36"/>
      <c r="L729" s="37"/>
      <c r="M729" s="37"/>
      <c r="O729" s="36"/>
    </row>
    <row r="730" spans="2:15">
      <c r="B730" s="59"/>
      <c r="C730" s="12"/>
      <c r="D730" s="49"/>
      <c r="E730" s="57"/>
      <c r="F730" s="32"/>
      <c r="H730" s="36"/>
      <c r="I730" s="36"/>
      <c r="J730" s="36"/>
      <c r="K730" s="36"/>
      <c r="L730" s="37"/>
      <c r="M730" s="37"/>
      <c r="O730" s="36"/>
    </row>
    <row r="731" spans="2:15">
      <c r="B731" s="59"/>
      <c r="C731" s="12"/>
      <c r="D731" s="49"/>
      <c r="E731" s="57"/>
      <c r="F731" s="32"/>
      <c r="H731" s="36"/>
      <c r="I731" s="36"/>
      <c r="J731" s="36"/>
      <c r="K731" s="36"/>
      <c r="L731" s="37"/>
      <c r="M731" s="37"/>
      <c r="O731" s="36"/>
    </row>
    <row r="732" spans="2:15">
      <c r="B732" s="59"/>
      <c r="C732" s="12"/>
      <c r="D732" s="49"/>
      <c r="E732" s="57"/>
      <c r="F732" s="32"/>
      <c r="H732" s="36"/>
      <c r="I732" s="36"/>
      <c r="J732" s="36"/>
      <c r="K732" s="36"/>
      <c r="L732" s="37"/>
      <c r="M732" s="37"/>
      <c r="O732" s="36"/>
    </row>
    <row r="733" spans="2:15">
      <c r="B733" s="59"/>
      <c r="C733" s="12"/>
      <c r="D733" s="49"/>
      <c r="E733" s="57"/>
      <c r="F733" s="32"/>
      <c r="H733" s="36"/>
      <c r="I733" s="36"/>
      <c r="J733" s="36"/>
      <c r="K733" s="36"/>
      <c r="L733" s="37"/>
      <c r="M733" s="37"/>
      <c r="O733" s="36"/>
    </row>
    <row r="734" spans="2:15">
      <c r="B734" s="59"/>
      <c r="C734" s="12"/>
      <c r="D734" s="49"/>
      <c r="E734" s="57"/>
      <c r="F734" s="32"/>
      <c r="H734" s="36"/>
      <c r="I734" s="36"/>
      <c r="J734" s="36"/>
      <c r="K734" s="36"/>
      <c r="L734" s="37"/>
      <c r="M734" s="37"/>
      <c r="O734" s="36"/>
    </row>
    <row r="735" spans="2:15">
      <c r="B735" s="59"/>
      <c r="C735" s="12"/>
      <c r="D735" s="49"/>
      <c r="E735" s="57"/>
      <c r="F735" s="32"/>
      <c r="H735" s="36"/>
      <c r="I735" s="36"/>
      <c r="J735" s="36"/>
      <c r="K735" s="36"/>
      <c r="L735" s="37"/>
      <c r="M735" s="37"/>
      <c r="O735" s="36"/>
    </row>
    <row r="736" spans="2:15">
      <c r="B736" s="59"/>
      <c r="C736" s="12"/>
      <c r="D736" s="49"/>
      <c r="E736" s="57"/>
      <c r="F736" s="32"/>
      <c r="H736" s="36"/>
      <c r="I736" s="36"/>
      <c r="J736" s="36"/>
      <c r="K736" s="36"/>
      <c r="L736" s="37"/>
      <c r="M736" s="37"/>
      <c r="O736" s="36"/>
    </row>
    <row r="737" spans="2:15">
      <c r="B737" s="59"/>
      <c r="C737" s="12"/>
      <c r="D737" s="49"/>
      <c r="E737" s="57"/>
      <c r="F737" s="32"/>
      <c r="H737" s="36"/>
      <c r="I737" s="36"/>
      <c r="J737" s="36"/>
      <c r="K737" s="36"/>
      <c r="L737" s="37"/>
      <c r="M737" s="37"/>
      <c r="O737" s="36"/>
    </row>
    <row r="738" spans="2:15">
      <c r="B738" s="59"/>
      <c r="C738" s="12"/>
      <c r="D738" s="49"/>
      <c r="E738" s="57"/>
      <c r="F738" s="32"/>
      <c r="H738" s="36"/>
      <c r="I738" s="36"/>
      <c r="J738" s="36"/>
      <c r="K738" s="36"/>
      <c r="L738" s="37"/>
      <c r="M738" s="37"/>
      <c r="O738" s="36"/>
    </row>
    <row r="739" spans="2:15">
      <c r="B739" s="59"/>
      <c r="C739" s="12"/>
      <c r="D739" s="49"/>
      <c r="E739" s="57"/>
      <c r="F739" s="32"/>
      <c r="H739" s="36"/>
      <c r="I739" s="36"/>
      <c r="J739" s="36"/>
      <c r="K739" s="36"/>
      <c r="L739" s="37"/>
      <c r="M739" s="37"/>
      <c r="O739" s="36"/>
    </row>
    <row r="740" spans="2:15">
      <c r="B740" s="59"/>
      <c r="C740" s="12"/>
      <c r="D740" s="49"/>
      <c r="E740" s="57"/>
      <c r="F740" s="32"/>
      <c r="H740" s="36"/>
      <c r="I740" s="36"/>
      <c r="J740" s="36"/>
      <c r="K740" s="36"/>
      <c r="L740" s="37"/>
      <c r="M740" s="37"/>
      <c r="O740" s="36"/>
    </row>
    <row r="741" spans="2:15">
      <c r="B741" s="59"/>
      <c r="C741" s="12"/>
      <c r="D741" s="49"/>
      <c r="E741" s="57"/>
      <c r="F741" s="32"/>
      <c r="H741" s="36"/>
      <c r="I741" s="36"/>
      <c r="J741" s="36"/>
      <c r="K741" s="36"/>
      <c r="L741" s="37"/>
      <c r="M741" s="37"/>
      <c r="O741" s="36"/>
    </row>
    <row r="742" spans="2:15">
      <c r="B742" s="59"/>
      <c r="C742" s="12"/>
      <c r="D742" s="49"/>
      <c r="E742" s="57"/>
      <c r="F742" s="32"/>
      <c r="H742" s="36"/>
      <c r="I742" s="36"/>
      <c r="J742" s="36"/>
      <c r="K742" s="36"/>
      <c r="L742" s="37"/>
      <c r="M742" s="37"/>
      <c r="O742" s="36"/>
    </row>
    <row r="743" spans="2:15">
      <c r="B743" s="59"/>
      <c r="C743" s="12"/>
      <c r="D743" s="49"/>
      <c r="E743" s="57"/>
      <c r="F743" s="32"/>
      <c r="H743" s="36"/>
      <c r="I743" s="36"/>
      <c r="J743" s="36"/>
      <c r="K743" s="36"/>
      <c r="L743" s="37"/>
      <c r="M743" s="37"/>
      <c r="O743" s="36"/>
    </row>
    <row r="744" spans="2:15">
      <c r="B744" s="59"/>
      <c r="C744" s="12"/>
      <c r="D744" s="49"/>
      <c r="E744" s="57"/>
      <c r="F744" s="32"/>
      <c r="H744" s="36"/>
      <c r="I744" s="36"/>
      <c r="J744" s="36"/>
      <c r="K744" s="36"/>
      <c r="L744" s="37"/>
      <c r="M744" s="37"/>
      <c r="O744" s="36"/>
    </row>
    <row r="745" spans="2:15">
      <c r="B745" s="59"/>
      <c r="C745" s="12"/>
      <c r="D745" s="49"/>
      <c r="E745" s="57"/>
      <c r="F745" s="32"/>
      <c r="H745" s="36"/>
      <c r="I745" s="36"/>
      <c r="J745" s="36"/>
      <c r="K745" s="36"/>
      <c r="L745" s="37"/>
      <c r="M745" s="37"/>
      <c r="O745" s="36"/>
    </row>
    <row r="746" spans="2:15">
      <c r="B746" s="59"/>
      <c r="C746" s="12"/>
      <c r="D746" s="49"/>
      <c r="E746" s="57"/>
      <c r="F746" s="32"/>
      <c r="H746" s="36"/>
      <c r="I746" s="36"/>
      <c r="J746" s="36"/>
      <c r="K746" s="36"/>
      <c r="L746" s="37"/>
      <c r="M746" s="37"/>
      <c r="O746" s="36"/>
    </row>
    <row r="747" spans="2:15">
      <c r="B747" s="59"/>
      <c r="C747" s="12"/>
      <c r="D747" s="49"/>
      <c r="E747" s="57"/>
      <c r="F747" s="32"/>
      <c r="H747" s="36"/>
      <c r="I747" s="36"/>
      <c r="J747" s="36"/>
      <c r="K747" s="36"/>
      <c r="L747" s="37"/>
      <c r="M747" s="37"/>
      <c r="O747" s="36"/>
    </row>
    <row r="748" spans="2:15">
      <c r="B748" s="59"/>
      <c r="C748" s="12"/>
      <c r="D748" s="49"/>
      <c r="E748" s="57"/>
      <c r="F748" s="32"/>
      <c r="H748" s="36"/>
      <c r="I748" s="36"/>
      <c r="J748" s="36"/>
      <c r="K748" s="36"/>
      <c r="L748" s="37"/>
      <c r="M748" s="37"/>
      <c r="O748" s="36"/>
    </row>
    <row r="749" spans="2:15">
      <c r="B749" s="59"/>
      <c r="C749" s="12"/>
      <c r="D749" s="49"/>
      <c r="E749" s="57"/>
      <c r="F749" s="32"/>
      <c r="H749" s="36"/>
      <c r="I749" s="36"/>
      <c r="J749" s="36"/>
      <c r="K749" s="36"/>
      <c r="L749" s="37"/>
      <c r="M749" s="37"/>
      <c r="O749" s="36"/>
    </row>
    <row r="750" spans="2:15">
      <c r="B750" s="59"/>
      <c r="C750" s="12"/>
      <c r="D750" s="49"/>
      <c r="E750" s="57"/>
      <c r="F750" s="32"/>
      <c r="H750" s="36"/>
      <c r="I750" s="36"/>
      <c r="J750" s="36"/>
      <c r="K750" s="36"/>
      <c r="L750" s="37"/>
      <c r="M750" s="37"/>
      <c r="O750" s="36"/>
    </row>
    <row r="751" spans="2:15">
      <c r="B751" s="59"/>
      <c r="C751" s="12"/>
      <c r="D751" s="49"/>
      <c r="E751" s="57"/>
      <c r="F751" s="32"/>
      <c r="H751" s="36"/>
      <c r="I751" s="36"/>
      <c r="J751" s="36"/>
      <c r="K751" s="36"/>
      <c r="L751" s="37"/>
      <c r="M751" s="37"/>
      <c r="O751" s="36"/>
    </row>
    <row r="752" spans="2:15">
      <c r="B752" s="59"/>
      <c r="C752" s="12"/>
      <c r="D752" s="49"/>
      <c r="E752" s="57"/>
      <c r="F752" s="32"/>
      <c r="H752" s="36"/>
      <c r="I752" s="36"/>
      <c r="J752" s="36"/>
      <c r="K752" s="36"/>
      <c r="L752" s="37"/>
      <c r="M752" s="37"/>
      <c r="O752" s="36"/>
    </row>
    <row r="753" spans="2:15">
      <c r="B753" s="59"/>
      <c r="C753" s="12"/>
      <c r="D753" s="49"/>
      <c r="E753" s="57"/>
      <c r="F753" s="32"/>
      <c r="H753" s="36"/>
      <c r="I753" s="36"/>
      <c r="J753" s="36"/>
      <c r="K753" s="36"/>
      <c r="L753" s="37"/>
      <c r="M753" s="37"/>
      <c r="O753" s="36"/>
    </row>
    <row r="754" spans="2:15">
      <c r="B754" s="59"/>
      <c r="C754" s="12"/>
      <c r="D754" s="49"/>
      <c r="E754" s="57"/>
      <c r="F754" s="32"/>
      <c r="H754" s="36"/>
      <c r="I754" s="36"/>
      <c r="J754" s="36"/>
      <c r="K754" s="36"/>
      <c r="L754" s="37"/>
      <c r="M754" s="37"/>
      <c r="O754" s="36"/>
    </row>
    <row r="755" spans="2:15">
      <c r="B755" s="59"/>
      <c r="C755" s="12"/>
      <c r="D755" s="49"/>
      <c r="E755" s="57"/>
      <c r="F755" s="32"/>
      <c r="H755" s="36"/>
      <c r="I755" s="36"/>
      <c r="J755" s="36"/>
      <c r="K755" s="36"/>
      <c r="L755" s="37"/>
      <c r="M755" s="37"/>
      <c r="O755" s="36"/>
    </row>
    <row r="756" spans="2:15">
      <c r="B756" s="59"/>
      <c r="C756" s="12"/>
      <c r="D756" s="49"/>
      <c r="E756" s="57"/>
      <c r="F756" s="32"/>
      <c r="H756" s="36"/>
      <c r="I756" s="36"/>
      <c r="J756" s="36"/>
      <c r="K756" s="36"/>
      <c r="L756" s="37"/>
      <c r="M756" s="37"/>
      <c r="O756" s="36"/>
    </row>
    <row r="757" spans="2:15">
      <c r="B757" s="59"/>
      <c r="C757" s="12"/>
      <c r="D757" s="49"/>
      <c r="E757" s="57"/>
      <c r="F757" s="32"/>
      <c r="H757" s="36"/>
      <c r="I757" s="36"/>
      <c r="J757" s="36"/>
      <c r="K757" s="36"/>
      <c r="L757" s="37"/>
      <c r="M757" s="37"/>
      <c r="O757" s="36"/>
    </row>
    <row r="758" spans="2:15">
      <c r="B758" s="59"/>
      <c r="C758" s="12"/>
      <c r="D758" s="49"/>
      <c r="E758" s="57"/>
      <c r="F758" s="32"/>
      <c r="H758" s="36"/>
      <c r="I758" s="36"/>
      <c r="J758" s="36"/>
      <c r="K758" s="36"/>
      <c r="L758" s="37"/>
      <c r="M758" s="37"/>
      <c r="O758" s="36"/>
    </row>
    <row r="759" spans="2:15">
      <c r="B759" s="59"/>
      <c r="C759" s="12"/>
      <c r="D759" s="49"/>
      <c r="E759" s="57"/>
      <c r="F759" s="32"/>
      <c r="H759" s="36"/>
      <c r="I759" s="36"/>
      <c r="J759" s="36"/>
      <c r="K759" s="36"/>
      <c r="L759" s="37"/>
      <c r="M759" s="37"/>
      <c r="O759" s="36"/>
    </row>
    <row r="760" spans="2:15">
      <c r="B760" s="59"/>
      <c r="C760" s="12"/>
      <c r="D760" s="49"/>
      <c r="E760" s="57"/>
      <c r="F760" s="32"/>
      <c r="H760" s="36"/>
      <c r="I760" s="36"/>
      <c r="J760" s="36"/>
      <c r="K760" s="36"/>
      <c r="L760" s="37"/>
      <c r="M760" s="37"/>
      <c r="O760" s="36"/>
    </row>
    <row r="761" spans="2:15">
      <c r="B761" s="59"/>
      <c r="C761" s="12"/>
      <c r="D761" s="49"/>
      <c r="E761" s="57"/>
      <c r="F761" s="32"/>
      <c r="H761" s="36"/>
      <c r="I761" s="36"/>
      <c r="J761" s="36"/>
      <c r="K761" s="36"/>
      <c r="L761" s="37"/>
      <c r="M761" s="37"/>
      <c r="O761" s="36"/>
    </row>
    <row r="762" spans="2:15">
      <c r="B762" s="59"/>
      <c r="C762" s="12"/>
      <c r="D762" s="49"/>
      <c r="E762" s="57"/>
      <c r="F762" s="32"/>
      <c r="H762" s="36"/>
      <c r="I762" s="36"/>
      <c r="J762" s="36"/>
      <c r="K762" s="36"/>
      <c r="L762" s="37"/>
      <c r="M762" s="37"/>
      <c r="O762" s="36"/>
    </row>
    <row r="763" spans="2:15">
      <c r="B763" s="59"/>
      <c r="C763" s="12"/>
      <c r="D763" s="49"/>
      <c r="E763" s="57"/>
      <c r="F763" s="32"/>
      <c r="H763" s="36"/>
      <c r="I763" s="36"/>
      <c r="J763" s="36"/>
      <c r="K763" s="36"/>
      <c r="L763" s="37"/>
      <c r="M763" s="37"/>
      <c r="O763" s="36"/>
    </row>
    <row r="764" spans="2:15">
      <c r="B764" s="59"/>
      <c r="C764" s="12"/>
      <c r="D764" s="49"/>
      <c r="E764" s="57"/>
      <c r="F764" s="32"/>
      <c r="H764" s="36"/>
      <c r="I764" s="36"/>
      <c r="J764" s="36"/>
      <c r="K764" s="36"/>
      <c r="L764" s="37"/>
      <c r="M764" s="37"/>
      <c r="O764" s="36"/>
    </row>
    <row r="765" spans="2:15">
      <c r="B765" s="59"/>
      <c r="C765" s="12"/>
      <c r="D765" s="49"/>
      <c r="E765" s="57"/>
      <c r="F765" s="32"/>
      <c r="H765" s="36"/>
      <c r="I765" s="36"/>
      <c r="J765" s="36"/>
      <c r="K765" s="36"/>
      <c r="L765" s="37"/>
      <c r="M765" s="37"/>
      <c r="O765" s="36"/>
    </row>
    <row r="766" spans="2:15">
      <c r="B766" s="59"/>
      <c r="C766" s="12"/>
      <c r="D766" s="49"/>
      <c r="E766" s="57"/>
      <c r="F766" s="32"/>
      <c r="H766" s="36"/>
      <c r="I766" s="36"/>
      <c r="J766" s="36"/>
      <c r="K766" s="36"/>
      <c r="L766" s="37"/>
      <c r="M766" s="37"/>
      <c r="O766" s="36"/>
    </row>
    <row r="767" spans="2:15">
      <c r="B767" s="59"/>
      <c r="C767" s="12"/>
      <c r="D767" s="49"/>
      <c r="E767" s="57"/>
      <c r="F767" s="32"/>
      <c r="H767" s="36"/>
      <c r="I767" s="36"/>
      <c r="J767" s="36"/>
      <c r="K767" s="36"/>
      <c r="L767" s="37"/>
      <c r="M767" s="37"/>
      <c r="O767" s="36"/>
    </row>
    <row r="768" spans="2:15">
      <c r="B768" s="59"/>
      <c r="C768" s="12"/>
      <c r="D768" s="49"/>
      <c r="E768" s="57"/>
      <c r="F768" s="32"/>
      <c r="H768" s="36"/>
      <c r="I768" s="36"/>
      <c r="J768" s="36"/>
      <c r="K768" s="36"/>
      <c r="L768" s="37"/>
      <c r="M768" s="37"/>
      <c r="O768" s="36"/>
    </row>
    <row r="769" spans="2:15">
      <c r="B769" s="59"/>
      <c r="C769" s="12"/>
      <c r="D769" s="49"/>
      <c r="E769" s="57"/>
      <c r="F769" s="32"/>
      <c r="H769" s="36"/>
      <c r="I769" s="36"/>
      <c r="J769" s="36"/>
      <c r="K769" s="36"/>
      <c r="L769" s="37"/>
      <c r="M769" s="37"/>
      <c r="O769" s="36"/>
    </row>
    <row r="770" spans="2:15">
      <c r="B770" s="59"/>
      <c r="C770" s="12"/>
      <c r="D770" s="49"/>
      <c r="E770" s="57"/>
      <c r="F770" s="32"/>
      <c r="H770" s="36"/>
      <c r="I770" s="36"/>
      <c r="J770" s="36"/>
      <c r="K770" s="36"/>
      <c r="L770" s="37"/>
      <c r="M770" s="37"/>
      <c r="O770" s="36"/>
    </row>
    <row r="771" spans="2:15">
      <c r="B771" s="59"/>
      <c r="C771" s="12"/>
      <c r="D771" s="49"/>
      <c r="E771" s="57"/>
      <c r="F771" s="32"/>
      <c r="H771" s="36"/>
      <c r="I771" s="36"/>
      <c r="J771" s="36"/>
      <c r="K771" s="36"/>
      <c r="L771" s="37"/>
      <c r="M771" s="37"/>
      <c r="O771" s="36"/>
    </row>
    <row r="772" spans="2:15">
      <c r="B772" s="59"/>
      <c r="C772" s="12"/>
      <c r="D772" s="49"/>
      <c r="E772" s="57"/>
      <c r="F772" s="32"/>
      <c r="H772" s="36"/>
      <c r="I772" s="36"/>
      <c r="J772" s="36"/>
      <c r="K772" s="36"/>
      <c r="L772" s="37"/>
      <c r="M772" s="37"/>
      <c r="O772" s="36"/>
    </row>
    <row r="773" spans="2:15">
      <c r="B773" s="59"/>
      <c r="C773" s="12"/>
      <c r="D773" s="49"/>
      <c r="E773" s="57"/>
      <c r="F773" s="32"/>
      <c r="H773" s="36"/>
      <c r="I773" s="36"/>
      <c r="J773" s="36"/>
      <c r="K773" s="36"/>
      <c r="L773" s="37"/>
      <c r="M773" s="37"/>
      <c r="O773" s="36"/>
    </row>
    <row r="774" spans="2:15">
      <c r="B774" s="59"/>
      <c r="C774" s="12"/>
      <c r="D774" s="49"/>
      <c r="E774" s="57"/>
      <c r="F774" s="32"/>
      <c r="H774" s="36"/>
      <c r="I774" s="36"/>
      <c r="J774" s="36"/>
      <c r="K774" s="36"/>
      <c r="L774" s="37"/>
      <c r="M774" s="37"/>
      <c r="O774" s="36"/>
    </row>
    <row r="775" spans="2:15">
      <c r="B775" s="59"/>
      <c r="C775" s="12"/>
      <c r="D775" s="49"/>
      <c r="E775" s="57"/>
      <c r="F775" s="32"/>
      <c r="H775" s="36"/>
      <c r="I775" s="36"/>
      <c r="J775" s="36"/>
      <c r="K775" s="36"/>
      <c r="L775" s="37"/>
      <c r="M775" s="37"/>
      <c r="O775" s="36"/>
    </row>
    <row r="776" spans="2:15">
      <c r="B776" s="59"/>
      <c r="C776" s="12"/>
      <c r="D776" s="49"/>
      <c r="E776" s="57"/>
      <c r="F776" s="32"/>
      <c r="H776" s="36"/>
      <c r="I776" s="36"/>
      <c r="J776" s="36"/>
      <c r="K776" s="36"/>
      <c r="L776" s="37"/>
      <c r="M776" s="37"/>
      <c r="O776" s="36"/>
    </row>
    <row r="777" spans="2:15">
      <c r="B777" s="59"/>
      <c r="C777" s="12"/>
      <c r="D777" s="49"/>
      <c r="E777" s="57"/>
      <c r="F777" s="32"/>
      <c r="H777" s="36"/>
      <c r="I777" s="36"/>
      <c r="J777" s="36"/>
      <c r="K777" s="36"/>
      <c r="L777" s="37"/>
      <c r="M777" s="37"/>
      <c r="O777" s="36"/>
    </row>
    <row r="778" spans="2:15">
      <c r="B778" s="59"/>
      <c r="C778" s="12"/>
      <c r="D778" s="49"/>
      <c r="E778" s="57"/>
      <c r="F778" s="32"/>
      <c r="H778" s="36"/>
      <c r="I778" s="36"/>
      <c r="J778" s="36"/>
      <c r="K778" s="36"/>
      <c r="L778" s="37"/>
      <c r="M778" s="37"/>
      <c r="O778" s="36"/>
    </row>
    <row r="779" spans="2:15">
      <c r="B779" s="59"/>
      <c r="C779" s="12"/>
      <c r="D779" s="49"/>
      <c r="E779" s="57"/>
      <c r="F779" s="32"/>
      <c r="H779" s="36"/>
      <c r="I779" s="36"/>
      <c r="J779" s="36"/>
      <c r="K779" s="36"/>
      <c r="L779" s="37"/>
      <c r="M779" s="37"/>
      <c r="O779" s="36"/>
    </row>
    <row r="780" spans="2:15">
      <c r="B780" s="59"/>
      <c r="C780" s="12"/>
      <c r="D780" s="49"/>
      <c r="E780" s="57"/>
      <c r="F780" s="32"/>
      <c r="H780" s="36"/>
      <c r="I780" s="36"/>
      <c r="J780" s="36"/>
      <c r="K780" s="36"/>
      <c r="L780" s="37"/>
      <c r="M780" s="37"/>
      <c r="O780" s="36"/>
    </row>
    <row r="781" spans="2:15">
      <c r="B781" s="59"/>
      <c r="C781" s="12"/>
      <c r="D781" s="49"/>
      <c r="E781" s="57"/>
      <c r="F781" s="32"/>
      <c r="H781" s="36"/>
      <c r="I781" s="36"/>
      <c r="J781" s="36"/>
      <c r="K781" s="36"/>
      <c r="L781" s="37"/>
      <c r="M781" s="37"/>
      <c r="O781" s="36"/>
    </row>
    <row r="782" spans="2:15">
      <c r="B782" s="59"/>
      <c r="C782" s="12"/>
      <c r="D782" s="49"/>
      <c r="E782" s="57"/>
      <c r="F782" s="32"/>
      <c r="H782" s="36"/>
      <c r="I782" s="36"/>
      <c r="J782" s="36"/>
      <c r="K782" s="36"/>
      <c r="L782" s="37"/>
      <c r="M782" s="37"/>
      <c r="O782" s="36"/>
    </row>
    <row r="783" spans="2:15">
      <c r="B783" s="59"/>
      <c r="C783" s="12"/>
      <c r="D783" s="49"/>
      <c r="E783" s="57"/>
      <c r="F783" s="32"/>
      <c r="H783" s="36"/>
      <c r="I783" s="36"/>
      <c r="J783" s="36"/>
      <c r="K783" s="36"/>
      <c r="L783" s="37"/>
      <c r="M783" s="37"/>
      <c r="O783" s="36"/>
    </row>
    <row r="784" spans="2:15">
      <c r="B784" s="59"/>
      <c r="C784" s="12"/>
      <c r="D784" s="49"/>
      <c r="E784" s="57"/>
      <c r="F784" s="32"/>
      <c r="H784" s="36"/>
      <c r="I784" s="36"/>
      <c r="J784" s="36"/>
      <c r="K784" s="36"/>
      <c r="L784" s="37"/>
      <c r="M784" s="37"/>
      <c r="O784" s="36"/>
    </row>
    <row r="785" spans="2:15">
      <c r="B785" s="59"/>
      <c r="C785" s="12"/>
      <c r="D785" s="49"/>
      <c r="E785" s="57"/>
      <c r="F785" s="32"/>
      <c r="H785" s="36"/>
      <c r="I785" s="36"/>
      <c r="J785" s="36"/>
      <c r="K785" s="36"/>
      <c r="L785" s="37"/>
      <c r="M785" s="37"/>
      <c r="O785" s="36"/>
    </row>
    <row r="786" spans="2:15">
      <c r="B786" s="59"/>
      <c r="C786" s="12"/>
      <c r="D786" s="49"/>
      <c r="E786" s="57"/>
      <c r="F786" s="32"/>
      <c r="H786" s="36"/>
      <c r="I786" s="36"/>
      <c r="J786" s="36"/>
      <c r="K786" s="36"/>
      <c r="L786" s="37"/>
      <c r="M786" s="37"/>
      <c r="O786" s="36"/>
    </row>
    <row r="787" spans="2:15">
      <c r="B787" s="59"/>
      <c r="C787" s="12"/>
      <c r="D787" s="49"/>
      <c r="E787" s="57"/>
      <c r="F787" s="32"/>
      <c r="H787" s="36"/>
      <c r="I787" s="36"/>
      <c r="J787" s="36"/>
      <c r="K787" s="36"/>
      <c r="L787" s="37"/>
      <c r="M787" s="37"/>
      <c r="O787" s="36"/>
    </row>
    <row r="788" spans="2:15">
      <c r="B788" s="59"/>
      <c r="C788" s="12"/>
      <c r="D788" s="49"/>
      <c r="E788" s="57"/>
      <c r="F788" s="32"/>
      <c r="H788" s="36"/>
      <c r="I788" s="36"/>
      <c r="J788" s="36"/>
      <c r="K788" s="36"/>
      <c r="L788" s="37"/>
      <c r="M788" s="37"/>
      <c r="O788" s="36"/>
    </row>
    <row r="789" spans="2:15">
      <c r="B789" s="59"/>
      <c r="C789" s="12"/>
      <c r="D789" s="49"/>
      <c r="E789" s="57"/>
      <c r="F789" s="32"/>
      <c r="H789" s="36"/>
      <c r="I789" s="36"/>
      <c r="J789" s="36"/>
      <c r="K789" s="36"/>
      <c r="L789" s="37"/>
      <c r="M789" s="37"/>
      <c r="O789" s="36"/>
    </row>
    <row r="790" spans="2:15">
      <c r="B790" s="59"/>
      <c r="C790" s="12"/>
      <c r="D790" s="49"/>
      <c r="E790" s="57"/>
      <c r="F790" s="32"/>
      <c r="H790" s="36"/>
      <c r="I790" s="36"/>
      <c r="J790" s="36"/>
      <c r="K790" s="36"/>
      <c r="L790" s="37"/>
      <c r="M790" s="37"/>
      <c r="O790" s="36"/>
    </row>
    <row r="791" spans="2:15">
      <c r="B791" s="59"/>
      <c r="C791" s="12"/>
      <c r="D791" s="49"/>
      <c r="E791" s="57"/>
      <c r="F791" s="32"/>
      <c r="H791" s="36"/>
      <c r="I791" s="36"/>
      <c r="J791" s="36"/>
      <c r="K791" s="36"/>
      <c r="L791" s="37"/>
      <c r="M791" s="37"/>
      <c r="O791" s="36"/>
    </row>
    <row r="792" spans="2:15">
      <c r="B792" s="59"/>
      <c r="C792" s="12"/>
      <c r="D792" s="49"/>
      <c r="E792" s="57"/>
      <c r="F792" s="32"/>
      <c r="H792" s="36"/>
      <c r="I792" s="36"/>
      <c r="J792" s="36"/>
      <c r="K792" s="36"/>
      <c r="L792" s="37"/>
      <c r="M792" s="37"/>
      <c r="O792" s="36"/>
    </row>
    <row r="793" spans="2:15">
      <c r="B793" s="59"/>
      <c r="C793" s="12"/>
      <c r="D793" s="49"/>
      <c r="E793" s="57"/>
      <c r="F793" s="32"/>
      <c r="H793" s="36"/>
      <c r="I793" s="36"/>
      <c r="J793" s="36"/>
      <c r="K793" s="36"/>
      <c r="L793" s="37"/>
      <c r="M793" s="37"/>
      <c r="O793" s="36"/>
    </row>
    <row r="794" spans="2:15">
      <c r="B794" s="59"/>
      <c r="C794" s="12"/>
      <c r="D794" s="49"/>
      <c r="E794" s="57"/>
      <c r="F794" s="32"/>
      <c r="H794" s="36"/>
      <c r="I794" s="36"/>
      <c r="J794" s="36"/>
      <c r="K794" s="36"/>
      <c r="L794" s="37"/>
      <c r="M794" s="37"/>
      <c r="O794" s="36"/>
    </row>
    <row r="795" spans="2:15">
      <c r="B795" s="59"/>
      <c r="C795" s="12"/>
      <c r="D795" s="49"/>
      <c r="E795" s="57"/>
      <c r="F795" s="32"/>
      <c r="H795" s="36"/>
      <c r="I795" s="36"/>
      <c r="J795" s="36"/>
      <c r="K795" s="36"/>
      <c r="L795" s="37"/>
      <c r="M795" s="37"/>
      <c r="O795" s="36"/>
    </row>
    <row r="796" spans="2:15">
      <c r="B796" s="59"/>
      <c r="C796" s="12"/>
      <c r="D796" s="49"/>
      <c r="E796" s="57"/>
      <c r="F796" s="32"/>
      <c r="H796" s="36"/>
      <c r="I796" s="36"/>
      <c r="J796" s="36"/>
      <c r="K796" s="36"/>
      <c r="L796" s="37"/>
      <c r="M796" s="37"/>
      <c r="O796" s="36"/>
    </row>
    <row r="797" spans="2:15">
      <c r="B797" s="59"/>
      <c r="C797" s="12"/>
      <c r="D797" s="49"/>
      <c r="E797" s="57"/>
      <c r="F797" s="32"/>
      <c r="H797" s="36"/>
      <c r="I797" s="36"/>
      <c r="J797" s="36"/>
      <c r="K797" s="36"/>
      <c r="L797" s="37"/>
      <c r="M797" s="37"/>
      <c r="O797" s="36"/>
    </row>
    <row r="798" spans="2:15">
      <c r="B798" s="59"/>
      <c r="C798" s="12"/>
      <c r="D798" s="49"/>
      <c r="E798" s="57"/>
      <c r="F798" s="32"/>
      <c r="H798" s="36"/>
      <c r="I798" s="36"/>
      <c r="J798" s="36"/>
      <c r="K798" s="36"/>
      <c r="L798" s="37"/>
      <c r="M798" s="37"/>
      <c r="O798" s="36"/>
    </row>
    <row r="799" spans="2:15">
      <c r="B799" s="59"/>
      <c r="C799" s="12"/>
      <c r="D799" s="49"/>
      <c r="E799" s="57"/>
      <c r="F799" s="32"/>
      <c r="H799" s="36"/>
      <c r="I799" s="36"/>
      <c r="J799" s="36"/>
      <c r="K799" s="36"/>
      <c r="L799" s="37"/>
      <c r="M799" s="37"/>
      <c r="O799" s="36"/>
    </row>
    <row r="800" spans="2:15">
      <c r="B800" s="59"/>
      <c r="C800" s="12"/>
      <c r="D800" s="49"/>
      <c r="E800" s="57"/>
      <c r="F800" s="32"/>
      <c r="H800" s="36"/>
      <c r="I800" s="36"/>
      <c r="J800" s="36"/>
      <c r="K800" s="36"/>
      <c r="L800" s="37"/>
      <c r="M800" s="37"/>
      <c r="O800" s="36"/>
    </row>
    <row r="801" spans="2:15">
      <c r="B801" s="59"/>
      <c r="C801" s="12"/>
      <c r="D801" s="49"/>
      <c r="E801" s="57"/>
      <c r="F801" s="32"/>
      <c r="H801" s="36"/>
      <c r="I801" s="36"/>
      <c r="J801" s="36"/>
      <c r="K801" s="36"/>
      <c r="L801" s="37"/>
      <c r="M801" s="37"/>
      <c r="O801" s="36"/>
    </row>
    <row r="802" spans="2:15">
      <c r="B802" s="59"/>
      <c r="C802" s="12"/>
      <c r="D802" s="49"/>
      <c r="E802" s="57"/>
      <c r="F802" s="32"/>
      <c r="H802" s="36"/>
      <c r="I802" s="36"/>
      <c r="J802" s="36"/>
      <c r="K802" s="36"/>
      <c r="L802" s="37"/>
      <c r="M802" s="37"/>
      <c r="O802" s="36"/>
    </row>
    <row r="803" spans="2:15">
      <c r="B803" s="59"/>
      <c r="C803" s="12"/>
      <c r="D803" s="49"/>
      <c r="E803" s="57"/>
      <c r="F803" s="32"/>
      <c r="H803" s="36"/>
      <c r="I803" s="36"/>
      <c r="J803" s="36"/>
      <c r="K803" s="36"/>
      <c r="L803" s="37"/>
      <c r="M803" s="37"/>
      <c r="O803" s="36"/>
    </row>
    <row r="804" spans="2:15">
      <c r="B804" s="59"/>
      <c r="C804" s="12"/>
      <c r="D804" s="49"/>
      <c r="E804" s="57"/>
      <c r="F804" s="32"/>
      <c r="H804" s="36"/>
      <c r="I804" s="36"/>
      <c r="J804" s="36"/>
      <c r="K804" s="36"/>
      <c r="L804" s="37"/>
      <c r="M804" s="37"/>
      <c r="O804" s="36"/>
    </row>
    <row r="805" spans="2:15">
      <c r="B805" s="59"/>
      <c r="C805" s="12"/>
      <c r="D805" s="49"/>
      <c r="E805" s="57"/>
      <c r="F805" s="32"/>
      <c r="H805" s="36"/>
      <c r="I805" s="36"/>
      <c r="J805" s="36"/>
      <c r="K805" s="36"/>
      <c r="L805" s="37"/>
      <c r="M805" s="37"/>
      <c r="O805" s="36"/>
    </row>
    <row r="806" spans="2:15">
      <c r="B806" s="59"/>
      <c r="C806" s="12"/>
      <c r="D806" s="49"/>
      <c r="E806" s="57"/>
      <c r="F806" s="32"/>
      <c r="H806" s="36"/>
      <c r="I806" s="36"/>
      <c r="J806" s="36"/>
      <c r="K806" s="36"/>
      <c r="L806" s="37"/>
      <c r="M806" s="37"/>
      <c r="O806" s="36"/>
    </row>
    <row r="807" spans="2:15">
      <c r="B807" s="59"/>
      <c r="C807" s="12"/>
      <c r="D807" s="49"/>
      <c r="E807" s="57"/>
      <c r="F807" s="32"/>
      <c r="H807" s="36"/>
      <c r="I807" s="36"/>
      <c r="J807" s="36"/>
      <c r="K807" s="36"/>
      <c r="L807" s="37"/>
      <c r="M807" s="37"/>
      <c r="O807" s="36"/>
    </row>
    <row r="808" spans="2:15">
      <c r="B808" s="59"/>
      <c r="C808" s="12"/>
      <c r="D808" s="49"/>
      <c r="E808" s="57"/>
      <c r="F808" s="32"/>
      <c r="H808" s="36"/>
      <c r="I808" s="36"/>
      <c r="J808" s="36"/>
      <c r="K808" s="36"/>
      <c r="L808" s="37"/>
      <c r="M808" s="37"/>
      <c r="O808" s="36"/>
    </row>
    <row r="809" spans="2:15">
      <c r="B809" s="59"/>
      <c r="C809" s="12"/>
      <c r="D809" s="49"/>
      <c r="E809" s="57"/>
      <c r="F809" s="32"/>
      <c r="H809" s="36"/>
      <c r="I809" s="36"/>
      <c r="J809" s="36"/>
      <c r="K809" s="36"/>
      <c r="L809" s="37"/>
      <c r="M809" s="37"/>
      <c r="O809" s="36"/>
    </row>
    <row r="810" spans="2:15">
      <c r="B810" s="59"/>
      <c r="C810" s="12"/>
      <c r="D810" s="49"/>
      <c r="E810" s="57"/>
      <c r="F810" s="32"/>
      <c r="H810" s="36"/>
      <c r="I810" s="36"/>
      <c r="J810" s="36"/>
      <c r="K810" s="36"/>
      <c r="L810" s="37"/>
      <c r="M810" s="37"/>
      <c r="O810" s="36"/>
    </row>
    <row r="811" spans="2:15">
      <c r="B811" s="59"/>
      <c r="C811" s="12"/>
      <c r="D811" s="49"/>
      <c r="E811" s="57"/>
      <c r="F811" s="32"/>
      <c r="H811" s="36"/>
      <c r="I811" s="36"/>
      <c r="J811" s="36"/>
      <c r="K811" s="36"/>
      <c r="L811" s="37"/>
      <c r="M811" s="37"/>
      <c r="O811" s="36"/>
    </row>
    <row r="812" spans="2:15">
      <c r="B812" s="59"/>
      <c r="C812" s="12"/>
      <c r="D812" s="49"/>
      <c r="E812" s="57"/>
      <c r="F812" s="32"/>
      <c r="H812" s="36"/>
      <c r="I812" s="36"/>
      <c r="J812" s="36"/>
      <c r="K812" s="36"/>
      <c r="L812" s="37"/>
      <c r="M812" s="37"/>
      <c r="O812" s="36"/>
    </row>
    <row r="813" spans="2:15">
      <c r="B813" s="59"/>
      <c r="C813" s="12"/>
      <c r="D813" s="49"/>
      <c r="E813" s="57"/>
      <c r="F813" s="32"/>
      <c r="H813" s="36"/>
      <c r="I813" s="36"/>
      <c r="J813" s="36"/>
      <c r="K813" s="36"/>
      <c r="L813" s="37"/>
      <c r="M813" s="37"/>
      <c r="O813" s="36"/>
    </row>
    <row r="814" spans="2:15">
      <c r="B814" s="59"/>
      <c r="C814" s="12"/>
      <c r="D814" s="49"/>
      <c r="E814" s="57"/>
      <c r="F814" s="32"/>
      <c r="H814" s="36"/>
      <c r="I814" s="36"/>
      <c r="J814" s="36"/>
      <c r="K814" s="36"/>
      <c r="L814" s="37"/>
      <c r="M814" s="37"/>
      <c r="O814" s="36"/>
    </row>
    <row r="815" spans="2:15">
      <c r="B815" s="59"/>
      <c r="C815" s="12"/>
      <c r="D815" s="49"/>
      <c r="E815" s="57"/>
      <c r="F815" s="32"/>
      <c r="H815" s="36"/>
      <c r="I815" s="36"/>
      <c r="J815" s="36"/>
      <c r="K815" s="36"/>
      <c r="L815" s="37"/>
      <c r="M815" s="37"/>
      <c r="O815" s="36"/>
    </row>
    <row r="816" spans="2:15">
      <c r="B816" s="59"/>
      <c r="C816" s="12"/>
      <c r="D816" s="49"/>
      <c r="E816" s="57"/>
      <c r="F816" s="32"/>
      <c r="H816" s="36"/>
      <c r="I816" s="36"/>
      <c r="J816" s="36"/>
      <c r="K816" s="36"/>
      <c r="L816" s="37"/>
      <c r="M816" s="37"/>
      <c r="O816" s="36"/>
    </row>
    <row r="817" spans="2:15">
      <c r="B817" s="59"/>
      <c r="C817" s="12"/>
      <c r="D817" s="49"/>
      <c r="E817" s="57"/>
      <c r="F817" s="32"/>
      <c r="H817" s="36"/>
      <c r="I817" s="36"/>
      <c r="J817" s="36"/>
      <c r="K817" s="36"/>
      <c r="L817" s="37"/>
      <c r="M817" s="37"/>
      <c r="O817" s="36"/>
    </row>
    <row r="818" spans="2:15">
      <c r="B818" s="59"/>
      <c r="C818" s="12"/>
      <c r="D818" s="49"/>
      <c r="E818" s="57"/>
      <c r="F818" s="32"/>
      <c r="H818" s="36"/>
      <c r="I818" s="36"/>
      <c r="J818" s="36"/>
      <c r="K818" s="36"/>
      <c r="L818" s="37"/>
      <c r="M818" s="37"/>
      <c r="O818" s="36"/>
    </row>
    <row r="819" spans="2:15">
      <c r="B819" s="59"/>
      <c r="C819" s="12"/>
      <c r="D819" s="49"/>
      <c r="E819" s="57"/>
      <c r="F819" s="32"/>
      <c r="H819" s="36"/>
      <c r="I819" s="36"/>
      <c r="J819" s="36"/>
      <c r="K819" s="36"/>
      <c r="L819" s="37"/>
      <c r="M819" s="37"/>
      <c r="O819" s="36"/>
    </row>
    <row r="820" spans="2:15">
      <c r="B820" s="59"/>
      <c r="C820" s="12"/>
      <c r="D820" s="49"/>
      <c r="E820" s="57"/>
      <c r="F820" s="32"/>
      <c r="H820" s="36"/>
      <c r="I820" s="36"/>
      <c r="J820" s="36"/>
      <c r="K820" s="36"/>
      <c r="L820" s="37"/>
      <c r="M820" s="37"/>
      <c r="O820" s="36"/>
    </row>
    <row r="821" spans="2:15">
      <c r="B821" s="59"/>
      <c r="C821" s="12"/>
      <c r="D821" s="49"/>
      <c r="E821" s="57"/>
      <c r="F821" s="32"/>
      <c r="H821" s="36"/>
      <c r="I821" s="36"/>
      <c r="J821" s="36"/>
      <c r="K821" s="36"/>
      <c r="L821" s="37"/>
      <c r="M821" s="37"/>
      <c r="O821" s="36"/>
    </row>
    <row r="822" spans="2:15">
      <c r="B822" s="59"/>
      <c r="C822" s="12"/>
      <c r="D822" s="49"/>
      <c r="E822" s="57"/>
      <c r="F822" s="32"/>
      <c r="H822" s="36"/>
      <c r="I822" s="36"/>
      <c r="J822" s="36"/>
      <c r="K822" s="36"/>
      <c r="L822" s="37"/>
      <c r="M822" s="37"/>
      <c r="O822" s="36"/>
    </row>
    <row r="823" spans="2:15">
      <c r="B823" s="59"/>
      <c r="C823" s="12"/>
      <c r="D823" s="49"/>
      <c r="E823" s="57"/>
      <c r="F823" s="32"/>
      <c r="H823" s="36"/>
      <c r="I823" s="36"/>
      <c r="J823" s="36"/>
      <c r="K823" s="36"/>
      <c r="L823" s="37"/>
      <c r="M823" s="37"/>
      <c r="O823" s="36"/>
    </row>
    <row r="824" spans="2:15">
      <c r="B824" s="59"/>
      <c r="C824" s="12"/>
      <c r="D824" s="49"/>
      <c r="E824" s="57"/>
      <c r="F824" s="32"/>
      <c r="H824" s="36"/>
      <c r="I824" s="36"/>
      <c r="J824" s="36"/>
      <c r="K824" s="36"/>
      <c r="L824" s="37"/>
      <c r="M824" s="37"/>
      <c r="O824" s="36"/>
    </row>
    <row r="825" spans="2:15">
      <c r="B825" s="59"/>
      <c r="C825" s="12"/>
      <c r="D825" s="49"/>
      <c r="E825" s="57"/>
      <c r="F825" s="32"/>
      <c r="H825" s="36"/>
      <c r="I825" s="36"/>
      <c r="J825" s="36"/>
      <c r="K825" s="36"/>
      <c r="L825" s="37"/>
      <c r="M825" s="37"/>
      <c r="O825" s="36"/>
    </row>
    <row r="826" spans="2:15">
      <c r="B826" s="59"/>
      <c r="C826" s="12"/>
      <c r="D826" s="49"/>
      <c r="E826" s="57"/>
      <c r="F826" s="32"/>
      <c r="H826" s="36"/>
      <c r="I826" s="36"/>
      <c r="J826" s="36"/>
      <c r="K826" s="36"/>
      <c r="L826" s="37"/>
      <c r="M826" s="37"/>
      <c r="O826" s="36"/>
    </row>
    <row r="827" spans="2:15">
      <c r="B827" s="59"/>
      <c r="C827" s="12"/>
      <c r="D827" s="49"/>
      <c r="E827" s="57"/>
      <c r="F827" s="32"/>
      <c r="H827" s="36"/>
      <c r="I827" s="36"/>
      <c r="J827" s="36"/>
      <c r="K827" s="36"/>
      <c r="L827" s="37"/>
      <c r="M827" s="37"/>
      <c r="O827" s="36"/>
    </row>
    <row r="828" spans="2:15">
      <c r="B828" s="59"/>
      <c r="C828" s="12"/>
      <c r="D828" s="49"/>
      <c r="E828" s="57"/>
      <c r="F828" s="32"/>
      <c r="H828" s="36"/>
      <c r="I828" s="36"/>
      <c r="J828" s="36"/>
      <c r="K828" s="36"/>
      <c r="L828" s="37"/>
      <c r="M828" s="37"/>
      <c r="O828" s="36"/>
    </row>
    <row r="829" spans="2:15">
      <c r="B829" s="59"/>
      <c r="C829" s="12"/>
      <c r="D829" s="49"/>
      <c r="E829" s="57"/>
      <c r="F829" s="32"/>
      <c r="H829" s="36"/>
      <c r="I829" s="36"/>
      <c r="J829" s="36"/>
      <c r="K829" s="36"/>
      <c r="L829" s="37"/>
      <c r="M829" s="37"/>
      <c r="O829" s="36"/>
    </row>
    <row r="830" spans="2:15">
      <c r="B830" s="59"/>
      <c r="C830" s="12"/>
      <c r="D830" s="49"/>
      <c r="E830" s="57"/>
      <c r="F830" s="32"/>
      <c r="H830" s="36"/>
      <c r="I830" s="36"/>
      <c r="J830" s="36"/>
      <c r="K830" s="36"/>
      <c r="L830" s="37"/>
      <c r="M830" s="37"/>
      <c r="O830" s="36"/>
    </row>
    <row r="831" spans="2:15">
      <c r="B831" s="59"/>
      <c r="C831" s="12"/>
      <c r="D831" s="49"/>
      <c r="E831" s="57"/>
      <c r="F831" s="32"/>
      <c r="H831" s="36"/>
      <c r="I831" s="36"/>
      <c r="J831" s="36"/>
      <c r="K831" s="36"/>
      <c r="L831" s="37"/>
      <c r="M831" s="37"/>
      <c r="O831" s="36"/>
    </row>
    <row r="832" spans="2:15">
      <c r="B832" s="59"/>
      <c r="C832" s="12"/>
      <c r="D832" s="49"/>
      <c r="E832" s="57"/>
      <c r="F832" s="32"/>
      <c r="H832" s="36"/>
      <c r="I832" s="36"/>
      <c r="J832" s="36"/>
      <c r="K832" s="36"/>
      <c r="L832" s="37"/>
      <c r="M832" s="37"/>
      <c r="O832" s="36"/>
    </row>
    <row r="833" spans="2:15">
      <c r="B833" s="59"/>
      <c r="C833" s="12"/>
      <c r="D833" s="49"/>
      <c r="E833" s="57"/>
      <c r="F833" s="32"/>
      <c r="H833" s="36"/>
      <c r="I833" s="36"/>
      <c r="J833" s="36"/>
      <c r="K833" s="36"/>
      <c r="L833" s="37"/>
      <c r="M833" s="37"/>
      <c r="O833" s="36"/>
    </row>
    <row r="834" spans="2:15">
      <c r="B834" s="59"/>
      <c r="C834" s="12"/>
      <c r="D834" s="49"/>
      <c r="E834" s="57"/>
      <c r="F834" s="32"/>
      <c r="H834" s="36"/>
      <c r="I834" s="36"/>
      <c r="J834" s="36"/>
      <c r="K834" s="36"/>
      <c r="L834" s="37"/>
      <c r="M834" s="37"/>
      <c r="O834" s="36"/>
    </row>
    <row r="835" spans="2:15">
      <c r="B835" s="59"/>
      <c r="C835" s="12"/>
      <c r="D835" s="49"/>
      <c r="E835" s="57"/>
      <c r="F835" s="32"/>
      <c r="H835" s="36"/>
      <c r="I835" s="36"/>
      <c r="J835" s="36"/>
      <c r="K835" s="36"/>
      <c r="L835" s="37"/>
      <c r="M835" s="37"/>
      <c r="O835" s="36"/>
    </row>
    <row r="836" spans="2:15">
      <c r="B836" s="59"/>
      <c r="C836" s="12"/>
      <c r="D836" s="49"/>
      <c r="E836" s="57"/>
      <c r="F836" s="32"/>
      <c r="H836" s="36"/>
      <c r="I836" s="36"/>
      <c r="J836" s="36"/>
      <c r="K836" s="36"/>
      <c r="L836" s="37"/>
      <c r="M836" s="37"/>
      <c r="O836" s="36"/>
    </row>
    <row r="837" spans="2:15">
      <c r="B837" s="59"/>
      <c r="C837" s="12"/>
      <c r="D837" s="49"/>
      <c r="E837" s="57"/>
      <c r="F837" s="32"/>
      <c r="H837" s="36"/>
      <c r="I837" s="36"/>
      <c r="J837" s="36"/>
      <c r="K837" s="36"/>
      <c r="L837" s="37"/>
      <c r="M837" s="37"/>
      <c r="O837" s="36"/>
    </row>
    <row r="838" spans="2:15">
      <c r="B838" s="59"/>
      <c r="C838" s="12"/>
      <c r="D838" s="49"/>
      <c r="E838" s="57"/>
      <c r="F838" s="32"/>
      <c r="H838" s="36"/>
      <c r="I838" s="36"/>
      <c r="J838" s="36"/>
      <c r="K838" s="36"/>
      <c r="L838" s="37"/>
      <c r="M838" s="37"/>
      <c r="O838" s="36"/>
    </row>
    <row r="839" spans="2:15">
      <c r="B839" s="59"/>
      <c r="C839" s="12"/>
      <c r="D839" s="49"/>
      <c r="E839" s="57"/>
      <c r="F839" s="32"/>
      <c r="H839" s="36"/>
      <c r="I839" s="36"/>
      <c r="J839" s="36"/>
      <c r="K839" s="36"/>
      <c r="L839" s="37"/>
      <c r="M839" s="37"/>
      <c r="O839" s="36"/>
    </row>
    <row r="840" spans="2:15">
      <c r="B840" s="59"/>
      <c r="C840" s="12"/>
      <c r="D840" s="49"/>
      <c r="E840" s="57"/>
      <c r="F840" s="32"/>
      <c r="H840" s="36"/>
      <c r="I840" s="36"/>
      <c r="J840" s="36"/>
      <c r="K840" s="36"/>
      <c r="L840" s="37"/>
      <c r="M840" s="37"/>
      <c r="O840" s="36"/>
    </row>
    <row r="841" spans="2:15">
      <c r="B841" s="59"/>
      <c r="C841" s="12"/>
      <c r="D841" s="49"/>
      <c r="E841" s="57"/>
      <c r="F841" s="32"/>
      <c r="H841" s="36"/>
      <c r="I841" s="36"/>
      <c r="J841" s="36"/>
      <c r="K841" s="36"/>
      <c r="L841" s="37"/>
      <c r="M841" s="37"/>
      <c r="O841" s="36"/>
    </row>
    <row r="842" spans="2:15">
      <c r="B842" s="59"/>
      <c r="C842" s="12"/>
      <c r="D842" s="49"/>
      <c r="E842" s="57"/>
      <c r="F842" s="32"/>
      <c r="H842" s="36"/>
      <c r="I842" s="36"/>
      <c r="J842" s="36"/>
      <c r="K842" s="36"/>
      <c r="L842" s="37"/>
      <c r="M842" s="37"/>
      <c r="O842" s="36"/>
    </row>
    <row r="843" spans="2:15">
      <c r="B843" s="59"/>
      <c r="C843" s="12"/>
      <c r="D843" s="49"/>
      <c r="E843" s="57"/>
      <c r="F843" s="32"/>
      <c r="H843" s="36"/>
      <c r="I843" s="36"/>
      <c r="J843" s="36"/>
      <c r="K843" s="36"/>
      <c r="L843" s="37"/>
      <c r="M843" s="37"/>
      <c r="O843" s="36"/>
    </row>
    <row r="844" spans="2:15">
      <c r="B844" s="59"/>
      <c r="C844" s="12"/>
      <c r="D844" s="49"/>
      <c r="E844" s="57"/>
      <c r="F844" s="32"/>
      <c r="H844" s="36"/>
      <c r="I844" s="36"/>
      <c r="J844" s="36"/>
      <c r="K844" s="36"/>
      <c r="L844" s="37"/>
      <c r="M844" s="37"/>
      <c r="O844" s="36"/>
    </row>
    <row r="845" spans="2:15">
      <c r="B845" s="59"/>
      <c r="C845" s="12"/>
      <c r="D845" s="49"/>
      <c r="E845" s="57"/>
      <c r="F845" s="32"/>
      <c r="H845" s="36"/>
      <c r="I845" s="36"/>
      <c r="J845" s="36"/>
      <c r="K845" s="36"/>
      <c r="L845" s="37"/>
      <c r="M845" s="37"/>
      <c r="O845" s="36"/>
    </row>
    <row r="846" spans="2:15">
      <c r="B846" s="59"/>
      <c r="C846" s="12"/>
      <c r="D846" s="49"/>
      <c r="E846" s="57"/>
      <c r="F846" s="32"/>
      <c r="H846" s="36"/>
      <c r="I846" s="36"/>
      <c r="J846" s="36"/>
      <c r="K846" s="36"/>
      <c r="L846" s="37"/>
      <c r="M846" s="37"/>
      <c r="O846" s="36"/>
    </row>
    <row r="847" spans="2:15">
      <c r="B847" s="59"/>
      <c r="C847" s="12"/>
      <c r="D847" s="49"/>
      <c r="E847" s="57"/>
      <c r="F847" s="32"/>
      <c r="H847" s="36"/>
      <c r="I847" s="36"/>
      <c r="J847" s="36"/>
      <c r="K847" s="36"/>
      <c r="L847" s="37"/>
      <c r="M847" s="37"/>
      <c r="O847" s="36"/>
    </row>
    <row r="848" spans="2:15">
      <c r="B848" s="59"/>
      <c r="C848" s="12"/>
      <c r="D848" s="49"/>
      <c r="E848" s="57"/>
      <c r="F848" s="32"/>
      <c r="H848" s="36"/>
      <c r="I848" s="36"/>
      <c r="J848" s="36"/>
      <c r="K848" s="36"/>
      <c r="L848" s="37"/>
      <c r="M848" s="37"/>
      <c r="O848" s="36"/>
    </row>
    <row r="849" spans="2:15">
      <c r="B849" s="59"/>
      <c r="C849" s="12"/>
      <c r="D849" s="49"/>
      <c r="E849" s="57"/>
      <c r="F849" s="32"/>
      <c r="H849" s="36"/>
      <c r="I849" s="36"/>
      <c r="J849" s="36"/>
      <c r="K849" s="36"/>
      <c r="L849" s="37"/>
      <c r="M849" s="37"/>
      <c r="O849" s="36"/>
    </row>
    <row r="850" spans="2:15">
      <c r="B850" s="59"/>
      <c r="C850" s="12"/>
      <c r="D850" s="49"/>
      <c r="E850" s="57"/>
      <c r="F850" s="32"/>
      <c r="H850" s="36"/>
      <c r="I850" s="36"/>
      <c r="J850" s="36"/>
      <c r="K850" s="36"/>
      <c r="L850" s="37"/>
      <c r="M850" s="37"/>
      <c r="O850" s="36"/>
    </row>
    <row r="851" spans="2:15">
      <c r="B851" s="59"/>
      <c r="C851" s="12"/>
      <c r="D851" s="49"/>
      <c r="E851" s="57"/>
      <c r="F851" s="32"/>
      <c r="H851" s="36"/>
      <c r="I851" s="36"/>
      <c r="J851" s="36"/>
      <c r="K851" s="36"/>
      <c r="L851" s="37"/>
      <c r="M851" s="37"/>
      <c r="O851" s="36"/>
    </row>
    <row r="852" spans="2:15">
      <c r="B852" s="59"/>
      <c r="C852" s="12"/>
      <c r="D852" s="49"/>
      <c r="E852" s="57"/>
      <c r="F852" s="32"/>
      <c r="H852" s="36"/>
      <c r="I852" s="36"/>
      <c r="J852" s="36"/>
      <c r="K852" s="36"/>
      <c r="L852" s="37"/>
      <c r="M852" s="37"/>
      <c r="O852" s="36"/>
    </row>
    <row r="853" spans="2:15">
      <c r="B853" s="59"/>
      <c r="C853" s="12"/>
      <c r="D853" s="49"/>
      <c r="E853" s="57"/>
      <c r="F853" s="32"/>
      <c r="H853" s="36"/>
      <c r="I853" s="36"/>
      <c r="J853" s="36"/>
      <c r="K853" s="36"/>
      <c r="L853" s="37"/>
      <c r="M853" s="37"/>
      <c r="O853" s="36"/>
    </row>
    <row r="854" spans="2:15">
      <c r="B854" s="59"/>
      <c r="C854" s="12"/>
      <c r="D854" s="49"/>
      <c r="E854" s="57"/>
      <c r="F854" s="32"/>
      <c r="H854" s="36"/>
      <c r="I854" s="36"/>
      <c r="J854" s="36"/>
      <c r="K854" s="36"/>
      <c r="L854" s="37"/>
      <c r="M854" s="37"/>
      <c r="O854" s="36"/>
    </row>
    <row r="855" spans="2:15">
      <c r="B855" s="59"/>
      <c r="C855" s="12"/>
      <c r="D855" s="49"/>
      <c r="E855" s="57"/>
      <c r="F855" s="32"/>
      <c r="H855" s="36"/>
      <c r="I855" s="36"/>
      <c r="J855" s="36"/>
      <c r="K855" s="36"/>
      <c r="L855" s="37"/>
      <c r="M855" s="37"/>
      <c r="O855" s="36"/>
    </row>
    <row r="856" spans="2:15">
      <c r="B856" s="59"/>
      <c r="C856" s="12"/>
      <c r="D856" s="49"/>
      <c r="E856" s="57"/>
      <c r="F856" s="32"/>
      <c r="H856" s="36"/>
      <c r="I856" s="36"/>
      <c r="J856" s="36"/>
      <c r="K856" s="36"/>
      <c r="L856" s="37"/>
      <c r="M856" s="37"/>
      <c r="O856" s="36"/>
    </row>
    <row r="857" spans="2:15">
      <c r="B857" s="59"/>
      <c r="C857" s="12"/>
      <c r="D857" s="49"/>
      <c r="E857" s="57"/>
      <c r="F857" s="32"/>
      <c r="H857" s="36"/>
      <c r="I857" s="36"/>
      <c r="J857" s="36"/>
      <c r="K857" s="36"/>
      <c r="L857" s="37"/>
      <c r="M857" s="37"/>
      <c r="O857" s="36"/>
    </row>
    <row r="858" spans="2:15">
      <c r="B858" s="59"/>
      <c r="C858" s="12"/>
      <c r="D858" s="49"/>
      <c r="E858" s="57"/>
      <c r="F858" s="32"/>
      <c r="H858" s="36"/>
      <c r="I858" s="36"/>
      <c r="J858" s="36"/>
      <c r="K858" s="36"/>
      <c r="L858" s="37"/>
      <c r="M858" s="37"/>
      <c r="O858" s="36"/>
    </row>
    <row r="859" spans="2:15">
      <c r="B859" s="59"/>
      <c r="C859" s="12"/>
      <c r="D859" s="49"/>
      <c r="E859" s="57"/>
      <c r="F859" s="32"/>
      <c r="H859" s="36"/>
      <c r="I859" s="36"/>
      <c r="J859" s="36"/>
      <c r="K859" s="36"/>
      <c r="L859" s="37"/>
      <c r="M859" s="37"/>
      <c r="O859" s="36"/>
    </row>
    <row r="860" spans="2:15">
      <c r="B860" s="59"/>
      <c r="C860" s="12"/>
      <c r="D860" s="49"/>
      <c r="E860" s="57"/>
      <c r="F860" s="32"/>
      <c r="H860" s="36"/>
      <c r="I860" s="36"/>
      <c r="J860" s="36"/>
      <c r="K860" s="36"/>
      <c r="L860" s="37"/>
      <c r="M860" s="37"/>
      <c r="O860" s="36"/>
    </row>
    <row r="861" spans="2:15">
      <c r="B861" s="59"/>
      <c r="C861" s="12"/>
      <c r="D861" s="49"/>
      <c r="E861" s="57"/>
      <c r="F861" s="32"/>
      <c r="H861" s="36"/>
      <c r="I861" s="36"/>
      <c r="J861" s="36"/>
      <c r="K861" s="36"/>
      <c r="L861" s="37"/>
      <c r="M861" s="37"/>
      <c r="O861" s="36"/>
    </row>
    <row r="862" spans="2:15">
      <c r="B862" s="59"/>
      <c r="C862" s="12"/>
      <c r="D862" s="49"/>
      <c r="E862" s="57"/>
      <c r="F862" s="32"/>
      <c r="H862" s="36"/>
      <c r="I862" s="36"/>
      <c r="J862" s="36"/>
      <c r="K862" s="36"/>
      <c r="L862" s="37"/>
      <c r="M862" s="37"/>
      <c r="O862" s="36"/>
    </row>
    <row r="863" spans="2:15">
      <c r="B863" s="59"/>
      <c r="C863" s="12"/>
      <c r="D863" s="49"/>
      <c r="E863" s="57"/>
      <c r="F863" s="32"/>
      <c r="H863" s="36"/>
      <c r="I863" s="36"/>
      <c r="J863" s="36"/>
      <c r="K863" s="36"/>
      <c r="L863" s="37"/>
      <c r="M863" s="37"/>
      <c r="O863" s="36"/>
    </row>
    <row r="864" spans="2:15">
      <c r="B864" s="59"/>
      <c r="C864" s="12"/>
      <c r="D864" s="49"/>
      <c r="E864" s="57"/>
      <c r="F864" s="32"/>
      <c r="H864" s="36"/>
      <c r="I864" s="36"/>
      <c r="J864" s="36"/>
      <c r="K864" s="36"/>
      <c r="L864" s="37"/>
      <c r="M864" s="37"/>
      <c r="O864" s="36"/>
    </row>
    <row r="865" spans="2:15">
      <c r="B865" s="59"/>
      <c r="C865" s="12"/>
      <c r="D865" s="49"/>
      <c r="E865" s="57"/>
      <c r="F865" s="32"/>
      <c r="H865" s="36"/>
      <c r="I865" s="36"/>
      <c r="J865" s="36"/>
      <c r="K865" s="36"/>
      <c r="L865" s="37"/>
      <c r="M865" s="37"/>
      <c r="O865" s="36"/>
    </row>
    <row r="866" spans="2:15">
      <c r="B866" s="59"/>
      <c r="C866" s="12"/>
      <c r="D866" s="49"/>
      <c r="E866" s="57"/>
      <c r="F866" s="32"/>
      <c r="H866" s="36"/>
      <c r="I866" s="36"/>
      <c r="J866" s="36"/>
      <c r="K866" s="36"/>
      <c r="L866" s="37"/>
      <c r="M866" s="37"/>
      <c r="O866" s="36"/>
    </row>
    <row r="867" spans="2:15">
      <c r="B867" s="59"/>
      <c r="C867" s="12"/>
      <c r="D867" s="49"/>
      <c r="E867" s="57"/>
      <c r="F867" s="32"/>
      <c r="H867" s="36"/>
      <c r="I867" s="36"/>
      <c r="J867" s="36"/>
      <c r="K867" s="36"/>
      <c r="L867" s="37"/>
      <c r="M867" s="37"/>
      <c r="O867" s="36"/>
    </row>
    <row r="868" spans="2:15">
      <c r="B868" s="59"/>
      <c r="C868" s="12"/>
      <c r="D868" s="49"/>
      <c r="E868" s="57"/>
      <c r="F868" s="32"/>
      <c r="H868" s="36"/>
      <c r="I868" s="36"/>
      <c r="J868" s="36"/>
      <c r="K868" s="36"/>
      <c r="L868" s="37"/>
      <c r="M868" s="37"/>
      <c r="O868" s="36"/>
    </row>
    <row r="869" spans="2:15">
      <c r="B869" s="59"/>
      <c r="C869" s="12"/>
      <c r="D869" s="49"/>
      <c r="E869" s="57"/>
      <c r="F869" s="32"/>
      <c r="H869" s="36"/>
      <c r="I869" s="36"/>
      <c r="J869" s="36"/>
      <c r="K869" s="36"/>
      <c r="L869" s="37"/>
      <c r="M869" s="37"/>
      <c r="O869" s="36"/>
    </row>
    <row r="870" spans="2:15">
      <c r="B870" s="59"/>
      <c r="C870" s="12"/>
      <c r="D870" s="49"/>
      <c r="E870" s="57"/>
      <c r="F870" s="32"/>
      <c r="H870" s="36"/>
      <c r="I870" s="36"/>
      <c r="J870" s="36"/>
      <c r="K870" s="36"/>
      <c r="L870" s="37"/>
      <c r="M870" s="37"/>
      <c r="O870" s="36"/>
    </row>
    <row r="871" spans="2:15">
      <c r="B871" s="59"/>
      <c r="C871" s="12"/>
      <c r="D871" s="49"/>
      <c r="E871" s="57"/>
      <c r="F871" s="32"/>
      <c r="H871" s="36"/>
      <c r="I871" s="36"/>
      <c r="J871" s="36"/>
      <c r="K871" s="36"/>
      <c r="L871" s="37"/>
      <c r="M871" s="37"/>
      <c r="O871" s="36"/>
    </row>
    <row r="872" spans="2:15">
      <c r="B872" s="59"/>
      <c r="C872" s="12"/>
      <c r="D872" s="49"/>
      <c r="E872" s="57"/>
      <c r="F872" s="32"/>
      <c r="H872" s="36"/>
      <c r="I872" s="36"/>
      <c r="J872" s="36"/>
      <c r="K872" s="36"/>
      <c r="L872" s="37"/>
      <c r="M872" s="37"/>
      <c r="O872" s="36"/>
    </row>
    <row r="873" spans="2:15">
      <c r="B873" s="59"/>
      <c r="C873" s="12"/>
      <c r="D873" s="49"/>
      <c r="E873" s="57"/>
      <c r="F873" s="32"/>
      <c r="H873" s="36"/>
      <c r="I873" s="36"/>
      <c r="J873" s="36"/>
      <c r="K873" s="36"/>
      <c r="L873" s="37"/>
      <c r="M873" s="37"/>
      <c r="O873" s="36"/>
    </row>
    <row r="874" spans="2:15">
      <c r="B874" s="59"/>
      <c r="C874" s="12"/>
      <c r="D874" s="49"/>
      <c r="E874" s="57"/>
      <c r="F874" s="32"/>
      <c r="H874" s="36"/>
      <c r="I874" s="36"/>
      <c r="J874" s="36"/>
      <c r="K874" s="36"/>
      <c r="L874" s="37"/>
      <c r="M874" s="37"/>
      <c r="O874" s="36"/>
    </row>
    <row r="875" spans="2:15">
      <c r="B875" s="59"/>
      <c r="C875" s="12"/>
      <c r="D875" s="49"/>
      <c r="E875" s="57"/>
      <c r="F875" s="32"/>
      <c r="H875" s="36"/>
      <c r="I875" s="36"/>
      <c r="J875" s="36"/>
      <c r="K875" s="36"/>
      <c r="L875" s="37"/>
      <c r="M875" s="37"/>
      <c r="O875" s="36"/>
    </row>
    <row r="876" spans="2:15">
      <c r="B876" s="59"/>
      <c r="C876" s="12"/>
      <c r="D876" s="49"/>
      <c r="E876" s="57"/>
      <c r="F876" s="32"/>
      <c r="H876" s="36"/>
      <c r="I876" s="36"/>
      <c r="J876" s="36"/>
      <c r="K876" s="36"/>
      <c r="L876" s="37"/>
      <c r="M876" s="37"/>
      <c r="O876" s="36"/>
    </row>
    <row r="877" spans="2:15">
      <c r="B877" s="59"/>
      <c r="C877" s="12"/>
      <c r="D877" s="49"/>
      <c r="E877" s="57"/>
      <c r="F877" s="32"/>
      <c r="H877" s="36"/>
      <c r="I877" s="36"/>
      <c r="J877" s="36"/>
      <c r="K877" s="36"/>
      <c r="L877" s="37"/>
      <c r="M877" s="37"/>
      <c r="O877" s="36"/>
    </row>
    <row r="878" spans="2:15">
      <c r="B878" s="59"/>
      <c r="C878" s="12"/>
      <c r="D878" s="49"/>
      <c r="E878" s="57"/>
      <c r="F878" s="32"/>
      <c r="H878" s="36"/>
      <c r="I878" s="36"/>
      <c r="J878" s="36"/>
      <c r="K878" s="36"/>
      <c r="L878" s="37"/>
      <c r="M878" s="37"/>
      <c r="O878" s="36"/>
    </row>
    <row r="879" spans="2:15">
      <c r="B879" s="59"/>
      <c r="C879" s="12"/>
      <c r="D879" s="49"/>
      <c r="E879" s="57"/>
      <c r="F879" s="32"/>
      <c r="H879" s="36"/>
      <c r="I879" s="36"/>
      <c r="J879" s="36"/>
      <c r="K879" s="36"/>
      <c r="L879" s="37"/>
      <c r="M879" s="37"/>
      <c r="O879" s="36"/>
    </row>
    <row r="880" spans="2:15">
      <c r="B880" s="59"/>
      <c r="C880" s="12"/>
      <c r="D880" s="49"/>
      <c r="E880" s="57"/>
      <c r="F880" s="32"/>
      <c r="H880" s="36"/>
      <c r="I880" s="36"/>
      <c r="J880" s="36"/>
      <c r="K880" s="36"/>
      <c r="L880" s="37"/>
      <c r="M880" s="37"/>
      <c r="O880" s="36"/>
    </row>
    <row r="881" spans="2:15">
      <c r="B881" s="59"/>
      <c r="C881" s="12"/>
      <c r="D881" s="49"/>
      <c r="E881" s="57"/>
      <c r="F881" s="32"/>
      <c r="H881" s="36"/>
      <c r="I881" s="36"/>
      <c r="J881" s="36"/>
      <c r="K881" s="36"/>
      <c r="L881" s="37"/>
      <c r="M881" s="37"/>
      <c r="O881" s="36"/>
    </row>
    <row r="882" spans="2:15">
      <c r="B882" s="59"/>
      <c r="C882" s="12"/>
      <c r="D882" s="49"/>
      <c r="E882" s="57"/>
      <c r="F882" s="32"/>
      <c r="H882" s="36"/>
      <c r="I882" s="36"/>
      <c r="J882" s="36"/>
      <c r="K882" s="36"/>
      <c r="L882" s="37"/>
      <c r="M882" s="37"/>
      <c r="O882" s="36"/>
    </row>
    <row r="883" spans="2:15">
      <c r="B883" s="59"/>
      <c r="C883" s="12"/>
      <c r="D883" s="49"/>
      <c r="E883" s="57"/>
      <c r="F883" s="32"/>
      <c r="H883" s="36"/>
      <c r="I883" s="36"/>
      <c r="J883" s="36"/>
      <c r="K883" s="36"/>
      <c r="L883" s="37"/>
      <c r="M883" s="37"/>
      <c r="O883" s="36"/>
    </row>
    <row r="884" spans="2:15">
      <c r="B884" s="59"/>
      <c r="C884" s="12"/>
      <c r="D884" s="49"/>
      <c r="E884" s="57"/>
      <c r="F884" s="32"/>
      <c r="H884" s="36"/>
      <c r="I884" s="36"/>
      <c r="J884" s="36"/>
      <c r="K884" s="36"/>
      <c r="L884" s="37"/>
      <c r="M884" s="37"/>
      <c r="O884" s="36"/>
    </row>
    <row r="885" spans="2:15">
      <c r="B885" s="59"/>
      <c r="C885" s="12"/>
      <c r="D885" s="49"/>
      <c r="E885" s="57"/>
      <c r="F885" s="32"/>
      <c r="H885" s="36"/>
      <c r="I885" s="36"/>
      <c r="J885" s="36"/>
      <c r="K885" s="36"/>
      <c r="L885" s="37"/>
      <c r="M885" s="37"/>
      <c r="O885" s="36"/>
    </row>
    <row r="886" spans="2:15">
      <c r="B886" s="59"/>
      <c r="C886" s="12"/>
      <c r="D886" s="49"/>
      <c r="E886" s="57"/>
      <c r="F886" s="32"/>
      <c r="H886" s="36"/>
      <c r="I886" s="36"/>
      <c r="J886" s="36"/>
      <c r="K886" s="36"/>
      <c r="L886" s="37"/>
      <c r="M886" s="37"/>
      <c r="O886" s="36"/>
    </row>
    <row r="887" spans="2:15">
      <c r="B887" s="59"/>
      <c r="C887" s="12"/>
      <c r="D887" s="49"/>
      <c r="E887" s="57"/>
      <c r="F887" s="32"/>
      <c r="H887" s="36"/>
      <c r="I887" s="36"/>
      <c r="J887" s="36"/>
      <c r="K887" s="36"/>
      <c r="L887" s="37"/>
      <c r="M887" s="37"/>
      <c r="O887" s="36"/>
    </row>
    <row r="888" spans="2:15">
      <c r="B888" s="59"/>
      <c r="C888" s="12"/>
      <c r="D888" s="49"/>
      <c r="E888" s="57"/>
      <c r="F888" s="32"/>
      <c r="H888" s="36"/>
      <c r="I888" s="36"/>
      <c r="J888" s="36"/>
      <c r="K888" s="36"/>
      <c r="L888" s="37"/>
      <c r="M888" s="37"/>
      <c r="O888" s="36"/>
    </row>
    <row r="889" spans="2:15">
      <c r="B889" s="59"/>
      <c r="C889" s="12"/>
      <c r="D889" s="49"/>
      <c r="E889" s="57"/>
      <c r="F889" s="32"/>
      <c r="H889" s="36"/>
      <c r="I889" s="36"/>
      <c r="J889" s="36"/>
      <c r="K889" s="36"/>
      <c r="L889" s="37"/>
      <c r="M889" s="37"/>
      <c r="O889" s="36"/>
    </row>
    <row r="890" spans="2:15">
      <c r="B890" s="59"/>
      <c r="C890" s="12"/>
      <c r="D890" s="49"/>
      <c r="E890" s="57"/>
      <c r="F890" s="32"/>
      <c r="H890" s="36"/>
      <c r="I890" s="36"/>
      <c r="J890" s="36"/>
      <c r="K890" s="36"/>
      <c r="L890" s="37"/>
      <c r="M890" s="37"/>
      <c r="O890" s="36"/>
    </row>
    <row r="891" spans="2:15">
      <c r="B891" s="59"/>
      <c r="C891" s="12"/>
      <c r="D891" s="49"/>
      <c r="E891" s="57"/>
      <c r="F891" s="32"/>
      <c r="H891" s="36"/>
      <c r="I891" s="36"/>
      <c r="J891" s="36"/>
      <c r="K891" s="36"/>
      <c r="L891" s="37"/>
      <c r="M891" s="37"/>
      <c r="O891" s="36"/>
    </row>
    <row r="892" spans="2:15">
      <c r="B892" s="59"/>
      <c r="C892" s="12"/>
      <c r="D892" s="49"/>
      <c r="E892" s="57"/>
      <c r="F892" s="32"/>
      <c r="H892" s="36"/>
      <c r="I892" s="36"/>
      <c r="J892" s="36"/>
      <c r="K892" s="36"/>
      <c r="L892" s="37"/>
      <c r="M892" s="37"/>
      <c r="O892" s="36"/>
    </row>
    <row r="893" spans="2:15">
      <c r="B893" s="59"/>
      <c r="C893" s="12"/>
      <c r="D893" s="49"/>
      <c r="E893" s="57"/>
      <c r="F893" s="32"/>
      <c r="H893" s="36"/>
      <c r="I893" s="36"/>
      <c r="J893" s="36"/>
      <c r="K893" s="36"/>
      <c r="L893" s="37"/>
      <c r="M893" s="37"/>
      <c r="O893" s="36"/>
    </row>
    <row r="894" spans="2:15">
      <c r="B894" s="59"/>
      <c r="C894" s="12"/>
      <c r="D894" s="49"/>
      <c r="E894" s="57"/>
      <c r="F894" s="32"/>
      <c r="H894" s="36"/>
      <c r="I894" s="36"/>
      <c r="J894" s="36"/>
      <c r="K894" s="36"/>
      <c r="L894" s="37"/>
      <c r="M894" s="37"/>
      <c r="O894" s="36"/>
    </row>
    <row r="895" spans="2:15">
      <c r="B895" s="59"/>
      <c r="C895" s="12"/>
      <c r="D895" s="49"/>
      <c r="E895" s="57"/>
      <c r="F895" s="32"/>
      <c r="H895" s="36"/>
      <c r="I895" s="36"/>
      <c r="J895" s="36"/>
      <c r="K895" s="36"/>
      <c r="L895" s="37"/>
      <c r="M895" s="37"/>
      <c r="O895" s="36"/>
    </row>
    <row r="896" spans="2:15">
      <c r="B896" s="59"/>
      <c r="C896" s="12"/>
      <c r="D896" s="49"/>
      <c r="E896" s="57"/>
      <c r="F896" s="32"/>
      <c r="H896" s="36"/>
      <c r="I896" s="36"/>
      <c r="J896" s="36"/>
      <c r="K896" s="36"/>
      <c r="L896" s="37"/>
      <c r="M896" s="37"/>
      <c r="O896" s="36"/>
    </row>
    <row r="897" spans="2:15">
      <c r="B897" s="59"/>
      <c r="C897" s="12"/>
      <c r="D897" s="49"/>
      <c r="E897" s="57"/>
      <c r="F897" s="32"/>
      <c r="H897" s="36"/>
      <c r="I897" s="36"/>
      <c r="J897" s="36"/>
      <c r="K897" s="36"/>
      <c r="L897" s="37"/>
      <c r="M897" s="37"/>
      <c r="O897" s="36"/>
    </row>
    <row r="898" spans="2:15">
      <c r="B898" s="59"/>
      <c r="C898" s="12"/>
      <c r="D898" s="49"/>
      <c r="E898" s="57"/>
      <c r="F898" s="32"/>
      <c r="H898" s="36"/>
      <c r="I898" s="36"/>
      <c r="J898" s="36"/>
      <c r="K898" s="36"/>
      <c r="L898" s="37"/>
      <c r="M898" s="37"/>
      <c r="O898" s="36"/>
    </row>
    <row r="899" spans="2:15">
      <c r="B899" s="59"/>
      <c r="C899" s="12"/>
      <c r="D899" s="49"/>
      <c r="E899" s="57"/>
      <c r="F899" s="32"/>
      <c r="H899" s="36"/>
      <c r="I899" s="36"/>
      <c r="J899" s="36"/>
      <c r="K899" s="36"/>
      <c r="L899" s="37"/>
      <c r="M899" s="37"/>
      <c r="O899" s="36"/>
    </row>
    <row r="900" spans="2:15">
      <c r="B900" s="59"/>
      <c r="C900" s="12"/>
      <c r="D900" s="49"/>
      <c r="E900" s="57"/>
      <c r="F900" s="32"/>
      <c r="H900" s="36"/>
      <c r="I900" s="36"/>
      <c r="J900" s="36"/>
      <c r="K900" s="36"/>
      <c r="L900" s="37"/>
      <c r="M900" s="37"/>
      <c r="O900" s="36"/>
    </row>
    <row r="901" spans="2:15">
      <c r="B901" s="59"/>
      <c r="C901" s="12"/>
      <c r="D901" s="49"/>
      <c r="E901" s="57"/>
      <c r="F901" s="32"/>
      <c r="H901" s="36"/>
      <c r="I901" s="36"/>
      <c r="J901" s="36"/>
      <c r="K901" s="36"/>
      <c r="L901" s="37"/>
      <c r="M901" s="37"/>
      <c r="O901" s="36"/>
    </row>
    <row r="902" spans="2:15">
      <c r="B902" s="59"/>
      <c r="C902" s="12"/>
      <c r="D902" s="49"/>
      <c r="E902" s="57"/>
      <c r="F902" s="32"/>
      <c r="H902" s="36"/>
      <c r="I902" s="36"/>
      <c r="J902" s="36"/>
      <c r="K902" s="36"/>
      <c r="L902" s="37"/>
      <c r="M902" s="37"/>
      <c r="O902" s="36"/>
    </row>
    <row r="903" spans="2:15">
      <c r="B903" s="59"/>
      <c r="C903" s="12"/>
      <c r="D903" s="49"/>
      <c r="E903" s="57"/>
      <c r="F903" s="32"/>
      <c r="H903" s="36"/>
      <c r="I903" s="36"/>
      <c r="J903" s="36"/>
      <c r="K903" s="36"/>
      <c r="L903" s="37"/>
      <c r="M903" s="37"/>
      <c r="O903" s="36"/>
    </row>
    <row r="904" spans="2:15">
      <c r="B904" s="59"/>
      <c r="C904" s="12"/>
      <c r="D904" s="49"/>
      <c r="E904" s="57"/>
      <c r="F904" s="32"/>
      <c r="H904" s="36"/>
      <c r="I904" s="36"/>
      <c r="J904" s="36"/>
      <c r="K904" s="36"/>
      <c r="L904" s="37"/>
      <c r="M904" s="37"/>
      <c r="O904" s="36"/>
    </row>
    <row r="905" spans="2:15">
      <c r="B905" s="59"/>
      <c r="C905" s="12"/>
      <c r="D905" s="49"/>
      <c r="E905" s="57"/>
      <c r="F905" s="32"/>
      <c r="H905" s="36"/>
      <c r="I905" s="36"/>
      <c r="J905" s="36"/>
      <c r="K905" s="36"/>
      <c r="L905" s="37"/>
      <c r="M905" s="37"/>
      <c r="O905" s="36"/>
    </row>
    <row r="906" spans="2:15">
      <c r="B906" s="59"/>
      <c r="C906" s="12"/>
      <c r="D906" s="49"/>
      <c r="E906" s="57"/>
      <c r="F906" s="32"/>
      <c r="H906" s="36"/>
      <c r="I906" s="36"/>
      <c r="J906" s="36"/>
      <c r="K906" s="36"/>
      <c r="L906" s="37"/>
      <c r="M906" s="37"/>
      <c r="O906" s="36"/>
    </row>
    <row r="907" spans="2:15">
      <c r="B907" s="59"/>
      <c r="C907" s="12"/>
      <c r="D907" s="49"/>
      <c r="E907" s="57"/>
      <c r="F907" s="32"/>
      <c r="H907" s="36"/>
      <c r="I907" s="36"/>
      <c r="J907" s="36"/>
      <c r="K907" s="36"/>
      <c r="L907" s="37"/>
      <c r="M907" s="37"/>
      <c r="O907" s="36"/>
    </row>
    <row r="908" spans="2:15">
      <c r="B908" s="59"/>
      <c r="C908" s="12"/>
      <c r="D908" s="49"/>
      <c r="E908" s="57"/>
      <c r="F908" s="32"/>
      <c r="H908" s="36"/>
      <c r="I908" s="36"/>
      <c r="J908" s="36"/>
      <c r="K908" s="36"/>
      <c r="L908" s="37"/>
      <c r="M908" s="37"/>
      <c r="O908" s="36"/>
    </row>
    <row r="909" spans="2:15">
      <c r="B909" s="59"/>
      <c r="C909" s="12"/>
      <c r="D909" s="49"/>
      <c r="E909" s="57"/>
      <c r="F909" s="32"/>
      <c r="H909" s="36"/>
      <c r="I909" s="36"/>
      <c r="J909" s="36"/>
      <c r="K909" s="36"/>
      <c r="L909" s="37"/>
      <c r="M909" s="37"/>
      <c r="O909" s="36"/>
    </row>
    <row r="910" spans="2:15">
      <c r="B910" s="59"/>
      <c r="C910" s="12"/>
      <c r="D910" s="49"/>
      <c r="E910" s="57"/>
      <c r="F910" s="32"/>
      <c r="H910" s="36"/>
      <c r="I910" s="36"/>
      <c r="J910" s="36"/>
      <c r="K910" s="36"/>
      <c r="L910" s="37"/>
      <c r="M910" s="37"/>
      <c r="O910" s="36"/>
    </row>
    <row r="911" spans="2:15">
      <c r="B911" s="59"/>
      <c r="C911" s="12"/>
      <c r="D911" s="49"/>
      <c r="E911" s="57"/>
      <c r="F911" s="32"/>
      <c r="H911" s="36"/>
      <c r="I911" s="36"/>
      <c r="J911" s="36"/>
      <c r="K911" s="36"/>
      <c r="L911" s="37"/>
      <c r="M911" s="37"/>
      <c r="O911" s="36"/>
    </row>
    <row r="912" spans="2:15">
      <c r="B912" s="59"/>
      <c r="C912" s="12"/>
      <c r="D912" s="49"/>
      <c r="E912" s="57"/>
      <c r="F912" s="32"/>
      <c r="H912" s="36"/>
      <c r="I912" s="36"/>
      <c r="J912" s="36"/>
      <c r="K912" s="36"/>
      <c r="L912" s="37"/>
      <c r="M912" s="37"/>
      <c r="O912" s="36"/>
    </row>
    <row r="913" spans="2:15">
      <c r="B913" s="59"/>
      <c r="C913" s="12"/>
      <c r="D913" s="49"/>
      <c r="E913" s="57"/>
      <c r="F913" s="32"/>
      <c r="H913" s="36"/>
      <c r="I913" s="36"/>
      <c r="J913" s="36"/>
      <c r="K913" s="36"/>
      <c r="L913" s="37"/>
      <c r="M913" s="37"/>
      <c r="O913" s="36"/>
    </row>
    <row r="914" spans="2:15">
      <c r="B914" s="59"/>
      <c r="C914" s="12"/>
      <c r="D914" s="49"/>
      <c r="E914" s="57"/>
      <c r="F914" s="32"/>
      <c r="H914" s="36"/>
      <c r="I914" s="36"/>
      <c r="J914" s="36"/>
      <c r="K914" s="36"/>
      <c r="L914" s="37"/>
      <c r="M914" s="37"/>
      <c r="O914" s="36"/>
    </row>
    <row r="915" spans="2:15">
      <c r="B915" s="59"/>
      <c r="C915" s="12"/>
      <c r="D915" s="49"/>
      <c r="E915" s="57"/>
      <c r="F915" s="32"/>
      <c r="H915" s="36"/>
      <c r="I915" s="36"/>
      <c r="J915" s="36"/>
      <c r="K915" s="36"/>
      <c r="L915" s="37"/>
      <c r="M915" s="37"/>
      <c r="O915" s="36"/>
    </row>
    <row r="916" spans="2:15">
      <c r="B916" s="59"/>
      <c r="C916" s="12"/>
      <c r="D916" s="49"/>
      <c r="E916" s="57"/>
      <c r="F916" s="32"/>
      <c r="H916" s="36"/>
      <c r="I916" s="36"/>
      <c r="J916" s="36"/>
      <c r="K916" s="36"/>
      <c r="L916" s="37"/>
      <c r="M916" s="37"/>
      <c r="O916" s="36"/>
    </row>
    <row r="917" spans="2:15">
      <c r="B917" s="59"/>
      <c r="C917" s="12"/>
      <c r="D917" s="49"/>
      <c r="E917" s="57"/>
      <c r="F917" s="32"/>
      <c r="H917" s="36"/>
      <c r="I917" s="36"/>
      <c r="J917" s="36"/>
      <c r="K917" s="36"/>
      <c r="L917" s="37"/>
      <c r="M917" s="37"/>
      <c r="O917" s="36"/>
    </row>
    <row r="918" spans="2:15">
      <c r="B918" s="59"/>
      <c r="C918" s="12"/>
      <c r="D918" s="49"/>
      <c r="E918" s="57"/>
      <c r="F918" s="32"/>
      <c r="H918" s="36"/>
      <c r="I918" s="36"/>
      <c r="J918" s="36"/>
      <c r="K918" s="36"/>
      <c r="L918" s="37"/>
      <c r="M918" s="37"/>
      <c r="O918" s="36"/>
    </row>
    <row r="919" spans="2:15">
      <c r="B919" s="59"/>
      <c r="C919" s="12"/>
      <c r="D919" s="49"/>
      <c r="E919" s="57"/>
      <c r="F919" s="32"/>
      <c r="H919" s="36"/>
      <c r="I919" s="36"/>
      <c r="J919" s="36"/>
      <c r="K919" s="36"/>
      <c r="L919" s="37"/>
      <c r="M919" s="37"/>
      <c r="O919" s="36"/>
    </row>
    <row r="920" spans="2:15">
      <c r="B920" s="59"/>
      <c r="C920" s="12"/>
      <c r="D920" s="49"/>
      <c r="E920" s="57"/>
      <c r="F920" s="32"/>
      <c r="H920" s="36"/>
      <c r="I920" s="36"/>
      <c r="J920" s="36"/>
      <c r="K920" s="36"/>
      <c r="L920" s="37"/>
      <c r="M920" s="37"/>
      <c r="O920" s="36"/>
    </row>
    <row r="921" spans="2:15">
      <c r="B921" s="59"/>
      <c r="C921" s="12"/>
      <c r="D921" s="49"/>
      <c r="E921" s="57"/>
      <c r="F921" s="32"/>
      <c r="H921" s="36"/>
      <c r="I921" s="36"/>
      <c r="J921" s="36"/>
      <c r="K921" s="36"/>
      <c r="L921" s="37"/>
      <c r="M921" s="37"/>
      <c r="O921" s="36"/>
    </row>
    <row r="922" spans="2:15">
      <c r="B922" s="59"/>
      <c r="C922" s="12"/>
      <c r="D922" s="49"/>
      <c r="E922" s="57"/>
      <c r="F922" s="32"/>
      <c r="H922" s="36"/>
      <c r="I922" s="36"/>
      <c r="J922" s="36"/>
      <c r="K922" s="36"/>
      <c r="L922" s="37"/>
      <c r="M922" s="37"/>
      <c r="O922" s="36"/>
    </row>
    <row r="923" spans="2:15">
      <c r="B923" s="59"/>
      <c r="C923" s="12"/>
      <c r="D923" s="49"/>
      <c r="E923" s="57"/>
      <c r="F923" s="32"/>
      <c r="H923" s="36"/>
      <c r="I923" s="36"/>
      <c r="J923" s="36"/>
      <c r="K923" s="36"/>
      <c r="L923" s="37"/>
      <c r="M923" s="37"/>
      <c r="O923" s="36"/>
    </row>
    <row r="924" spans="2:15">
      <c r="B924" s="59"/>
      <c r="C924" s="12"/>
      <c r="D924" s="49"/>
      <c r="E924" s="57"/>
      <c r="F924" s="32"/>
      <c r="H924" s="36"/>
      <c r="I924" s="36"/>
      <c r="J924" s="36"/>
      <c r="K924" s="36"/>
      <c r="L924" s="37"/>
      <c r="M924" s="37"/>
      <c r="O924" s="36"/>
    </row>
    <row r="925" spans="2:15">
      <c r="B925" s="59"/>
      <c r="C925" s="12"/>
      <c r="D925" s="49"/>
      <c r="E925" s="57"/>
      <c r="F925" s="32"/>
      <c r="H925" s="36"/>
      <c r="I925" s="36"/>
      <c r="J925" s="36"/>
      <c r="K925" s="36"/>
      <c r="L925" s="37"/>
      <c r="M925" s="37"/>
      <c r="O925" s="36"/>
    </row>
    <row r="926" spans="2:15">
      <c r="B926" s="59"/>
      <c r="C926" s="12"/>
      <c r="D926" s="49"/>
      <c r="E926" s="57"/>
      <c r="F926" s="32"/>
      <c r="H926" s="36"/>
      <c r="I926" s="36"/>
      <c r="J926" s="36"/>
      <c r="K926" s="36"/>
      <c r="L926" s="37"/>
      <c r="M926" s="37"/>
      <c r="O926" s="36"/>
    </row>
    <row r="927" spans="2:15">
      <c r="B927" s="59"/>
      <c r="C927" s="12"/>
      <c r="D927" s="49"/>
      <c r="E927" s="57"/>
      <c r="F927" s="32"/>
      <c r="H927" s="36"/>
      <c r="I927" s="36"/>
      <c r="J927" s="36"/>
      <c r="K927" s="36"/>
      <c r="L927" s="37"/>
      <c r="M927" s="37"/>
      <c r="O927" s="36"/>
    </row>
    <row r="928" spans="2:15">
      <c r="B928" s="59"/>
      <c r="C928" s="12"/>
      <c r="D928" s="49"/>
      <c r="E928" s="57"/>
      <c r="F928" s="32"/>
      <c r="H928" s="36"/>
      <c r="I928" s="36"/>
      <c r="J928" s="36"/>
      <c r="K928" s="36"/>
      <c r="L928" s="37"/>
      <c r="M928" s="37"/>
      <c r="O928" s="36"/>
    </row>
    <row r="929" spans="2:15">
      <c r="B929" s="59"/>
      <c r="C929" s="12"/>
      <c r="D929" s="49"/>
      <c r="E929" s="57"/>
      <c r="F929" s="32"/>
      <c r="H929" s="36"/>
      <c r="I929" s="36"/>
      <c r="J929" s="36"/>
      <c r="K929" s="36"/>
      <c r="L929" s="37"/>
      <c r="M929" s="37"/>
      <c r="O929" s="36"/>
    </row>
    <row r="930" spans="2:15">
      <c r="B930" s="59"/>
      <c r="C930" s="12"/>
      <c r="D930" s="49"/>
      <c r="E930" s="57"/>
      <c r="F930" s="32"/>
      <c r="H930" s="36"/>
      <c r="I930" s="36"/>
      <c r="J930" s="36"/>
      <c r="K930" s="36"/>
      <c r="L930" s="37"/>
      <c r="M930" s="37"/>
      <c r="O930" s="36"/>
    </row>
    <row r="931" spans="2:15">
      <c r="B931" s="59"/>
      <c r="C931" s="12"/>
      <c r="D931" s="49"/>
      <c r="E931" s="57"/>
      <c r="F931" s="32"/>
      <c r="H931" s="36"/>
      <c r="I931" s="36"/>
      <c r="J931" s="36"/>
      <c r="K931" s="36"/>
      <c r="L931" s="37"/>
      <c r="M931" s="37"/>
      <c r="O931" s="36"/>
    </row>
    <row r="932" spans="2:15">
      <c r="B932" s="59"/>
      <c r="C932" s="12"/>
      <c r="D932" s="49"/>
      <c r="E932" s="57"/>
      <c r="F932" s="32"/>
      <c r="H932" s="36"/>
      <c r="I932" s="36"/>
      <c r="J932" s="36"/>
      <c r="K932" s="36"/>
      <c r="L932" s="37"/>
      <c r="M932" s="37"/>
      <c r="O932" s="36"/>
    </row>
    <row r="933" spans="2:15">
      <c r="B933" s="59"/>
      <c r="C933" s="12"/>
      <c r="D933" s="49"/>
      <c r="E933" s="57"/>
      <c r="F933" s="32"/>
      <c r="H933" s="36"/>
      <c r="I933" s="36"/>
      <c r="J933" s="36"/>
      <c r="K933" s="36"/>
      <c r="L933" s="37"/>
      <c r="M933" s="37"/>
      <c r="O933" s="36"/>
    </row>
    <row r="934" spans="2:15">
      <c r="B934" s="59"/>
      <c r="C934" s="12"/>
      <c r="D934" s="49"/>
      <c r="E934" s="57"/>
      <c r="F934" s="32"/>
      <c r="H934" s="36"/>
      <c r="I934" s="36"/>
      <c r="J934" s="36"/>
      <c r="K934" s="36"/>
      <c r="L934" s="37"/>
      <c r="M934" s="37"/>
      <c r="O934" s="36"/>
    </row>
    <row r="935" spans="2:15">
      <c r="B935" s="59"/>
      <c r="C935" s="12"/>
      <c r="D935" s="49"/>
      <c r="E935" s="57"/>
      <c r="F935" s="32"/>
      <c r="H935" s="36"/>
      <c r="I935" s="36"/>
      <c r="J935" s="36"/>
      <c r="K935" s="36"/>
      <c r="L935" s="37"/>
      <c r="M935" s="37"/>
      <c r="O935" s="36"/>
    </row>
    <row r="936" spans="2:15">
      <c r="B936" s="59"/>
      <c r="C936" s="12"/>
      <c r="D936" s="49"/>
      <c r="E936" s="57"/>
      <c r="F936" s="32"/>
      <c r="H936" s="36"/>
      <c r="I936" s="36"/>
      <c r="J936" s="36"/>
      <c r="K936" s="36"/>
      <c r="L936" s="37"/>
      <c r="M936" s="37"/>
      <c r="O936" s="36"/>
    </row>
    <row r="937" spans="2:15">
      <c r="B937" s="59"/>
      <c r="C937" s="12"/>
      <c r="D937" s="49"/>
      <c r="E937" s="57"/>
      <c r="F937" s="32"/>
      <c r="H937" s="36"/>
      <c r="I937" s="36"/>
      <c r="J937" s="36"/>
      <c r="K937" s="36"/>
      <c r="L937" s="37"/>
      <c r="M937" s="37"/>
      <c r="O937" s="36"/>
    </row>
    <row r="938" spans="2:15">
      <c r="B938" s="59"/>
      <c r="C938" s="12"/>
      <c r="D938" s="49"/>
      <c r="E938" s="57"/>
      <c r="F938" s="32"/>
      <c r="H938" s="36"/>
      <c r="I938" s="36"/>
      <c r="J938" s="36"/>
      <c r="K938" s="36"/>
      <c r="L938" s="37"/>
      <c r="M938" s="37"/>
      <c r="O938" s="36"/>
    </row>
    <row r="939" spans="2:15">
      <c r="B939" s="59"/>
      <c r="C939" s="12"/>
      <c r="D939" s="49"/>
      <c r="E939" s="57"/>
      <c r="F939" s="32"/>
      <c r="H939" s="36"/>
      <c r="I939" s="36"/>
      <c r="J939" s="36"/>
      <c r="K939" s="36"/>
      <c r="L939" s="37"/>
      <c r="M939" s="37"/>
      <c r="O939" s="36"/>
    </row>
    <row r="940" spans="2:15">
      <c r="B940" s="59"/>
      <c r="C940" s="12"/>
      <c r="D940" s="49"/>
      <c r="E940" s="57"/>
      <c r="F940" s="32"/>
      <c r="H940" s="36"/>
      <c r="I940" s="36"/>
      <c r="J940" s="36"/>
      <c r="K940" s="36"/>
      <c r="L940" s="37"/>
      <c r="M940" s="37"/>
      <c r="O940" s="36"/>
    </row>
    <row r="941" spans="2:15">
      <c r="B941" s="59"/>
      <c r="C941" s="12"/>
      <c r="D941" s="49"/>
      <c r="E941" s="57"/>
      <c r="F941" s="32"/>
      <c r="H941" s="36"/>
      <c r="I941" s="36"/>
      <c r="J941" s="36"/>
      <c r="K941" s="36"/>
      <c r="L941" s="37"/>
      <c r="M941" s="37"/>
      <c r="O941" s="36"/>
    </row>
    <row r="942" spans="2:15">
      <c r="B942" s="59"/>
      <c r="C942" s="12"/>
      <c r="D942" s="49"/>
      <c r="E942" s="57"/>
      <c r="F942" s="32"/>
      <c r="H942" s="36"/>
      <c r="I942" s="36"/>
      <c r="J942" s="36"/>
      <c r="K942" s="36"/>
      <c r="L942" s="37"/>
      <c r="M942" s="37"/>
      <c r="O942" s="36"/>
    </row>
    <row r="943" spans="2:15">
      <c r="B943" s="59"/>
      <c r="C943" s="12"/>
      <c r="D943" s="49"/>
      <c r="E943" s="57"/>
      <c r="F943" s="32"/>
      <c r="H943" s="36"/>
      <c r="I943" s="36"/>
      <c r="J943" s="36"/>
      <c r="K943" s="36"/>
      <c r="L943" s="37"/>
      <c r="M943" s="37"/>
      <c r="O943" s="36"/>
    </row>
    <row r="944" spans="2:15">
      <c r="B944" s="59"/>
      <c r="C944" s="12"/>
      <c r="D944" s="49"/>
      <c r="E944" s="57"/>
      <c r="F944" s="32"/>
      <c r="H944" s="36"/>
      <c r="I944" s="36"/>
      <c r="J944" s="36"/>
      <c r="K944" s="36"/>
      <c r="L944" s="37"/>
      <c r="M944" s="37"/>
      <c r="O944" s="36"/>
    </row>
    <row r="945" spans="2:15">
      <c r="B945" s="59"/>
      <c r="C945" s="12"/>
      <c r="D945" s="49"/>
      <c r="E945" s="57"/>
      <c r="F945" s="32"/>
      <c r="H945" s="36"/>
      <c r="I945" s="36"/>
      <c r="J945" s="36"/>
      <c r="K945" s="36"/>
      <c r="L945" s="37"/>
      <c r="M945" s="37"/>
      <c r="O945" s="36"/>
    </row>
    <row r="946" spans="2:15">
      <c r="B946" s="59"/>
      <c r="C946" s="12"/>
      <c r="D946" s="49"/>
      <c r="E946" s="57"/>
      <c r="F946" s="32"/>
      <c r="H946" s="36"/>
      <c r="I946" s="36"/>
      <c r="J946" s="36"/>
      <c r="K946" s="36"/>
      <c r="L946" s="37"/>
      <c r="M946" s="37"/>
      <c r="O946" s="36"/>
    </row>
    <row r="947" spans="2:15">
      <c r="B947" s="59"/>
      <c r="C947" s="12"/>
      <c r="D947" s="49"/>
      <c r="E947" s="57"/>
      <c r="F947" s="32"/>
      <c r="H947" s="36"/>
      <c r="I947" s="36"/>
      <c r="J947" s="36"/>
      <c r="K947" s="36"/>
      <c r="L947" s="37"/>
      <c r="M947" s="37"/>
      <c r="O947" s="36"/>
    </row>
    <row r="948" spans="2:15">
      <c r="B948" s="59"/>
      <c r="C948" s="12"/>
      <c r="D948" s="49"/>
      <c r="E948" s="57"/>
      <c r="F948" s="32"/>
      <c r="H948" s="36"/>
      <c r="I948" s="36"/>
      <c r="J948" s="36"/>
      <c r="K948" s="36"/>
      <c r="L948" s="37"/>
      <c r="M948" s="37"/>
      <c r="O948" s="36"/>
    </row>
    <row r="949" spans="2:15">
      <c r="B949" s="59"/>
      <c r="C949" s="12"/>
      <c r="D949" s="49"/>
      <c r="E949" s="57"/>
      <c r="F949" s="32"/>
      <c r="H949" s="36"/>
      <c r="I949" s="36"/>
      <c r="J949" s="36"/>
      <c r="K949" s="36"/>
      <c r="L949" s="37"/>
      <c r="M949" s="37"/>
      <c r="O949" s="36"/>
    </row>
    <row r="950" spans="2:15">
      <c r="B950" s="59"/>
      <c r="C950" s="12"/>
      <c r="D950" s="49"/>
      <c r="E950" s="57"/>
      <c r="F950" s="32"/>
      <c r="H950" s="36"/>
      <c r="I950" s="36"/>
      <c r="J950" s="36"/>
      <c r="K950" s="36"/>
      <c r="L950" s="37"/>
      <c r="M950" s="37"/>
      <c r="O950" s="36"/>
    </row>
    <row r="951" spans="2:15">
      <c r="B951" s="59"/>
      <c r="C951" s="12"/>
      <c r="D951" s="49"/>
      <c r="E951" s="57"/>
      <c r="F951" s="32"/>
      <c r="H951" s="36"/>
      <c r="I951" s="36"/>
      <c r="J951" s="36"/>
      <c r="K951" s="36"/>
      <c r="L951" s="37"/>
      <c r="M951" s="37"/>
      <c r="O951" s="36"/>
    </row>
    <row r="952" spans="2:15">
      <c r="B952" s="59"/>
      <c r="C952" s="12"/>
      <c r="D952" s="49"/>
      <c r="E952" s="57"/>
      <c r="F952" s="32"/>
      <c r="H952" s="36"/>
      <c r="I952" s="36"/>
      <c r="J952" s="36"/>
      <c r="K952" s="36"/>
      <c r="L952" s="37"/>
      <c r="M952" s="37"/>
      <c r="O952" s="36"/>
    </row>
    <row r="953" spans="2:15">
      <c r="B953" s="59"/>
      <c r="C953" s="12"/>
      <c r="D953" s="49"/>
      <c r="E953" s="57"/>
      <c r="F953" s="32"/>
      <c r="H953" s="36"/>
      <c r="I953" s="36"/>
      <c r="J953" s="36"/>
      <c r="K953" s="36"/>
      <c r="L953" s="37"/>
      <c r="M953" s="37"/>
      <c r="O953" s="36"/>
    </row>
    <row r="954" spans="2:15">
      <c r="B954" s="59"/>
      <c r="C954" s="12"/>
      <c r="D954" s="49"/>
      <c r="E954" s="57"/>
      <c r="F954" s="32"/>
      <c r="H954" s="36"/>
      <c r="I954" s="36"/>
      <c r="J954" s="36"/>
      <c r="K954" s="36"/>
      <c r="L954" s="37"/>
      <c r="M954" s="37"/>
      <c r="O954" s="36"/>
    </row>
    <row r="955" spans="2:15">
      <c r="B955" s="59"/>
      <c r="C955" s="12"/>
      <c r="D955" s="49"/>
      <c r="E955" s="57"/>
      <c r="F955" s="32"/>
      <c r="H955" s="36"/>
      <c r="I955" s="36"/>
      <c r="J955" s="36"/>
      <c r="K955" s="36"/>
      <c r="L955" s="37"/>
      <c r="M955" s="37"/>
      <c r="O955" s="36"/>
    </row>
    <row r="956" spans="2:15">
      <c r="B956" s="59"/>
      <c r="C956" s="12"/>
      <c r="D956" s="49"/>
      <c r="E956" s="57"/>
      <c r="F956" s="32"/>
      <c r="H956" s="36"/>
      <c r="I956" s="36"/>
      <c r="J956" s="36"/>
      <c r="K956" s="36"/>
      <c r="L956" s="37"/>
      <c r="M956" s="37"/>
      <c r="O956" s="36"/>
    </row>
    <row r="957" spans="2:15">
      <c r="B957" s="59"/>
      <c r="C957" s="12"/>
      <c r="D957" s="49"/>
      <c r="E957" s="57"/>
      <c r="F957" s="32"/>
      <c r="H957" s="36"/>
      <c r="I957" s="36"/>
      <c r="J957" s="36"/>
      <c r="K957" s="36"/>
      <c r="L957" s="37"/>
      <c r="M957" s="37"/>
      <c r="O957" s="36"/>
    </row>
    <row r="958" spans="2:15">
      <c r="B958" s="59"/>
      <c r="C958" s="12"/>
      <c r="D958" s="49"/>
      <c r="E958" s="57"/>
      <c r="F958" s="32"/>
      <c r="H958" s="36"/>
      <c r="I958" s="36"/>
      <c r="J958" s="36"/>
      <c r="K958" s="36"/>
      <c r="L958" s="37"/>
      <c r="M958" s="37"/>
      <c r="O958" s="36"/>
    </row>
    <row r="959" spans="2:15">
      <c r="B959" s="59"/>
      <c r="C959" s="12"/>
      <c r="D959" s="49"/>
      <c r="E959" s="57"/>
      <c r="F959" s="32"/>
      <c r="H959" s="36"/>
      <c r="I959" s="36"/>
      <c r="J959" s="36"/>
      <c r="K959" s="36"/>
      <c r="L959" s="37"/>
      <c r="M959" s="37"/>
      <c r="O959" s="36"/>
    </row>
    <row r="960" spans="2:15">
      <c r="B960" s="59"/>
      <c r="C960" s="12"/>
      <c r="D960" s="49"/>
      <c r="E960" s="57"/>
      <c r="F960" s="32"/>
      <c r="H960" s="36"/>
      <c r="I960" s="36"/>
      <c r="J960" s="36"/>
      <c r="K960" s="36"/>
      <c r="L960" s="37"/>
      <c r="M960" s="37"/>
      <c r="O960" s="36"/>
    </row>
    <row r="961" spans="2:15">
      <c r="B961" s="59"/>
      <c r="C961" s="12"/>
      <c r="D961" s="49"/>
      <c r="E961" s="57"/>
      <c r="F961" s="32"/>
      <c r="H961" s="36"/>
      <c r="I961" s="36"/>
      <c r="J961" s="36"/>
      <c r="K961" s="36"/>
      <c r="L961" s="37"/>
      <c r="M961" s="37"/>
      <c r="O961" s="36"/>
    </row>
    <row r="962" spans="2:15">
      <c r="B962" s="59"/>
      <c r="C962" s="12"/>
      <c r="D962" s="49"/>
      <c r="E962" s="57"/>
      <c r="F962" s="32"/>
      <c r="H962" s="36"/>
      <c r="I962" s="36"/>
      <c r="J962" s="36"/>
      <c r="K962" s="36"/>
      <c r="L962" s="37"/>
      <c r="M962" s="37"/>
      <c r="O962" s="36"/>
    </row>
    <row r="963" spans="2:15">
      <c r="B963" s="59"/>
      <c r="C963" s="12"/>
      <c r="D963" s="49"/>
      <c r="E963" s="57"/>
      <c r="F963" s="32"/>
      <c r="H963" s="36"/>
      <c r="I963" s="36"/>
      <c r="J963" s="36"/>
      <c r="K963" s="36"/>
      <c r="L963" s="37"/>
      <c r="M963" s="37"/>
      <c r="O963" s="36"/>
    </row>
    <row r="964" spans="2:15">
      <c r="B964" s="59"/>
      <c r="C964" s="12"/>
      <c r="D964" s="49"/>
      <c r="E964" s="57"/>
      <c r="F964" s="32"/>
      <c r="H964" s="36"/>
      <c r="I964" s="36"/>
      <c r="J964" s="36"/>
      <c r="K964" s="36"/>
      <c r="L964" s="37"/>
      <c r="M964" s="37"/>
      <c r="O964" s="36"/>
    </row>
    <row r="965" spans="2:15">
      <c r="B965" s="59"/>
      <c r="C965" s="12"/>
      <c r="D965" s="49"/>
      <c r="E965" s="57"/>
      <c r="F965" s="32"/>
      <c r="H965" s="36"/>
      <c r="I965" s="36"/>
      <c r="J965" s="36"/>
      <c r="K965" s="36"/>
      <c r="L965" s="37"/>
      <c r="M965" s="37"/>
      <c r="O965" s="36"/>
    </row>
    <row r="966" spans="2:15">
      <c r="B966" s="59"/>
      <c r="C966" s="12"/>
      <c r="D966" s="49"/>
      <c r="E966" s="57"/>
      <c r="F966" s="32"/>
      <c r="H966" s="36"/>
      <c r="I966" s="36"/>
      <c r="J966" s="36"/>
      <c r="K966" s="36"/>
      <c r="L966" s="37"/>
      <c r="M966" s="37"/>
      <c r="O966" s="36"/>
    </row>
    <row r="967" spans="2:15">
      <c r="B967" s="59"/>
      <c r="C967" s="12"/>
      <c r="D967" s="49"/>
      <c r="E967" s="57"/>
      <c r="F967" s="32"/>
      <c r="H967" s="36"/>
      <c r="I967" s="36"/>
      <c r="J967" s="36"/>
      <c r="K967" s="36"/>
      <c r="L967" s="37"/>
      <c r="M967" s="37"/>
      <c r="O967" s="36"/>
    </row>
    <row r="968" spans="2:15">
      <c r="B968" s="59"/>
      <c r="C968" s="12"/>
      <c r="D968" s="49"/>
      <c r="E968" s="57"/>
      <c r="F968" s="32"/>
      <c r="H968" s="36"/>
      <c r="I968" s="36"/>
      <c r="J968" s="36"/>
      <c r="K968" s="36"/>
      <c r="L968" s="37"/>
      <c r="M968" s="37"/>
      <c r="O968" s="36"/>
    </row>
    <row r="969" spans="2:15">
      <c r="B969" s="59"/>
      <c r="C969" s="12"/>
      <c r="D969" s="49"/>
      <c r="E969" s="57"/>
      <c r="F969" s="32"/>
      <c r="H969" s="36"/>
      <c r="I969" s="36"/>
      <c r="J969" s="36"/>
      <c r="K969" s="36"/>
      <c r="L969" s="37"/>
      <c r="M969" s="37"/>
      <c r="O969" s="36"/>
    </row>
    <row r="970" spans="2:15">
      <c r="B970" s="59"/>
      <c r="C970" s="12"/>
      <c r="D970" s="49"/>
      <c r="E970" s="57"/>
      <c r="F970" s="32"/>
      <c r="H970" s="36"/>
      <c r="I970" s="36"/>
      <c r="J970" s="36"/>
      <c r="K970" s="36"/>
      <c r="L970" s="37"/>
      <c r="M970" s="37"/>
      <c r="O970" s="36"/>
    </row>
    <row r="971" spans="2:15">
      <c r="B971" s="59"/>
      <c r="C971" s="12"/>
      <c r="D971" s="49"/>
      <c r="E971" s="57"/>
      <c r="F971" s="32"/>
      <c r="H971" s="36"/>
      <c r="I971" s="36"/>
      <c r="J971" s="36"/>
      <c r="K971" s="36"/>
      <c r="L971" s="37"/>
      <c r="M971" s="37"/>
      <c r="O971" s="36"/>
    </row>
    <row r="972" spans="2:15">
      <c r="B972" s="59"/>
      <c r="C972" s="12"/>
      <c r="D972" s="49"/>
      <c r="E972" s="57"/>
      <c r="F972" s="32"/>
      <c r="H972" s="36"/>
      <c r="I972" s="36"/>
      <c r="J972" s="36"/>
      <c r="K972" s="36"/>
      <c r="L972" s="37"/>
      <c r="M972" s="37"/>
      <c r="O972" s="36"/>
    </row>
    <row r="973" spans="2:15">
      <c r="B973" s="59"/>
      <c r="C973" s="12"/>
      <c r="D973" s="49"/>
      <c r="E973" s="57"/>
      <c r="F973" s="32"/>
      <c r="H973" s="36"/>
      <c r="I973" s="36"/>
      <c r="J973" s="36"/>
      <c r="K973" s="36"/>
      <c r="L973" s="37"/>
      <c r="M973" s="37"/>
      <c r="O973" s="36"/>
    </row>
    <row r="974" spans="2:15">
      <c r="B974" s="59"/>
      <c r="C974" s="12"/>
      <c r="D974" s="49"/>
      <c r="E974" s="57"/>
      <c r="F974" s="32"/>
      <c r="H974" s="36"/>
      <c r="I974" s="36"/>
      <c r="J974" s="36"/>
      <c r="K974" s="36"/>
      <c r="L974" s="37"/>
      <c r="M974" s="37"/>
      <c r="O974" s="36"/>
    </row>
    <row r="975" spans="2:15">
      <c r="B975" s="59"/>
      <c r="C975" s="12"/>
      <c r="D975" s="49"/>
      <c r="E975" s="57"/>
      <c r="F975" s="32"/>
      <c r="H975" s="36"/>
      <c r="I975" s="36"/>
      <c r="J975" s="36"/>
      <c r="K975" s="36"/>
      <c r="L975" s="37"/>
      <c r="M975" s="37"/>
      <c r="O975" s="36"/>
    </row>
    <row r="976" spans="2:15">
      <c r="B976" s="59"/>
      <c r="C976" s="12"/>
      <c r="D976" s="49"/>
      <c r="E976" s="57"/>
      <c r="F976" s="32"/>
      <c r="H976" s="36"/>
      <c r="I976" s="36"/>
      <c r="J976" s="36"/>
      <c r="K976" s="36"/>
      <c r="L976" s="37"/>
      <c r="M976" s="37"/>
      <c r="O976" s="36"/>
    </row>
    <row r="977" spans="2:15">
      <c r="B977" s="59"/>
      <c r="C977" s="12"/>
      <c r="D977" s="49"/>
      <c r="E977" s="57"/>
      <c r="F977" s="32"/>
      <c r="H977" s="36"/>
      <c r="I977" s="36"/>
      <c r="J977" s="36"/>
      <c r="K977" s="36"/>
      <c r="L977" s="37"/>
      <c r="M977" s="37"/>
      <c r="O977" s="36"/>
    </row>
    <row r="978" spans="2:15">
      <c r="B978" s="59"/>
      <c r="C978" s="12"/>
      <c r="D978" s="49"/>
      <c r="E978" s="57"/>
      <c r="F978" s="32"/>
      <c r="H978" s="36"/>
      <c r="I978" s="36"/>
      <c r="J978" s="36"/>
      <c r="K978" s="36"/>
      <c r="L978" s="37"/>
      <c r="M978" s="37"/>
      <c r="O978" s="36"/>
    </row>
    <row r="979" spans="2:15">
      <c r="B979" s="59"/>
      <c r="C979" s="12"/>
      <c r="D979" s="49"/>
      <c r="E979" s="57"/>
      <c r="F979" s="32"/>
      <c r="H979" s="36"/>
      <c r="I979" s="36"/>
      <c r="J979" s="36"/>
      <c r="K979" s="36"/>
      <c r="L979" s="37"/>
      <c r="M979" s="37"/>
      <c r="O979" s="36"/>
    </row>
    <row r="980" spans="2:15">
      <c r="B980" s="59"/>
      <c r="C980" s="12"/>
      <c r="D980" s="49"/>
      <c r="E980" s="57"/>
      <c r="F980" s="32"/>
      <c r="H980" s="36"/>
      <c r="I980" s="36"/>
      <c r="J980" s="36"/>
      <c r="K980" s="36"/>
      <c r="L980" s="37"/>
      <c r="M980" s="37"/>
      <c r="O980" s="36"/>
    </row>
    <row r="981" spans="2:15">
      <c r="B981" s="59"/>
      <c r="C981" s="12"/>
      <c r="D981" s="49"/>
      <c r="E981" s="57"/>
      <c r="F981" s="32"/>
      <c r="H981" s="36"/>
      <c r="I981" s="36"/>
      <c r="J981" s="36"/>
      <c r="K981" s="36"/>
      <c r="L981" s="37"/>
      <c r="M981" s="37"/>
      <c r="O981" s="36"/>
    </row>
    <row r="982" spans="2:15">
      <c r="B982" s="59"/>
      <c r="C982" s="12"/>
      <c r="D982" s="49"/>
      <c r="E982" s="57"/>
      <c r="F982" s="32"/>
      <c r="H982" s="36"/>
      <c r="I982" s="36"/>
      <c r="J982" s="36"/>
      <c r="K982" s="36"/>
      <c r="L982" s="37"/>
      <c r="M982" s="37"/>
      <c r="O982" s="36"/>
    </row>
    <row r="983" spans="2:15">
      <c r="B983" s="59"/>
      <c r="C983" s="12"/>
      <c r="D983" s="49"/>
      <c r="E983" s="57"/>
      <c r="F983" s="32"/>
      <c r="H983" s="36"/>
      <c r="I983" s="36"/>
      <c r="J983" s="36"/>
      <c r="K983" s="36"/>
      <c r="L983" s="37"/>
      <c r="M983" s="37"/>
      <c r="O983" s="36"/>
    </row>
    <row r="984" spans="2:15">
      <c r="B984" s="59"/>
      <c r="C984" s="12"/>
      <c r="D984" s="49"/>
      <c r="E984" s="57"/>
      <c r="F984" s="32"/>
      <c r="H984" s="36"/>
      <c r="I984" s="36"/>
      <c r="J984" s="36"/>
      <c r="K984" s="36"/>
      <c r="L984" s="37"/>
      <c r="M984" s="37"/>
      <c r="O984" s="36"/>
    </row>
    <row r="985" spans="2:15">
      <c r="B985" s="59"/>
      <c r="C985" s="12"/>
      <c r="D985" s="49"/>
      <c r="E985" s="57"/>
      <c r="F985" s="32"/>
      <c r="H985" s="36"/>
      <c r="I985" s="36"/>
      <c r="J985" s="36"/>
      <c r="K985" s="36"/>
      <c r="L985" s="37"/>
      <c r="M985" s="37"/>
      <c r="O985" s="36"/>
    </row>
    <row r="986" spans="2:15">
      <c r="B986" s="59"/>
      <c r="C986" s="12"/>
      <c r="D986" s="49"/>
      <c r="E986" s="57"/>
      <c r="F986" s="32"/>
      <c r="H986" s="36"/>
      <c r="I986" s="36"/>
      <c r="J986" s="36"/>
      <c r="K986" s="36"/>
      <c r="L986" s="37"/>
      <c r="M986" s="37"/>
      <c r="O986" s="36"/>
    </row>
    <row r="987" spans="2:15">
      <c r="B987" s="59"/>
      <c r="C987" s="12"/>
      <c r="D987" s="49"/>
      <c r="E987" s="57"/>
      <c r="F987" s="32"/>
      <c r="H987" s="36"/>
      <c r="I987" s="36"/>
      <c r="J987" s="36"/>
      <c r="K987" s="36"/>
      <c r="L987" s="37"/>
      <c r="M987" s="37"/>
      <c r="O987" s="36"/>
    </row>
    <row r="988" spans="2:15">
      <c r="B988" s="59"/>
      <c r="C988" s="12"/>
      <c r="D988" s="49"/>
      <c r="E988" s="57"/>
      <c r="F988" s="32"/>
      <c r="H988" s="36"/>
      <c r="I988" s="36"/>
      <c r="J988" s="36"/>
      <c r="K988" s="36"/>
      <c r="L988" s="37"/>
      <c r="M988" s="37"/>
      <c r="O988" s="36"/>
    </row>
    <row r="989" spans="2:15">
      <c r="B989" s="59"/>
      <c r="C989" s="12"/>
      <c r="D989" s="49"/>
      <c r="E989" s="57"/>
      <c r="F989" s="32"/>
      <c r="H989" s="36"/>
      <c r="I989" s="36"/>
      <c r="J989" s="36"/>
      <c r="K989" s="36"/>
      <c r="L989" s="37"/>
      <c r="M989" s="37"/>
      <c r="O989" s="36"/>
    </row>
    <row r="990" spans="2:15">
      <c r="B990" s="59"/>
      <c r="C990" s="12"/>
      <c r="D990" s="49"/>
      <c r="E990" s="57"/>
      <c r="F990" s="32"/>
      <c r="H990" s="36"/>
      <c r="I990" s="36"/>
      <c r="J990" s="36"/>
      <c r="K990" s="36"/>
      <c r="L990" s="37"/>
      <c r="M990" s="37"/>
      <c r="O990" s="36"/>
    </row>
    <row r="991" spans="2:15">
      <c r="B991" s="59"/>
      <c r="C991" s="12"/>
      <c r="D991" s="49"/>
      <c r="E991" s="57"/>
      <c r="F991" s="32"/>
      <c r="H991" s="36"/>
      <c r="I991" s="36"/>
      <c r="J991" s="36"/>
      <c r="K991" s="36"/>
      <c r="L991" s="37"/>
      <c r="M991" s="37"/>
      <c r="O991" s="36"/>
    </row>
    <row r="992" spans="2:15">
      <c r="B992" s="59"/>
      <c r="C992" s="12"/>
      <c r="D992" s="49"/>
      <c r="E992" s="57"/>
      <c r="F992" s="32"/>
      <c r="H992" s="36"/>
      <c r="I992" s="36"/>
      <c r="J992" s="36"/>
      <c r="K992" s="36"/>
      <c r="L992" s="37"/>
      <c r="M992" s="37"/>
      <c r="O992" s="36"/>
    </row>
    <row r="993" spans="2:15">
      <c r="B993" s="59"/>
      <c r="C993" s="12"/>
      <c r="D993" s="49"/>
      <c r="E993" s="57"/>
      <c r="F993" s="32"/>
      <c r="H993" s="36"/>
      <c r="I993" s="36"/>
      <c r="J993" s="36"/>
      <c r="K993" s="36"/>
      <c r="L993" s="37"/>
      <c r="M993" s="37"/>
      <c r="O993" s="36"/>
    </row>
    <row r="994" spans="2:15">
      <c r="B994" s="59"/>
      <c r="C994" s="12"/>
      <c r="D994" s="49"/>
      <c r="E994" s="57"/>
      <c r="F994" s="32"/>
      <c r="H994" s="36"/>
      <c r="I994" s="36"/>
      <c r="J994" s="36"/>
      <c r="K994" s="36"/>
      <c r="L994" s="37"/>
      <c r="M994" s="37"/>
      <c r="O994" s="36"/>
    </row>
    <row r="995" spans="2:15">
      <c r="B995" s="59"/>
      <c r="C995" s="12"/>
      <c r="D995" s="49"/>
      <c r="E995" s="57"/>
      <c r="F995" s="32"/>
      <c r="H995" s="36"/>
      <c r="I995" s="36"/>
      <c r="J995" s="36"/>
      <c r="K995" s="36"/>
      <c r="L995" s="37"/>
      <c r="M995" s="37"/>
      <c r="O995" s="36"/>
    </row>
    <row r="996" spans="2:15">
      <c r="B996" s="59"/>
      <c r="C996" s="12"/>
      <c r="D996" s="49"/>
      <c r="E996" s="57"/>
      <c r="F996" s="32"/>
      <c r="H996" s="36"/>
      <c r="I996" s="36"/>
      <c r="J996" s="36"/>
      <c r="K996" s="36"/>
      <c r="L996" s="37"/>
      <c r="M996" s="37"/>
      <c r="O996" s="36"/>
    </row>
    <row r="997" spans="2:15">
      <c r="B997" s="59"/>
      <c r="C997" s="12"/>
      <c r="D997" s="49"/>
      <c r="E997" s="57"/>
      <c r="F997" s="32"/>
      <c r="H997" s="36"/>
      <c r="I997" s="36"/>
      <c r="J997" s="36"/>
      <c r="K997" s="36"/>
      <c r="L997" s="37"/>
      <c r="M997" s="37"/>
      <c r="O997" s="36"/>
    </row>
    <row r="998" spans="2:15">
      <c r="B998" s="59"/>
      <c r="C998" s="12"/>
      <c r="D998" s="49"/>
      <c r="E998" s="57"/>
      <c r="F998" s="32"/>
      <c r="H998" s="36"/>
      <c r="I998" s="36"/>
      <c r="J998" s="36"/>
      <c r="K998" s="36"/>
      <c r="L998" s="37"/>
      <c r="M998" s="37"/>
      <c r="O998" s="36"/>
    </row>
    <row r="999" spans="2:15">
      <c r="B999" s="59"/>
      <c r="C999" s="12"/>
      <c r="D999" s="49"/>
      <c r="E999" s="57"/>
      <c r="F999" s="32"/>
      <c r="H999" s="36"/>
      <c r="I999" s="36"/>
      <c r="J999" s="36"/>
      <c r="K999" s="36"/>
      <c r="L999" s="37"/>
      <c r="M999" s="37"/>
      <c r="O999" s="36"/>
    </row>
    <row r="1000" spans="2:15">
      <c r="B1000" s="59"/>
      <c r="C1000" s="12"/>
      <c r="D1000" s="49"/>
      <c r="E1000" s="57"/>
      <c r="F1000" s="32"/>
      <c r="H1000" s="36"/>
      <c r="I1000" s="36"/>
      <c r="J1000" s="36"/>
      <c r="K1000" s="36"/>
      <c r="L1000" s="37"/>
      <c r="M1000" s="37"/>
      <c r="O1000" s="36"/>
    </row>
    <row r="1001" spans="2:15">
      <c r="B1001" s="59"/>
      <c r="C1001" s="12"/>
      <c r="D1001" s="49"/>
      <c r="E1001" s="57"/>
      <c r="F1001" s="32"/>
      <c r="H1001" s="36"/>
      <c r="I1001" s="36"/>
      <c r="J1001" s="36"/>
      <c r="K1001" s="36"/>
      <c r="L1001" s="37"/>
      <c r="M1001" s="37"/>
      <c r="O1001" s="36"/>
    </row>
    <row r="1002" spans="2:15">
      <c r="B1002" s="59"/>
      <c r="C1002" s="12"/>
      <c r="D1002" s="49"/>
      <c r="E1002" s="57"/>
      <c r="F1002" s="32"/>
      <c r="H1002" s="36"/>
      <c r="I1002" s="36"/>
      <c r="J1002" s="36"/>
      <c r="K1002" s="36"/>
      <c r="L1002" s="37"/>
      <c r="M1002" s="37"/>
      <c r="O1002" s="36"/>
    </row>
    <row r="1003" spans="2:15">
      <c r="B1003" s="59"/>
      <c r="C1003" s="12"/>
      <c r="D1003" s="49"/>
      <c r="E1003" s="57"/>
      <c r="F1003" s="32"/>
      <c r="H1003" s="36"/>
      <c r="I1003" s="36"/>
      <c r="J1003" s="36"/>
      <c r="K1003" s="36"/>
      <c r="L1003" s="37"/>
      <c r="M1003" s="37"/>
      <c r="O1003" s="36"/>
    </row>
    <row r="1004" spans="2:15">
      <c r="B1004" s="59"/>
      <c r="C1004" s="12"/>
      <c r="D1004" s="49"/>
      <c r="E1004" s="57"/>
      <c r="F1004" s="32"/>
      <c r="H1004" s="36"/>
      <c r="I1004" s="36"/>
      <c r="J1004" s="36"/>
      <c r="K1004" s="36"/>
      <c r="L1004" s="37"/>
      <c r="M1004" s="37"/>
      <c r="O1004" s="36"/>
    </row>
    <row r="1005" spans="2:15">
      <c r="B1005" s="59"/>
      <c r="C1005" s="12"/>
      <c r="D1005" s="49"/>
      <c r="E1005" s="57"/>
      <c r="F1005" s="32"/>
      <c r="H1005" s="36"/>
      <c r="I1005" s="36"/>
      <c r="J1005" s="36"/>
      <c r="K1005" s="36"/>
      <c r="L1005" s="37"/>
      <c r="M1005" s="37"/>
      <c r="O1005" s="36"/>
    </row>
    <row r="1006" spans="2:15">
      <c r="B1006" s="59"/>
      <c r="C1006" s="12"/>
      <c r="D1006" s="49"/>
      <c r="E1006" s="57"/>
      <c r="F1006" s="32"/>
      <c r="H1006" s="36"/>
      <c r="I1006" s="36"/>
      <c r="J1006" s="36"/>
      <c r="K1006" s="36"/>
      <c r="L1006" s="37"/>
      <c r="M1006" s="37"/>
      <c r="O1006" s="36"/>
    </row>
    <row r="1007" spans="2:15">
      <c r="B1007" s="59"/>
      <c r="C1007" s="12"/>
      <c r="D1007" s="49"/>
      <c r="E1007" s="57"/>
      <c r="F1007" s="32"/>
      <c r="H1007" s="36"/>
      <c r="I1007" s="36"/>
      <c r="J1007" s="36"/>
      <c r="K1007" s="36"/>
      <c r="L1007" s="37"/>
      <c r="M1007" s="37"/>
      <c r="O1007" s="36"/>
    </row>
    <row r="1008" spans="2:15">
      <c r="B1008" s="59"/>
      <c r="C1008" s="12"/>
      <c r="D1008" s="49"/>
      <c r="E1008" s="57"/>
      <c r="F1008" s="32"/>
      <c r="H1008" s="36"/>
      <c r="I1008" s="36"/>
      <c r="J1008" s="36"/>
      <c r="K1008" s="36"/>
      <c r="L1008" s="37"/>
      <c r="M1008" s="37"/>
      <c r="O1008" s="36"/>
    </row>
    <row r="1009" spans="2:15">
      <c r="B1009" s="59"/>
      <c r="C1009" s="12"/>
      <c r="D1009" s="49"/>
      <c r="E1009" s="57"/>
      <c r="F1009" s="32"/>
      <c r="H1009" s="36"/>
      <c r="I1009" s="36"/>
      <c r="J1009" s="36"/>
      <c r="K1009" s="36"/>
      <c r="L1009" s="37"/>
      <c r="M1009" s="37"/>
      <c r="O1009" s="36"/>
    </row>
    <row r="1010" spans="2:15">
      <c r="B1010" s="59"/>
      <c r="C1010" s="12"/>
      <c r="D1010" s="49"/>
      <c r="E1010" s="57"/>
      <c r="F1010" s="32"/>
      <c r="H1010" s="36"/>
      <c r="I1010" s="36"/>
      <c r="J1010" s="36"/>
      <c r="K1010" s="36"/>
      <c r="L1010" s="37"/>
      <c r="M1010" s="37"/>
      <c r="O1010" s="36"/>
    </row>
    <row r="1011" spans="2:15">
      <c r="B1011" s="59"/>
      <c r="C1011" s="12"/>
      <c r="D1011" s="49"/>
      <c r="E1011" s="57"/>
      <c r="F1011" s="32"/>
      <c r="H1011" s="36"/>
      <c r="I1011" s="36"/>
      <c r="J1011" s="36"/>
      <c r="K1011" s="36"/>
      <c r="L1011" s="37"/>
      <c r="M1011" s="37"/>
      <c r="O1011" s="36"/>
    </row>
    <row r="1012" spans="2:15">
      <c r="B1012" s="59"/>
      <c r="C1012" s="12"/>
      <c r="D1012" s="49"/>
      <c r="E1012" s="57"/>
      <c r="F1012" s="32"/>
      <c r="H1012" s="36"/>
      <c r="I1012" s="36"/>
      <c r="J1012" s="36"/>
      <c r="K1012" s="36"/>
      <c r="L1012" s="37"/>
      <c r="M1012" s="37"/>
      <c r="O1012" s="36"/>
    </row>
    <row r="1013" spans="2:15">
      <c r="B1013" s="59"/>
      <c r="C1013" s="12"/>
      <c r="D1013" s="49"/>
      <c r="E1013" s="57"/>
      <c r="F1013" s="32"/>
      <c r="H1013" s="36"/>
      <c r="I1013" s="36"/>
      <c r="J1013" s="36"/>
      <c r="K1013" s="36"/>
      <c r="L1013" s="37"/>
      <c r="M1013" s="37"/>
      <c r="O1013" s="36"/>
    </row>
    <row r="1014" spans="2:15">
      <c r="B1014" s="59"/>
      <c r="C1014" s="12"/>
      <c r="D1014" s="49"/>
      <c r="E1014" s="57"/>
      <c r="F1014" s="32"/>
      <c r="H1014" s="36"/>
      <c r="I1014" s="36"/>
      <c r="J1014" s="36"/>
      <c r="K1014" s="36"/>
      <c r="L1014" s="37"/>
      <c r="M1014" s="37"/>
      <c r="O1014" s="36"/>
    </row>
    <row r="1015" spans="2:15">
      <c r="B1015" s="59"/>
      <c r="C1015" s="12"/>
      <c r="D1015" s="49"/>
      <c r="E1015" s="57"/>
      <c r="F1015" s="32"/>
      <c r="H1015" s="36"/>
      <c r="I1015" s="36"/>
      <c r="J1015" s="36"/>
      <c r="K1015" s="36"/>
      <c r="L1015" s="37"/>
      <c r="M1015" s="37"/>
      <c r="O1015" s="36"/>
    </row>
    <row r="1016" spans="2:15">
      <c r="B1016" s="59"/>
      <c r="C1016" s="12"/>
      <c r="D1016" s="49"/>
      <c r="E1016" s="57"/>
      <c r="F1016" s="32"/>
      <c r="H1016" s="36"/>
      <c r="I1016" s="36"/>
      <c r="J1016" s="36"/>
      <c r="K1016" s="36"/>
      <c r="L1016" s="37"/>
      <c r="M1016" s="37"/>
      <c r="O1016" s="36"/>
    </row>
    <row r="1017" spans="2:15">
      <c r="B1017" s="59"/>
      <c r="C1017" s="12"/>
      <c r="D1017" s="49"/>
      <c r="E1017" s="57"/>
      <c r="F1017" s="32"/>
      <c r="H1017" s="36"/>
      <c r="I1017" s="36"/>
      <c r="J1017" s="36"/>
      <c r="K1017" s="36"/>
      <c r="L1017" s="37"/>
      <c r="M1017" s="37"/>
      <c r="O1017" s="36"/>
    </row>
    <row r="1018" spans="2:15">
      <c r="B1018" s="59"/>
      <c r="C1018" s="12"/>
      <c r="D1018" s="49"/>
      <c r="E1018" s="57"/>
      <c r="F1018" s="32"/>
      <c r="H1018" s="36"/>
      <c r="I1018" s="36"/>
      <c r="J1018" s="36"/>
      <c r="K1018" s="36"/>
      <c r="L1018" s="37"/>
      <c r="M1018" s="37"/>
      <c r="O1018" s="36"/>
    </row>
    <row r="1019" spans="2:15">
      <c r="B1019" s="59"/>
      <c r="C1019" s="12"/>
      <c r="D1019" s="49"/>
      <c r="E1019" s="57"/>
      <c r="F1019" s="32"/>
      <c r="H1019" s="36"/>
      <c r="I1019" s="36"/>
      <c r="J1019" s="36"/>
      <c r="K1019" s="36"/>
      <c r="L1019" s="37"/>
      <c r="M1019" s="37"/>
      <c r="O1019" s="36"/>
    </row>
    <row r="1020" spans="2:15">
      <c r="B1020" s="59"/>
      <c r="C1020" s="12"/>
      <c r="D1020" s="49"/>
      <c r="E1020" s="57"/>
      <c r="F1020" s="32"/>
      <c r="H1020" s="36"/>
      <c r="I1020" s="36"/>
      <c r="J1020" s="36"/>
      <c r="K1020" s="36"/>
      <c r="L1020" s="37"/>
      <c r="M1020" s="37"/>
      <c r="O1020" s="36"/>
    </row>
    <row r="1021" spans="2:15">
      <c r="B1021" s="59"/>
      <c r="C1021" s="12"/>
      <c r="D1021" s="49"/>
      <c r="E1021" s="57"/>
      <c r="F1021" s="32"/>
      <c r="H1021" s="36"/>
      <c r="I1021" s="36"/>
      <c r="J1021" s="36"/>
      <c r="K1021" s="36"/>
      <c r="L1021" s="37"/>
      <c r="M1021" s="37"/>
      <c r="O1021" s="36"/>
    </row>
    <row r="1022" spans="2:15">
      <c r="B1022" s="59"/>
      <c r="C1022" s="12"/>
      <c r="D1022" s="49"/>
      <c r="E1022" s="57"/>
      <c r="F1022" s="32"/>
      <c r="H1022" s="36"/>
      <c r="I1022" s="36"/>
      <c r="J1022" s="36"/>
      <c r="K1022" s="36"/>
      <c r="L1022" s="37"/>
      <c r="M1022" s="37"/>
      <c r="O1022" s="36"/>
    </row>
    <row r="1023" spans="2:15">
      <c r="B1023" s="59"/>
      <c r="C1023" s="12"/>
      <c r="D1023" s="49"/>
      <c r="E1023" s="57"/>
      <c r="F1023" s="32"/>
      <c r="H1023" s="36"/>
      <c r="I1023" s="36"/>
      <c r="J1023" s="36"/>
      <c r="K1023" s="36"/>
      <c r="L1023" s="37"/>
      <c r="M1023" s="37"/>
      <c r="O1023" s="36"/>
    </row>
    <row r="1024" spans="2:15">
      <c r="B1024" s="59"/>
      <c r="C1024" s="12"/>
      <c r="D1024" s="49"/>
      <c r="E1024" s="57"/>
      <c r="F1024" s="32"/>
      <c r="H1024" s="36"/>
      <c r="I1024" s="36"/>
      <c r="J1024" s="36"/>
      <c r="K1024" s="36"/>
      <c r="L1024" s="37"/>
      <c r="M1024" s="37"/>
      <c r="O1024" s="36"/>
    </row>
    <row r="1025" spans="2:15">
      <c r="B1025" s="59"/>
      <c r="C1025" s="12"/>
      <c r="D1025" s="49"/>
      <c r="E1025" s="57"/>
      <c r="F1025" s="32"/>
      <c r="H1025" s="36"/>
      <c r="I1025" s="36"/>
      <c r="J1025" s="36"/>
      <c r="K1025" s="36"/>
      <c r="L1025" s="37"/>
      <c r="M1025" s="37"/>
      <c r="O1025" s="36"/>
    </row>
    <row r="1026" spans="2:15">
      <c r="B1026" s="59"/>
      <c r="C1026" s="12"/>
      <c r="D1026" s="49"/>
      <c r="E1026" s="57"/>
      <c r="F1026" s="32"/>
      <c r="H1026" s="36"/>
      <c r="I1026" s="36"/>
      <c r="J1026" s="36"/>
      <c r="K1026" s="36"/>
      <c r="L1026" s="37"/>
      <c r="M1026" s="37"/>
      <c r="O1026" s="36"/>
    </row>
    <row r="1027" spans="2:15">
      <c r="B1027" s="59"/>
      <c r="C1027" s="12"/>
      <c r="D1027" s="49"/>
      <c r="E1027" s="57"/>
      <c r="F1027" s="32"/>
      <c r="H1027" s="36"/>
      <c r="I1027" s="36"/>
      <c r="J1027" s="36"/>
      <c r="K1027" s="36"/>
      <c r="L1027" s="37"/>
      <c r="M1027" s="37"/>
      <c r="O1027" s="36"/>
    </row>
    <row r="1028" spans="2:15">
      <c r="B1028" s="59"/>
      <c r="C1028" s="12"/>
      <c r="D1028" s="49"/>
      <c r="E1028" s="57"/>
      <c r="F1028" s="32"/>
      <c r="H1028" s="36"/>
      <c r="I1028" s="36"/>
      <c r="J1028" s="36"/>
      <c r="K1028" s="36"/>
      <c r="L1028" s="37"/>
      <c r="M1028" s="37"/>
      <c r="O1028" s="36"/>
    </row>
    <row r="1029" spans="2:15">
      <c r="B1029" s="59"/>
      <c r="C1029" s="12"/>
      <c r="D1029" s="49"/>
      <c r="E1029" s="57"/>
      <c r="F1029" s="32"/>
      <c r="H1029" s="36"/>
      <c r="I1029" s="36"/>
      <c r="J1029" s="36"/>
      <c r="K1029" s="36"/>
      <c r="L1029" s="37"/>
      <c r="M1029" s="37"/>
      <c r="O1029" s="36"/>
    </row>
    <row r="1030" spans="2:15">
      <c r="B1030" s="59"/>
      <c r="C1030" s="12"/>
      <c r="D1030" s="49"/>
      <c r="E1030" s="57"/>
      <c r="F1030" s="32"/>
      <c r="H1030" s="36"/>
      <c r="I1030" s="36"/>
      <c r="J1030" s="36"/>
      <c r="K1030" s="36"/>
      <c r="L1030" s="37"/>
      <c r="M1030" s="37"/>
      <c r="O1030" s="36"/>
    </row>
    <row r="1031" spans="2:15">
      <c r="B1031" s="59"/>
      <c r="C1031" s="12"/>
      <c r="D1031" s="49"/>
      <c r="E1031" s="57"/>
      <c r="F1031" s="32"/>
      <c r="H1031" s="36"/>
      <c r="I1031" s="36"/>
      <c r="J1031" s="36"/>
      <c r="K1031" s="36"/>
      <c r="L1031" s="37"/>
      <c r="M1031" s="37"/>
      <c r="O1031" s="36"/>
    </row>
    <row r="1032" spans="2:15">
      <c r="B1032" s="59"/>
      <c r="C1032" s="12"/>
      <c r="D1032" s="49"/>
      <c r="E1032" s="57"/>
      <c r="F1032" s="32"/>
      <c r="H1032" s="36"/>
      <c r="I1032" s="36"/>
      <c r="J1032" s="36"/>
      <c r="K1032" s="36"/>
      <c r="L1032" s="37"/>
      <c r="M1032" s="37"/>
      <c r="O1032" s="36"/>
    </row>
    <row r="1033" spans="2:15">
      <c r="B1033" s="59"/>
      <c r="C1033" s="12"/>
      <c r="D1033" s="49"/>
      <c r="E1033" s="57"/>
      <c r="F1033" s="32"/>
      <c r="H1033" s="36"/>
      <c r="I1033" s="36"/>
      <c r="J1033" s="36"/>
      <c r="K1033" s="36"/>
      <c r="L1033" s="37"/>
      <c r="M1033" s="37"/>
      <c r="O1033" s="36"/>
    </row>
    <row r="1034" spans="2:15">
      <c r="B1034" s="59"/>
      <c r="C1034" s="12"/>
      <c r="D1034" s="49"/>
      <c r="E1034" s="57"/>
      <c r="F1034" s="32"/>
      <c r="H1034" s="36"/>
      <c r="I1034" s="36"/>
      <c r="J1034" s="36"/>
      <c r="K1034" s="36"/>
      <c r="L1034" s="37"/>
      <c r="M1034" s="37"/>
      <c r="O1034" s="36"/>
    </row>
    <row r="1035" spans="2:15">
      <c r="B1035" s="59"/>
      <c r="C1035" s="12"/>
      <c r="D1035" s="49"/>
      <c r="E1035" s="57"/>
      <c r="F1035" s="32"/>
      <c r="H1035" s="36"/>
      <c r="I1035" s="36"/>
      <c r="J1035" s="36"/>
      <c r="K1035" s="36"/>
      <c r="L1035" s="37"/>
      <c r="M1035" s="37"/>
      <c r="O1035" s="36"/>
    </row>
    <row r="1036" spans="2:15">
      <c r="B1036" s="59"/>
      <c r="C1036" s="12"/>
      <c r="D1036" s="49"/>
      <c r="E1036" s="57"/>
      <c r="F1036" s="32"/>
      <c r="H1036" s="36"/>
      <c r="I1036" s="36"/>
      <c r="J1036" s="36"/>
      <c r="K1036" s="36"/>
      <c r="L1036" s="37"/>
      <c r="M1036" s="37"/>
      <c r="O1036" s="36"/>
    </row>
    <row r="1037" spans="2:15">
      <c r="B1037" s="59"/>
      <c r="C1037" s="12"/>
      <c r="D1037" s="49"/>
      <c r="E1037" s="57"/>
      <c r="F1037" s="32"/>
      <c r="H1037" s="36"/>
      <c r="I1037" s="36"/>
      <c r="J1037" s="36"/>
      <c r="K1037" s="36"/>
      <c r="L1037" s="37"/>
      <c r="M1037" s="37"/>
      <c r="O1037" s="36"/>
    </row>
    <row r="1038" spans="2:15">
      <c r="B1038" s="59"/>
      <c r="C1038" s="12"/>
      <c r="D1038" s="49"/>
      <c r="E1038" s="57"/>
      <c r="F1038" s="32"/>
      <c r="H1038" s="36"/>
      <c r="I1038" s="36"/>
      <c r="J1038" s="36"/>
      <c r="K1038" s="36"/>
      <c r="L1038" s="37"/>
      <c r="M1038" s="37"/>
      <c r="O1038" s="36"/>
    </row>
    <row r="1039" spans="2:15">
      <c r="B1039" s="59"/>
      <c r="C1039" s="12"/>
      <c r="D1039" s="49"/>
      <c r="E1039" s="57"/>
      <c r="F1039" s="32"/>
      <c r="H1039" s="36"/>
      <c r="I1039" s="36"/>
      <c r="J1039" s="36"/>
      <c r="K1039" s="36"/>
      <c r="L1039" s="37"/>
      <c r="M1039" s="37"/>
      <c r="O1039" s="36"/>
    </row>
    <row r="1040" spans="2:15">
      <c r="B1040" s="59"/>
      <c r="C1040" s="12"/>
      <c r="D1040" s="49"/>
      <c r="E1040" s="57"/>
      <c r="F1040" s="32"/>
      <c r="H1040" s="36"/>
      <c r="I1040" s="36"/>
      <c r="J1040" s="36"/>
      <c r="K1040" s="36"/>
      <c r="L1040" s="37"/>
      <c r="M1040" s="37"/>
      <c r="O1040" s="36"/>
    </row>
    <row r="1041" spans="2:15">
      <c r="B1041" s="59"/>
      <c r="C1041" s="12"/>
      <c r="D1041" s="49"/>
      <c r="E1041" s="57"/>
      <c r="F1041" s="32"/>
      <c r="H1041" s="36"/>
      <c r="I1041" s="36"/>
      <c r="J1041" s="36"/>
      <c r="K1041" s="36"/>
      <c r="L1041" s="37"/>
      <c r="M1041" s="37"/>
      <c r="O1041" s="36"/>
    </row>
    <row r="1042" spans="2:15">
      <c r="B1042" s="59"/>
      <c r="C1042" s="12"/>
      <c r="D1042" s="49"/>
      <c r="E1042" s="57"/>
      <c r="F1042" s="32"/>
      <c r="H1042" s="36"/>
      <c r="I1042" s="36"/>
      <c r="J1042" s="36"/>
      <c r="K1042" s="36"/>
      <c r="L1042" s="37"/>
      <c r="M1042" s="37"/>
      <c r="O1042" s="36"/>
    </row>
    <row r="1043" spans="2:15">
      <c r="B1043" s="59"/>
      <c r="C1043" s="12"/>
      <c r="D1043" s="49"/>
      <c r="E1043" s="57"/>
      <c r="F1043" s="32"/>
      <c r="H1043" s="36"/>
      <c r="I1043" s="36"/>
      <c r="J1043" s="36"/>
      <c r="K1043" s="36"/>
      <c r="L1043" s="37"/>
      <c r="M1043" s="37"/>
      <c r="O1043" s="36"/>
    </row>
    <row r="1044" spans="2:15">
      <c r="B1044" s="59"/>
      <c r="C1044" s="12"/>
      <c r="D1044" s="49"/>
      <c r="E1044" s="57"/>
      <c r="F1044" s="32"/>
      <c r="H1044" s="36"/>
      <c r="I1044" s="36"/>
      <c r="J1044" s="36"/>
      <c r="K1044" s="36"/>
      <c r="L1044" s="37"/>
      <c r="M1044" s="37"/>
      <c r="O1044" s="36"/>
    </row>
    <row r="1045" spans="2:15">
      <c r="B1045" s="59"/>
      <c r="C1045" s="12"/>
      <c r="D1045" s="49"/>
      <c r="E1045" s="57"/>
      <c r="F1045" s="32"/>
      <c r="H1045" s="36"/>
      <c r="I1045" s="36"/>
      <c r="J1045" s="36"/>
      <c r="K1045" s="36"/>
      <c r="L1045" s="37"/>
      <c r="M1045" s="37"/>
      <c r="O1045" s="36"/>
    </row>
    <row r="1046" spans="2:15">
      <c r="B1046" s="59"/>
      <c r="C1046" s="12"/>
      <c r="D1046" s="49"/>
      <c r="E1046" s="57"/>
      <c r="F1046" s="32"/>
      <c r="H1046" s="36"/>
      <c r="I1046" s="36"/>
      <c r="J1046" s="36"/>
      <c r="K1046" s="36"/>
      <c r="L1046" s="37"/>
      <c r="M1046" s="37"/>
      <c r="O1046" s="36"/>
    </row>
    <row r="1047" spans="2:15">
      <c r="B1047" s="59"/>
      <c r="C1047" s="12"/>
      <c r="D1047" s="49"/>
      <c r="E1047" s="57"/>
      <c r="F1047" s="32"/>
      <c r="H1047" s="36"/>
      <c r="I1047" s="36"/>
      <c r="J1047" s="36"/>
      <c r="K1047" s="36"/>
      <c r="L1047" s="37"/>
      <c r="M1047" s="37"/>
      <c r="O1047" s="36"/>
    </row>
    <row r="1048" spans="2:15">
      <c r="B1048" s="59"/>
      <c r="C1048" s="12"/>
      <c r="D1048" s="49"/>
      <c r="E1048" s="57"/>
      <c r="F1048" s="32"/>
      <c r="H1048" s="36"/>
      <c r="I1048" s="36"/>
      <c r="J1048" s="36"/>
      <c r="K1048" s="36"/>
      <c r="L1048" s="37"/>
      <c r="M1048" s="37"/>
      <c r="O1048" s="36"/>
    </row>
    <row r="1049" spans="2:15">
      <c r="B1049" s="59"/>
      <c r="C1049" s="12"/>
      <c r="D1049" s="49"/>
      <c r="E1049" s="57"/>
      <c r="F1049" s="32"/>
      <c r="H1049" s="36"/>
      <c r="I1049" s="36"/>
      <c r="J1049" s="36"/>
      <c r="K1049" s="36"/>
      <c r="L1049" s="37"/>
      <c r="M1049" s="37"/>
      <c r="O1049" s="36"/>
    </row>
    <row r="1050" spans="2:15">
      <c r="B1050" s="59"/>
      <c r="C1050" s="12"/>
      <c r="D1050" s="49"/>
      <c r="E1050" s="57"/>
      <c r="F1050" s="32"/>
      <c r="H1050" s="36"/>
      <c r="I1050" s="36"/>
      <c r="J1050" s="36"/>
      <c r="K1050" s="36"/>
      <c r="L1050" s="37"/>
      <c r="M1050" s="37"/>
      <c r="O1050" s="36"/>
    </row>
    <row r="1051" spans="2:15">
      <c r="B1051" s="59"/>
      <c r="C1051" s="12"/>
      <c r="D1051" s="49"/>
      <c r="E1051" s="57"/>
      <c r="F1051" s="32"/>
      <c r="H1051" s="36"/>
      <c r="I1051" s="36"/>
      <c r="J1051" s="36"/>
      <c r="K1051" s="36"/>
      <c r="L1051" s="37"/>
      <c r="M1051" s="37"/>
      <c r="O1051" s="36"/>
    </row>
    <row r="1052" spans="2:15">
      <c r="B1052" s="59"/>
      <c r="C1052" s="12"/>
      <c r="D1052" s="49"/>
      <c r="E1052" s="57"/>
      <c r="F1052" s="32"/>
      <c r="H1052" s="36"/>
      <c r="I1052" s="36"/>
      <c r="J1052" s="36"/>
      <c r="K1052" s="36"/>
      <c r="L1052" s="37"/>
      <c r="M1052" s="37"/>
      <c r="O1052" s="36"/>
    </row>
    <row r="1053" spans="2:15">
      <c r="B1053" s="59"/>
      <c r="C1053" s="12"/>
      <c r="D1053" s="49"/>
      <c r="E1053" s="57"/>
      <c r="F1053" s="32"/>
      <c r="H1053" s="36"/>
      <c r="I1053" s="36"/>
      <c r="J1053" s="36"/>
      <c r="K1053" s="36"/>
      <c r="L1053" s="37"/>
      <c r="M1053" s="37"/>
      <c r="O1053" s="36"/>
    </row>
    <row r="1054" spans="2:15">
      <c r="B1054" s="59"/>
      <c r="C1054" s="12"/>
      <c r="D1054" s="49"/>
      <c r="E1054" s="57"/>
      <c r="F1054" s="32"/>
      <c r="H1054" s="36"/>
      <c r="I1054" s="36"/>
      <c r="J1054" s="36"/>
      <c r="K1054" s="36"/>
      <c r="L1054" s="37"/>
      <c r="M1054" s="37"/>
      <c r="O1054" s="36"/>
    </row>
    <row r="1055" spans="2:15">
      <c r="B1055" s="59"/>
      <c r="C1055" s="12"/>
      <c r="D1055" s="49"/>
      <c r="E1055" s="57"/>
      <c r="F1055" s="32"/>
      <c r="H1055" s="36"/>
      <c r="I1055" s="36"/>
      <c r="J1055" s="36"/>
      <c r="K1055" s="36"/>
      <c r="L1055" s="37"/>
      <c r="M1055" s="37"/>
      <c r="O1055" s="36"/>
    </row>
    <row r="1056" spans="2:15">
      <c r="B1056" s="59"/>
      <c r="C1056" s="12"/>
      <c r="D1056" s="49"/>
      <c r="E1056" s="57"/>
      <c r="F1056" s="32"/>
      <c r="H1056" s="36"/>
      <c r="I1056" s="36"/>
      <c r="J1056" s="36"/>
      <c r="K1056" s="36"/>
      <c r="L1056" s="37"/>
      <c r="M1056" s="37"/>
      <c r="O1056" s="36"/>
    </row>
    <row r="1057" spans="2:15">
      <c r="B1057" s="59"/>
      <c r="C1057" s="12"/>
      <c r="D1057" s="49"/>
      <c r="E1057" s="57"/>
      <c r="F1057" s="32"/>
      <c r="H1057" s="36"/>
      <c r="I1057" s="36"/>
      <c r="J1057" s="36"/>
      <c r="K1057" s="36"/>
      <c r="L1057" s="37"/>
      <c r="M1057" s="37"/>
      <c r="O1057" s="36"/>
    </row>
    <row r="1058" spans="2:15">
      <c r="B1058" s="59"/>
      <c r="C1058" s="12"/>
      <c r="D1058" s="49"/>
      <c r="E1058" s="57"/>
      <c r="F1058" s="32"/>
      <c r="H1058" s="36"/>
      <c r="I1058" s="36"/>
      <c r="J1058" s="36"/>
      <c r="K1058" s="36"/>
      <c r="L1058" s="37"/>
      <c r="M1058" s="37"/>
      <c r="O1058" s="36"/>
    </row>
    <row r="1059" spans="2:15">
      <c r="B1059" s="59"/>
      <c r="C1059" s="12"/>
      <c r="D1059" s="49"/>
      <c r="E1059" s="57"/>
      <c r="F1059" s="32"/>
      <c r="H1059" s="36"/>
      <c r="I1059" s="36"/>
      <c r="J1059" s="36"/>
      <c r="K1059" s="36"/>
      <c r="L1059" s="37"/>
      <c r="M1059" s="37"/>
      <c r="O1059" s="36"/>
    </row>
    <row r="1060" spans="2:15">
      <c r="B1060" s="59"/>
      <c r="C1060" s="12"/>
      <c r="D1060" s="49"/>
      <c r="E1060" s="57"/>
      <c r="F1060" s="32"/>
      <c r="H1060" s="36"/>
      <c r="I1060" s="36"/>
      <c r="J1060" s="36"/>
      <c r="K1060" s="36"/>
      <c r="L1060" s="37"/>
      <c r="M1060" s="37"/>
      <c r="O1060" s="36"/>
    </row>
    <row r="1061" spans="2:15">
      <c r="B1061" s="59"/>
      <c r="C1061" s="12"/>
      <c r="D1061" s="49"/>
      <c r="E1061" s="57"/>
      <c r="F1061" s="32"/>
      <c r="H1061" s="36"/>
      <c r="I1061" s="36"/>
      <c r="J1061" s="36"/>
      <c r="K1061" s="36"/>
      <c r="L1061" s="37"/>
      <c r="M1061" s="37"/>
      <c r="O1061" s="36"/>
    </row>
    <row r="1062" spans="2:15">
      <c r="B1062" s="59"/>
      <c r="C1062" s="12"/>
      <c r="D1062" s="49"/>
      <c r="E1062" s="57"/>
      <c r="F1062" s="32"/>
      <c r="H1062" s="36"/>
      <c r="I1062" s="36"/>
      <c r="J1062" s="36"/>
      <c r="K1062" s="36"/>
      <c r="L1062" s="37"/>
      <c r="M1062" s="37"/>
      <c r="O1062" s="36"/>
    </row>
    <row r="1063" spans="2:15">
      <c r="B1063" s="59"/>
      <c r="C1063" s="12"/>
      <c r="D1063" s="49"/>
      <c r="E1063" s="57"/>
      <c r="F1063" s="32"/>
      <c r="H1063" s="36"/>
      <c r="I1063" s="36"/>
      <c r="J1063" s="36"/>
      <c r="K1063" s="36"/>
      <c r="L1063" s="37"/>
      <c r="M1063" s="37"/>
      <c r="O1063" s="36"/>
    </row>
    <row r="1064" spans="2:15">
      <c r="B1064" s="59"/>
      <c r="C1064" s="12"/>
      <c r="D1064" s="49"/>
      <c r="E1064" s="57"/>
      <c r="F1064" s="32"/>
      <c r="H1064" s="36"/>
      <c r="I1064" s="36"/>
      <c r="J1064" s="36"/>
      <c r="K1064" s="36"/>
      <c r="L1064" s="37"/>
      <c r="M1064" s="37"/>
      <c r="O1064" s="36"/>
    </row>
    <row r="1065" spans="2:15">
      <c r="B1065" s="59"/>
      <c r="C1065" s="12"/>
      <c r="D1065" s="49"/>
      <c r="E1065" s="57"/>
      <c r="F1065" s="32"/>
      <c r="H1065" s="36"/>
      <c r="I1065" s="36"/>
      <c r="J1065" s="36"/>
      <c r="K1065" s="36"/>
      <c r="L1065" s="37"/>
      <c r="M1065" s="37"/>
      <c r="O1065" s="36"/>
    </row>
    <row r="1066" spans="2:15">
      <c r="B1066" s="59"/>
      <c r="C1066" s="12"/>
      <c r="D1066" s="49"/>
      <c r="E1066" s="57"/>
      <c r="F1066" s="32"/>
      <c r="H1066" s="36"/>
      <c r="I1066" s="36"/>
      <c r="J1066" s="36"/>
      <c r="K1066" s="36"/>
      <c r="L1066" s="37"/>
      <c r="M1066" s="37"/>
      <c r="O1066" s="36"/>
    </row>
    <row r="1067" spans="2:15">
      <c r="B1067" s="59"/>
      <c r="C1067" s="12"/>
      <c r="D1067" s="49"/>
      <c r="E1067" s="57"/>
      <c r="F1067" s="32"/>
      <c r="H1067" s="36"/>
      <c r="I1067" s="36"/>
      <c r="J1067" s="36"/>
      <c r="K1067" s="36"/>
      <c r="L1067" s="37"/>
      <c r="M1067" s="37"/>
      <c r="O1067" s="36"/>
    </row>
    <row r="1068" spans="2:15">
      <c r="B1068" s="59"/>
      <c r="C1068" s="12"/>
      <c r="D1068" s="49"/>
      <c r="E1068" s="57"/>
      <c r="F1068" s="32"/>
      <c r="H1068" s="36"/>
      <c r="I1068" s="36"/>
      <c r="J1068" s="36"/>
      <c r="K1068" s="36"/>
      <c r="L1068" s="37"/>
      <c r="M1068" s="37"/>
      <c r="O1068" s="36"/>
    </row>
    <row r="1069" spans="2:15">
      <c r="B1069" s="59"/>
      <c r="C1069" s="12"/>
      <c r="D1069" s="49"/>
      <c r="E1069" s="57"/>
      <c r="F1069" s="32"/>
      <c r="H1069" s="36"/>
      <c r="I1069" s="36"/>
      <c r="J1069" s="36"/>
      <c r="K1069" s="36"/>
      <c r="L1069" s="37"/>
      <c r="M1069" s="37"/>
      <c r="O1069" s="36"/>
    </row>
    <row r="1070" spans="2:15">
      <c r="B1070" s="59"/>
      <c r="C1070" s="12"/>
      <c r="D1070" s="49"/>
      <c r="E1070" s="57"/>
      <c r="F1070" s="32"/>
      <c r="H1070" s="36"/>
      <c r="I1070" s="36"/>
      <c r="J1070" s="36"/>
      <c r="K1070" s="36"/>
      <c r="L1070" s="37"/>
      <c r="M1070" s="37"/>
      <c r="O1070" s="36"/>
    </row>
    <row r="1071" spans="2:15">
      <c r="B1071" s="59"/>
      <c r="C1071" s="12"/>
      <c r="D1071" s="49"/>
      <c r="E1071" s="57"/>
      <c r="F1071" s="32"/>
      <c r="H1071" s="36"/>
      <c r="I1071" s="36"/>
      <c r="J1071" s="36"/>
      <c r="K1071" s="36"/>
      <c r="L1071" s="37"/>
      <c r="M1071" s="37"/>
      <c r="O1071" s="36"/>
    </row>
    <row r="1072" spans="2:15">
      <c r="B1072" s="59"/>
      <c r="C1072" s="12"/>
      <c r="D1072" s="49"/>
      <c r="E1072" s="57"/>
      <c r="F1072" s="32"/>
      <c r="H1072" s="36"/>
      <c r="I1072" s="36"/>
      <c r="J1072" s="36"/>
      <c r="K1072" s="36"/>
      <c r="L1072" s="37"/>
      <c r="M1072" s="37"/>
      <c r="O1072" s="36"/>
    </row>
    <row r="1073" spans="2:15">
      <c r="B1073" s="59"/>
      <c r="C1073" s="12"/>
      <c r="D1073" s="49"/>
      <c r="E1073" s="57"/>
      <c r="F1073" s="32"/>
      <c r="H1073" s="36"/>
      <c r="I1073" s="36"/>
      <c r="J1073" s="36"/>
      <c r="K1073" s="36"/>
      <c r="L1073" s="37"/>
      <c r="M1073" s="37"/>
      <c r="O1073" s="36"/>
    </row>
    <row r="1074" spans="2:15">
      <c r="B1074" s="59"/>
      <c r="C1074" s="12"/>
      <c r="D1074" s="49"/>
      <c r="E1074" s="57"/>
      <c r="F1074" s="32"/>
      <c r="H1074" s="36"/>
      <c r="I1074" s="36"/>
      <c r="J1074" s="36"/>
      <c r="K1074" s="36"/>
      <c r="L1074" s="37"/>
      <c r="M1074" s="37"/>
      <c r="O1074" s="36"/>
    </row>
    <row r="1075" spans="2:15">
      <c r="B1075" s="59"/>
      <c r="C1075" s="12"/>
      <c r="D1075" s="49"/>
      <c r="E1075" s="57"/>
      <c r="F1075" s="32"/>
      <c r="H1075" s="36"/>
      <c r="I1075" s="36"/>
      <c r="J1075" s="36"/>
      <c r="K1075" s="36"/>
      <c r="L1075" s="37"/>
      <c r="M1075" s="37"/>
      <c r="O1075" s="36"/>
    </row>
    <row r="1076" spans="2:15">
      <c r="B1076" s="59"/>
      <c r="C1076" s="12"/>
      <c r="D1076" s="49"/>
      <c r="E1076" s="57"/>
      <c r="F1076" s="32"/>
      <c r="H1076" s="36"/>
      <c r="I1076" s="36"/>
      <c r="J1076" s="36"/>
      <c r="K1076" s="36"/>
      <c r="L1076" s="37"/>
      <c r="M1076" s="37"/>
      <c r="O1076" s="36"/>
    </row>
    <row r="1077" spans="2:15">
      <c r="B1077" s="59"/>
      <c r="C1077" s="12"/>
      <c r="D1077" s="49"/>
      <c r="E1077" s="57"/>
      <c r="F1077" s="32"/>
      <c r="H1077" s="36"/>
      <c r="I1077" s="36"/>
      <c r="J1077" s="36"/>
      <c r="K1077" s="36"/>
      <c r="L1077" s="37"/>
      <c r="M1077" s="37"/>
      <c r="O1077" s="36"/>
    </row>
    <row r="1078" spans="2:15">
      <c r="B1078" s="59"/>
      <c r="C1078" s="12"/>
      <c r="D1078" s="49"/>
      <c r="E1078" s="57"/>
      <c r="F1078" s="32"/>
      <c r="H1078" s="36"/>
      <c r="I1078" s="36"/>
      <c r="J1078" s="36"/>
      <c r="K1078" s="36"/>
      <c r="L1078" s="37"/>
      <c r="M1078" s="37"/>
      <c r="O1078" s="36"/>
    </row>
    <row r="1079" spans="2:15">
      <c r="B1079" s="59"/>
      <c r="C1079" s="12"/>
      <c r="D1079" s="49"/>
      <c r="E1079" s="57"/>
      <c r="F1079" s="32"/>
      <c r="H1079" s="36"/>
      <c r="I1079" s="36"/>
      <c r="J1079" s="36"/>
      <c r="K1079" s="36"/>
      <c r="L1079" s="37"/>
      <c r="M1079" s="37"/>
      <c r="O1079" s="36"/>
    </row>
    <row r="1080" spans="2:15">
      <c r="B1080" s="59"/>
      <c r="C1080" s="12"/>
      <c r="D1080" s="49"/>
      <c r="E1080" s="57"/>
      <c r="F1080" s="32"/>
      <c r="H1080" s="36"/>
      <c r="I1080" s="36"/>
      <c r="J1080" s="36"/>
      <c r="K1080" s="36"/>
      <c r="L1080" s="37"/>
      <c r="M1080" s="37"/>
      <c r="O1080" s="36"/>
    </row>
    <row r="1081" spans="2:15">
      <c r="B1081" s="59"/>
      <c r="C1081" s="12"/>
      <c r="D1081" s="49"/>
      <c r="E1081" s="57"/>
      <c r="F1081" s="32"/>
      <c r="H1081" s="36"/>
      <c r="I1081" s="36"/>
      <c r="J1081" s="36"/>
      <c r="K1081" s="36"/>
      <c r="L1081" s="37"/>
      <c r="M1081" s="37"/>
      <c r="O1081" s="36"/>
    </row>
    <row r="1082" spans="2:15">
      <c r="B1082" s="59"/>
      <c r="C1082" s="12"/>
      <c r="D1082" s="49"/>
      <c r="E1082" s="57"/>
      <c r="F1082" s="32"/>
      <c r="H1082" s="36"/>
      <c r="I1082" s="36"/>
      <c r="J1082" s="36"/>
      <c r="K1082" s="36"/>
      <c r="L1082" s="37"/>
      <c r="M1082" s="37"/>
      <c r="O1082" s="36"/>
    </row>
    <row r="1083" spans="2:15">
      <c r="B1083" s="59"/>
      <c r="C1083" s="12"/>
      <c r="D1083" s="49"/>
      <c r="E1083" s="57"/>
      <c r="F1083" s="32"/>
      <c r="H1083" s="36"/>
      <c r="I1083" s="36"/>
      <c r="J1083" s="36"/>
      <c r="K1083" s="36"/>
      <c r="L1083" s="37"/>
      <c r="M1083" s="37"/>
      <c r="O1083" s="36"/>
    </row>
    <row r="1084" spans="2:15">
      <c r="B1084" s="59"/>
      <c r="C1084" s="12"/>
      <c r="D1084" s="49"/>
      <c r="E1084" s="57"/>
      <c r="F1084" s="32"/>
      <c r="H1084" s="36"/>
      <c r="I1084" s="36"/>
      <c r="J1084" s="36"/>
      <c r="K1084" s="36"/>
      <c r="L1084" s="37"/>
      <c r="M1084" s="37"/>
      <c r="O1084" s="36"/>
    </row>
    <row r="1085" spans="2:15">
      <c r="B1085" s="59"/>
      <c r="C1085" s="12"/>
      <c r="D1085" s="49"/>
      <c r="E1085" s="57"/>
      <c r="F1085" s="32"/>
      <c r="H1085" s="36"/>
      <c r="I1085" s="36"/>
      <c r="J1085" s="36"/>
      <c r="K1085" s="36"/>
      <c r="L1085" s="37"/>
      <c r="M1085" s="37"/>
      <c r="O1085" s="36"/>
    </row>
    <row r="1086" spans="2:15">
      <c r="B1086" s="59"/>
      <c r="C1086" s="12"/>
      <c r="D1086" s="49"/>
      <c r="E1086" s="57"/>
      <c r="F1086" s="32"/>
      <c r="H1086" s="36"/>
      <c r="I1086" s="36"/>
      <c r="J1086" s="36"/>
      <c r="K1086" s="36"/>
      <c r="L1086" s="37"/>
      <c r="M1086" s="37"/>
      <c r="O1086" s="36"/>
    </row>
    <row r="1087" spans="2:15">
      <c r="B1087" s="59"/>
      <c r="C1087" s="12"/>
      <c r="D1087" s="49"/>
      <c r="E1087" s="57"/>
      <c r="F1087" s="32"/>
      <c r="H1087" s="36"/>
      <c r="I1087" s="36"/>
      <c r="J1087" s="36"/>
      <c r="K1087" s="36"/>
      <c r="L1087" s="37"/>
      <c r="M1087" s="37"/>
      <c r="O1087" s="36"/>
    </row>
    <row r="1088" spans="2:15">
      <c r="B1088" s="59"/>
      <c r="C1088" s="12"/>
      <c r="D1088" s="49"/>
      <c r="E1088" s="57"/>
      <c r="F1088" s="32"/>
      <c r="H1088" s="36"/>
      <c r="I1088" s="36"/>
      <c r="J1088" s="36"/>
      <c r="K1088" s="36"/>
      <c r="L1088" s="37"/>
      <c r="M1088" s="37"/>
      <c r="O1088" s="36"/>
    </row>
    <row r="1089" spans="2:15">
      <c r="B1089" s="59"/>
      <c r="C1089" s="12"/>
      <c r="D1089" s="49"/>
      <c r="E1089" s="57"/>
      <c r="F1089" s="32"/>
      <c r="H1089" s="36"/>
      <c r="I1089" s="36"/>
      <c r="J1089" s="36"/>
      <c r="K1089" s="36"/>
      <c r="L1089" s="37"/>
      <c r="M1089" s="37"/>
      <c r="O1089" s="36"/>
    </row>
    <row r="1090" spans="2:15">
      <c r="B1090" s="59"/>
      <c r="C1090" s="12"/>
      <c r="D1090" s="49"/>
      <c r="E1090" s="57"/>
      <c r="F1090" s="32"/>
      <c r="H1090" s="36"/>
      <c r="I1090" s="36"/>
      <c r="J1090" s="36"/>
      <c r="K1090" s="36"/>
      <c r="L1090" s="37"/>
      <c r="M1090" s="37"/>
      <c r="O1090" s="36"/>
    </row>
    <row r="1091" spans="2:15">
      <c r="B1091" s="59"/>
      <c r="C1091" s="12"/>
      <c r="D1091" s="49"/>
      <c r="E1091" s="57"/>
      <c r="F1091" s="32"/>
      <c r="H1091" s="36"/>
      <c r="I1091" s="36"/>
      <c r="J1091" s="36"/>
      <c r="K1091" s="36"/>
      <c r="L1091" s="37"/>
      <c r="M1091" s="37"/>
      <c r="O1091" s="36"/>
    </row>
    <row r="1092" spans="2:15">
      <c r="B1092" s="59"/>
      <c r="C1092" s="12"/>
      <c r="D1092" s="49"/>
      <c r="E1092" s="57"/>
      <c r="F1092" s="32"/>
      <c r="H1092" s="36"/>
      <c r="I1092" s="36"/>
      <c r="J1092" s="36"/>
      <c r="K1092" s="36"/>
      <c r="L1092" s="37"/>
      <c r="M1092" s="37"/>
      <c r="O1092" s="36"/>
    </row>
    <row r="1093" spans="2:15">
      <c r="B1093" s="59"/>
      <c r="C1093" s="12"/>
      <c r="D1093" s="49"/>
      <c r="E1093" s="57"/>
      <c r="F1093" s="32"/>
      <c r="H1093" s="36"/>
      <c r="I1093" s="36"/>
      <c r="J1093" s="36"/>
      <c r="K1093" s="36"/>
      <c r="L1093" s="37"/>
      <c r="M1093" s="37"/>
      <c r="O1093" s="36"/>
    </row>
    <row r="1094" spans="2:15">
      <c r="B1094" s="59"/>
      <c r="C1094" s="12"/>
      <c r="D1094" s="49"/>
      <c r="E1094" s="57"/>
      <c r="F1094" s="32"/>
      <c r="H1094" s="36"/>
      <c r="I1094" s="36"/>
      <c r="J1094" s="36"/>
      <c r="K1094" s="36"/>
      <c r="L1094" s="37"/>
      <c r="M1094" s="37"/>
      <c r="O1094" s="36"/>
    </row>
    <row r="1095" spans="2:15">
      <c r="B1095" s="59"/>
      <c r="C1095" s="12"/>
      <c r="D1095" s="49"/>
      <c r="E1095" s="57"/>
      <c r="F1095" s="32"/>
      <c r="H1095" s="36"/>
      <c r="I1095" s="36"/>
      <c r="J1095" s="36"/>
      <c r="K1095" s="36"/>
      <c r="L1095" s="37"/>
      <c r="M1095" s="37"/>
      <c r="O1095" s="36"/>
    </row>
    <row r="1096" spans="2:15">
      <c r="B1096" s="59"/>
      <c r="C1096" s="12"/>
      <c r="D1096" s="49"/>
      <c r="E1096" s="57"/>
      <c r="F1096" s="32"/>
      <c r="H1096" s="36"/>
      <c r="I1096" s="36"/>
      <c r="J1096" s="36"/>
      <c r="K1096" s="36"/>
      <c r="L1096" s="37"/>
      <c r="M1096" s="37"/>
      <c r="O1096" s="36"/>
    </row>
    <row r="1097" spans="2:15">
      <c r="B1097" s="59"/>
      <c r="C1097" s="12"/>
      <c r="D1097" s="49"/>
      <c r="E1097" s="57"/>
      <c r="F1097" s="32"/>
      <c r="H1097" s="36"/>
      <c r="I1097" s="36"/>
      <c r="J1097" s="36"/>
      <c r="K1097" s="36"/>
      <c r="L1097" s="37"/>
      <c r="M1097" s="37"/>
      <c r="O1097" s="36"/>
    </row>
    <row r="1098" spans="2:15">
      <c r="B1098" s="59"/>
      <c r="C1098" s="12"/>
      <c r="D1098" s="49"/>
      <c r="E1098" s="57"/>
      <c r="F1098" s="32"/>
      <c r="H1098" s="36"/>
      <c r="I1098" s="36"/>
      <c r="J1098" s="36"/>
      <c r="K1098" s="36"/>
      <c r="L1098" s="37"/>
      <c r="M1098" s="37"/>
      <c r="O1098" s="36"/>
    </row>
    <row r="1099" spans="2:15">
      <c r="B1099" s="59"/>
      <c r="C1099" s="12"/>
      <c r="D1099" s="49"/>
      <c r="E1099" s="57"/>
      <c r="F1099" s="32"/>
      <c r="H1099" s="36"/>
      <c r="I1099" s="36"/>
      <c r="J1099" s="36"/>
      <c r="K1099" s="36"/>
      <c r="L1099" s="37"/>
      <c r="M1099" s="37"/>
      <c r="O1099" s="36"/>
    </row>
    <row r="1100" spans="2:15">
      <c r="B1100" s="59"/>
      <c r="C1100" s="12"/>
      <c r="D1100" s="49"/>
      <c r="E1100" s="57"/>
      <c r="F1100" s="32"/>
      <c r="H1100" s="36"/>
      <c r="I1100" s="36"/>
      <c r="J1100" s="36"/>
      <c r="K1100" s="36"/>
      <c r="L1100" s="37"/>
      <c r="M1100" s="37"/>
      <c r="O1100" s="36"/>
    </row>
    <row r="1101" spans="2:15">
      <c r="B1101" s="59"/>
      <c r="C1101" s="12"/>
      <c r="D1101" s="49"/>
      <c r="E1101" s="57"/>
      <c r="F1101" s="32"/>
      <c r="H1101" s="36"/>
      <c r="I1101" s="36"/>
      <c r="J1101" s="36"/>
      <c r="K1101" s="36"/>
      <c r="L1101" s="37"/>
      <c r="M1101" s="37"/>
      <c r="O1101" s="36"/>
    </row>
    <row r="1102" spans="2:15">
      <c r="B1102" s="59"/>
      <c r="C1102" s="12"/>
      <c r="D1102" s="49"/>
      <c r="E1102" s="57"/>
      <c r="F1102" s="32"/>
      <c r="H1102" s="36"/>
      <c r="I1102" s="36"/>
      <c r="J1102" s="36"/>
      <c r="K1102" s="36"/>
      <c r="L1102" s="37"/>
      <c r="M1102" s="37"/>
      <c r="O1102" s="36"/>
    </row>
    <row r="1103" spans="2:15">
      <c r="B1103" s="59"/>
      <c r="C1103" s="12"/>
      <c r="D1103" s="49"/>
      <c r="E1103" s="57"/>
      <c r="F1103" s="32"/>
      <c r="H1103" s="36"/>
      <c r="I1103" s="36"/>
      <c r="J1103" s="36"/>
      <c r="K1103" s="36"/>
      <c r="L1103" s="37"/>
      <c r="M1103" s="37"/>
      <c r="O1103" s="36"/>
    </row>
    <row r="1104" spans="2:15">
      <c r="B1104" s="59"/>
      <c r="C1104" s="12"/>
      <c r="D1104" s="49"/>
      <c r="E1104" s="57"/>
      <c r="F1104" s="32"/>
      <c r="H1104" s="36"/>
      <c r="I1104" s="36"/>
      <c r="J1104" s="36"/>
      <c r="K1104" s="36"/>
      <c r="L1104" s="37"/>
      <c r="M1104" s="37"/>
      <c r="O1104" s="36"/>
    </row>
    <row r="1105" spans="2:15">
      <c r="B1105" s="59"/>
      <c r="C1105" s="12"/>
      <c r="D1105" s="49"/>
      <c r="E1105" s="57"/>
      <c r="F1105" s="32"/>
      <c r="H1105" s="36"/>
      <c r="I1105" s="36"/>
      <c r="J1105" s="36"/>
      <c r="K1105" s="36"/>
      <c r="L1105" s="37"/>
      <c r="M1105" s="37"/>
      <c r="O1105" s="36"/>
    </row>
    <row r="1106" spans="2:15">
      <c r="B1106" s="59"/>
      <c r="C1106" s="12"/>
      <c r="D1106" s="49"/>
      <c r="E1106" s="57"/>
      <c r="F1106" s="32"/>
      <c r="H1106" s="36"/>
      <c r="I1106" s="36"/>
      <c r="J1106" s="36"/>
      <c r="K1106" s="36"/>
      <c r="L1106" s="37"/>
      <c r="M1106" s="37"/>
      <c r="O1106" s="36"/>
    </row>
    <row r="1107" spans="2:15">
      <c r="B1107" s="59"/>
      <c r="C1107" s="12"/>
      <c r="D1107" s="49"/>
      <c r="E1107" s="57"/>
      <c r="F1107" s="32"/>
      <c r="H1107" s="36"/>
      <c r="I1107" s="36"/>
      <c r="J1107" s="36"/>
      <c r="K1107" s="36"/>
      <c r="L1107" s="37"/>
      <c r="M1107" s="37"/>
      <c r="O1107" s="36"/>
    </row>
    <row r="1108" spans="2:15">
      <c r="B1108" s="59"/>
      <c r="C1108" s="12"/>
      <c r="D1108" s="49"/>
      <c r="E1108" s="57"/>
      <c r="F1108" s="32"/>
      <c r="H1108" s="36"/>
      <c r="I1108" s="36"/>
      <c r="J1108" s="36"/>
      <c r="K1108" s="36"/>
      <c r="L1108" s="37"/>
      <c r="M1108" s="37"/>
      <c r="O1108" s="36"/>
    </row>
    <row r="1109" spans="2:15">
      <c r="B1109" s="59"/>
      <c r="C1109" s="12"/>
      <c r="D1109" s="49"/>
      <c r="E1109" s="57"/>
      <c r="F1109" s="32"/>
      <c r="H1109" s="36"/>
      <c r="I1109" s="36"/>
      <c r="J1109" s="36"/>
      <c r="K1109" s="36"/>
      <c r="L1109" s="37"/>
      <c r="M1109" s="37"/>
      <c r="O1109" s="36"/>
    </row>
    <row r="1110" spans="2:15">
      <c r="B1110" s="59"/>
      <c r="C1110" s="12"/>
      <c r="D1110" s="49"/>
      <c r="E1110" s="57"/>
      <c r="F1110" s="32"/>
      <c r="H1110" s="36"/>
      <c r="I1110" s="36"/>
      <c r="J1110" s="36"/>
      <c r="K1110" s="36"/>
      <c r="L1110" s="37"/>
      <c r="M1110" s="37"/>
      <c r="O1110" s="36"/>
    </row>
    <row r="1111" spans="2:15">
      <c r="B1111" s="59"/>
      <c r="C1111" s="12"/>
      <c r="D1111" s="49"/>
      <c r="E1111" s="57"/>
      <c r="F1111" s="32"/>
      <c r="H1111" s="36"/>
      <c r="I1111" s="36"/>
      <c r="J1111" s="36"/>
      <c r="K1111" s="36"/>
      <c r="L1111" s="37"/>
      <c r="M1111" s="37"/>
      <c r="O1111" s="36"/>
    </row>
    <row r="1112" spans="2:15">
      <c r="B1112" s="59"/>
      <c r="C1112" s="12"/>
      <c r="D1112" s="49"/>
      <c r="E1112" s="57"/>
      <c r="F1112" s="32"/>
      <c r="H1112" s="36"/>
      <c r="I1112" s="36"/>
      <c r="J1112" s="36"/>
      <c r="K1112" s="36"/>
      <c r="L1112" s="37"/>
      <c r="M1112" s="37"/>
      <c r="O1112" s="36"/>
    </row>
    <row r="1113" spans="2:15">
      <c r="B1113" s="59"/>
      <c r="C1113" s="12"/>
      <c r="D1113" s="49"/>
      <c r="E1113" s="57"/>
      <c r="F1113" s="32"/>
      <c r="H1113" s="36"/>
      <c r="I1113" s="36"/>
      <c r="J1113" s="36"/>
      <c r="K1113" s="36"/>
      <c r="L1113" s="37"/>
      <c r="M1113" s="37"/>
      <c r="O1113" s="36"/>
    </row>
    <row r="1114" spans="2:15">
      <c r="B1114" s="59"/>
      <c r="C1114" s="12"/>
      <c r="D1114" s="49"/>
      <c r="E1114" s="57"/>
      <c r="F1114" s="32"/>
      <c r="H1114" s="36"/>
      <c r="I1114" s="36"/>
      <c r="J1114" s="36"/>
      <c r="K1114" s="36"/>
      <c r="L1114" s="37"/>
      <c r="M1114" s="37"/>
      <c r="O1114" s="36"/>
    </row>
    <row r="1115" spans="2:15">
      <c r="B1115" s="59"/>
      <c r="C1115" s="12"/>
      <c r="D1115" s="49"/>
      <c r="E1115" s="57"/>
      <c r="F1115" s="32"/>
      <c r="H1115" s="36"/>
      <c r="I1115" s="36"/>
      <c r="J1115" s="36"/>
      <c r="K1115" s="36"/>
      <c r="L1115" s="37"/>
      <c r="M1115" s="37"/>
      <c r="O1115" s="36"/>
    </row>
    <row r="1116" spans="2:15">
      <c r="B1116" s="59"/>
      <c r="C1116" s="12"/>
      <c r="D1116" s="49"/>
      <c r="E1116" s="57"/>
      <c r="F1116" s="32"/>
      <c r="H1116" s="36"/>
      <c r="I1116" s="36"/>
      <c r="J1116" s="36"/>
      <c r="K1116" s="36"/>
      <c r="L1116" s="37"/>
      <c r="M1116" s="37"/>
      <c r="O1116" s="36"/>
    </row>
    <row r="1117" spans="2:15">
      <c r="B1117" s="59"/>
      <c r="C1117" s="12"/>
      <c r="D1117" s="49"/>
      <c r="E1117" s="57"/>
      <c r="F1117" s="32"/>
      <c r="H1117" s="36"/>
      <c r="I1117" s="36"/>
      <c r="J1117" s="36"/>
      <c r="K1117" s="36"/>
      <c r="L1117" s="37"/>
      <c r="M1117" s="37"/>
      <c r="O1117" s="36"/>
    </row>
    <row r="1118" spans="2:15">
      <c r="B1118" s="59"/>
      <c r="C1118" s="12"/>
      <c r="D1118" s="49"/>
      <c r="E1118" s="57"/>
      <c r="F1118" s="32"/>
      <c r="H1118" s="36"/>
      <c r="I1118" s="36"/>
      <c r="J1118" s="36"/>
      <c r="K1118" s="36"/>
      <c r="L1118" s="37"/>
      <c r="M1118" s="37"/>
      <c r="O1118" s="36"/>
    </row>
    <row r="1119" spans="2:15">
      <c r="B1119" s="59"/>
      <c r="C1119" s="12"/>
      <c r="D1119" s="49"/>
      <c r="E1119" s="57"/>
      <c r="F1119" s="32"/>
      <c r="H1119" s="36"/>
      <c r="I1119" s="36"/>
      <c r="J1119" s="36"/>
      <c r="K1119" s="36"/>
      <c r="L1119" s="37"/>
      <c r="M1119" s="37"/>
      <c r="O1119" s="36"/>
    </row>
    <row r="1120" spans="2:15">
      <c r="B1120" s="59"/>
      <c r="C1120" s="12"/>
      <c r="D1120" s="49"/>
      <c r="E1120" s="57"/>
      <c r="F1120" s="32"/>
      <c r="H1120" s="36"/>
      <c r="I1120" s="36"/>
      <c r="J1120" s="36"/>
      <c r="K1120" s="36"/>
      <c r="L1120" s="37"/>
      <c r="M1120" s="37"/>
      <c r="O1120" s="36"/>
    </row>
    <row r="1121" spans="2:15">
      <c r="B1121" s="59"/>
      <c r="C1121" s="12"/>
      <c r="D1121" s="49"/>
      <c r="E1121" s="57"/>
      <c r="F1121" s="32"/>
      <c r="H1121" s="36"/>
      <c r="I1121" s="36"/>
      <c r="J1121" s="36"/>
      <c r="K1121" s="36"/>
      <c r="L1121" s="37"/>
      <c r="M1121" s="37"/>
      <c r="O1121" s="36"/>
    </row>
    <row r="1122" spans="2:15">
      <c r="B1122" s="59"/>
      <c r="C1122" s="12"/>
      <c r="D1122" s="49"/>
      <c r="E1122" s="57"/>
      <c r="F1122" s="32"/>
      <c r="H1122" s="36"/>
      <c r="I1122" s="36"/>
      <c r="J1122" s="36"/>
      <c r="K1122" s="36"/>
      <c r="L1122" s="37"/>
      <c r="M1122" s="37"/>
      <c r="O1122" s="36"/>
    </row>
    <row r="1123" spans="2:15">
      <c r="B1123" s="59"/>
      <c r="C1123" s="12"/>
      <c r="D1123" s="49"/>
      <c r="E1123" s="57"/>
      <c r="F1123" s="32"/>
      <c r="H1123" s="36"/>
      <c r="I1123" s="36"/>
      <c r="J1123" s="36"/>
      <c r="K1123" s="36"/>
      <c r="L1123" s="37"/>
      <c r="M1123" s="37"/>
      <c r="O1123" s="36"/>
    </row>
    <row r="1124" spans="2:15">
      <c r="B1124" s="59"/>
      <c r="C1124" s="12"/>
      <c r="D1124" s="49"/>
      <c r="E1124" s="57"/>
      <c r="F1124" s="32"/>
      <c r="H1124" s="36"/>
      <c r="I1124" s="36"/>
      <c r="J1124" s="36"/>
      <c r="K1124" s="36"/>
      <c r="L1124" s="37"/>
      <c r="M1124" s="37"/>
      <c r="O1124" s="36"/>
    </row>
    <row r="1125" spans="2:15">
      <c r="B1125" s="59"/>
      <c r="C1125" s="12"/>
      <c r="D1125" s="49"/>
      <c r="E1125" s="57"/>
      <c r="F1125" s="32"/>
      <c r="H1125" s="36"/>
      <c r="I1125" s="36"/>
      <c r="J1125" s="36"/>
      <c r="K1125" s="36"/>
      <c r="L1125" s="37"/>
      <c r="M1125" s="37"/>
      <c r="O1125" s="36"/>
    </row>
    <row r="1126" spans="2:15">
      <c r="B1126" s="59"/>
      <c r="C1126" s="12"/>
      <c r="D1126" s="49"/>
      <c r="E1126" s="57"/>
      <c r="F1126" s="32"/>
      <c r="H1126" s="36"/>
      <c r="I1126" s="36"/>
      <c r="J1126" s="36"/>
      <c r="K1126" s="36"/>
      <c r="L1126" s="37"/>
      <c r="M1126" s="37"/>
      <c r="O1126" s="36"/>
    </row>
    <row r="1127" spans="2:15">
      <c r="B1127" s="59"/>
      <c r="C1127" s="12"/>
      <c r="D1127" s="49"/>
      <c r="E1127" s="57"/>
      <c r="F1127" s="32"/>
      <c r="H1127" s="36"/>
      <c r="I1127" s="36"/>
      <c r="J1127" s="36"/>
      <c r="K1127" s="36"/>
      <c r="L1127" s="37"/>
      <c r="M1127" s="37"/>
      <c r="O1127" s="36"/>
    </row>
    <row r="1128" spans="2:15">
      <c r="B1128" s="59"/>
      <c r="C1128" s="12"/>
      <c r="D1128" s="49"/>
      <c r="E1128" s="57"/>
      <c r="F1128" s="32"/>
      <c r="H1128" s="36"/>
      <c r="I1128" s="36"/>
      <c r="J1128" s="36"/>
      <c r="K1128" s="36"/>
      <c r="L1128" s="37"/>
      <c r="M1128" s="37"/>
      <c r="O1128" s="36"/>
    </row>
    <row r="1129" spans="2:15">
      <c r="B1129" s="59"/>
      <c r="C1129" s="12"/>
      <c r="D1129" s="49"/>
      <c r="E1129" s="57"/>
      <c r="F1129" s="32"/>
      <c r="H1129" s="36"/>
      <c r="I1129" s="36"/>
      <c r="J1129" s="36"/>
      <c r="K1129" s="36"/>
      <c r="L1129" s="37"/>
      <c r="M1129" s="37"/>
      <c r="O1129" s="36"/>
    </row>
    <row r="1130" spans="2:15">
      <c r="B1130" s="59"/>
      <c r="C1130" s="12"/>
      <c r="D1130" s="49"/>
      <c r="E1130" s="57"/>
      <c r="F1130" s="32"/>
      <c r="H1130" s="36"/>
      <c r="I1130" s="36"/>
      <c r="J1130" s="36"/>
      <c r="K1130" s="36"/>
      <c r="L1130" s="37"/>
      <c r="M1130" s="37"/>
      <c r="O1130" s="36"/>
    </row>
    <row r="1131" spans="2:15">
      <c r="B1131" s="59"/>
      <c r="C1131" s="12"/>
      <c r="D1131" s="49"/>
      <c r="E1131" s="57"/>
      <c r="F1131" s="32"/>
      <c r="H1131" s="36"/>
      <c r="I1131" s="36"/>
      <c r="J1131" s="36"/>
      <c r="K1131" s="36"/>
      <c r="L1131" s="37"/>
      <c r="M1131" s="37"/>
      <c r="O1131" s="36"/>
    </row>
    <row r="1132" spans="2:15">
      <c r="B1132" s="59"/>
      <c r="C1132" s="12"/>
      <c r="D1132" s="49"/>
      <c r="E1132" s="57"/>
      <c r="F1132" s="32"/>
      <c r="H1132" s="36"/>
      <c r="I1132" s="36"/>
      <c r="J1132" s="36"/>
      <c r="K1132" s="36"/>
      <c r="L1132" s="37"/>
      <c r="M1132" s="37"/>
      <c r="O1132" s="36"/>
    </row>
    <row r="1133" spans="2:15">
      <c r="B1133" s="59"/>
      <c r="C1133" s="12"/>
      <c r="D1133" s="49"/>
      <c r="E1133" s="57"/>
      <c r="F1133" s="32"/>
      <c r="H1133" s="36"/>
      <c r="I1133" s="36"/>
      <c r="J1133" s="36"/>
      <c r="K1133" s="36"/>
      <c r="L1133" s="37"/>
      <c r="M1133" s="37"/>
      <c r="O1133" s="36"/>
    </row>
    <row r="1134" spans="2:15">
      <c r="B1134" s="59"/>
      <c r="C1134" s="12"/>
      <c r="D1134" s="49"/>
      <c r="E1134" s="57"/>
      <c r="F1134" s="32"/>
      <c r="H1134" s="36"/>
      <c r="I1134" s="36"/>
      <c r="J1134" s="36"/>
      <c r="K1134" s="36"/>
      <c r="L1134" s="37"/>
      <c r="M1134" s="37"/>
      <c r="O1134" s="36"/>
    </row>
    <row r="1135" spans="2:15">
      <c r="B1135" s="59"/>
      <c r="C1135" s="12"/>
      <c r="D1135" s="49"/>
      <c r="E1135" s="57"/>
      <c r="F1135" s="32"/>
      <c r="H1135" s="36"/>
      <c r="I1135" s="36"/>
      <c r="J1135" s="36"/>
      <c r="K1135" s="36"/>
      <c r="L1135" s="37"/>
      <c r="M1135" s="37"/>
      <c r="O1135" s="36"/>
    </row>
    <row r="1136" spans="2:15">
      <c r="B1136" s="59"/>
      <c r="C1136" s="12"/>
      <c r="D1136" s="49"/>
      <c r="E1136" s="57"/>
      <c r="F1136" s="32"/>
      <c r="H1136" s="36"/>
      <c r="I1136" s="36"/>
      <c r="J1136" s="36"/>
      <c r="K1136" s="36"/>
      <c r="L1136" s="37"/>
      <c r="M1136" s="37"/>
      <c r="O1136" s="36"/>
    </row>
    <row r="1137" spans="2:15">
      <c r="B1137" s="59"/>
      <c r="C1137" s="12"/>
      <c r="D1137" s="49"/>
      <c r="E1137" s="57"/>
      <c r="F1137" s="32"/>
      <c r="H1137" s="36"/>
      <c r="I1137" s="36"/>
      <c r="J1137" s="36"/>
      <c r="K1137" s="36"/>
      <c r="L1137" s="37"/>
      <c r="M1137" s="37"/>
      <c r="O1137" s="36"/>
    </row>
    <row r="1138" spans="2:15">
      <c r="B1138" s="59"/>
      <c r="C1138" s="12"/>
      <c r="D1138" s="49"/>
      <c r="E1138" s="57"/>
      <c r="F1138" s="32"/>
      <c r="H1138" s="36"/>
      <c r="I1138" s="36"/>
      <c r="J1138" s="36"/>
      <c r="K1138" s="36"/>
      <c r="L1138" s="37"/>
      <c r="M1138" s="37"/>
      <c r="O1138" s="36"/>
    </row>
    <row r="1139" spans="2:15">
      <c r="B1139" s="59"/>
      <c r="C1139" s="12"/>
      <c r="D1139" s="49"/>
      <c r="E1139" s="57"/>
      <c r="F1139" s="32"/>
      <c r="H1139" s="36"/>
      <c r="I1139" s="36"/>
      <c r="J1139" s="36"/>
      <c r="K1139" s="36"/>
      <c r="L1139" s="37"/>
      <c r="M1139" s="37"/>
      <c r="O1139" s="36"/>
    </row>
    <row r="1140" spans="2:15">
      <c r="B1140" s="59"/>
      <c r="C1140" s="12"/>
      <c r="D1140" s="49"/>
      <c r="E1140" s="57"/>
      <c r="F1140" s="32"/>
      <c r="H1140" s="36"/>
      <c r="I1140" s="36"/>
      <c r="J1140" s="36"/>
      <c r="K1140" s="36"/>
      <c r="L1140" s="37"/>
      <c r="M1140" s="37"/>
      <c r="O1140" s="36"/>
    </row>
    <row r="1141" spans="2:15">
      <c r="B1141" s="59"/>
      <c r="C1141" s="12"/>
      <c r="D1141" s="49"/>
      <c r="E1141" s="57"/>
      <c r="F1141" s="32"/>
      <c r="H1141" s="36"/>
      <c r="I1141" s="36"/>
      <c r="J1141" s="36"/>
      <c r="K1141" s="36"/>
      <c r="L1141" s="37"/>
      <c r="M1141" s="37"/>
      <c r="O1141" s="36"/>
    </row>
    <row r="1142" spans="2:15">
      <c r="B1142" s="59"/>
      <c r="C1142" s="12"/>
      <c r="D1142" s="49"/>
      <c r="E1142" s="57"/>
      <c r="F1142" s="32"/>
      <c r="H1142" s="36"/>
      <c r="I1142" s="36"/>
      <c r="J1142" s="36"/>
      <c r="K1142" s="36"/>
      <c r="L1142" s="37"/>
      <c r="M1142" s="37"/>
      <c r="O1142" s="36"/>
    </row>
    <row r="1143" spans="2:15">
      <c r="B1143" s="59"/>
      <c r="C1143" s="12"/>
      <c r="D1143" s="49"/>
      <c r="E1143" s="57"/>
      <c r="F1143" s="32"/>
      <c r="H1143" s="36"/>
      <c r="I1143" s="36"/>
      <c r="J1143" s="36"/>
      <c r="K1143" s="36"/>
      <c r="L1143" s="37"/>
      <c r="M1143" s="37"/>
      <c r="O1143" s="36"/>
    </row>
    <row r="1144" spans="2:15">
      <c r="B1144" s="59"/>
      <c r="C1144" s="12"/>
      <c r="D1144" s="49"/>
      <c r="E1144" s="57"/>
      <c r="F1144" s="32"/>
      <c r="H1144" s="36"/>
      <c r="I1144" s="36"/>
      <c r="J1144" s="36"/>
      <c r="K1144" s="36"/>
      <c r="L1144" s="37"/>
      <c r="M1144" s="37"/>
      <c r="O1144" s="36"/>
    </row>
    <row r="1145" spans="2:15">
      <c r="B1145" s="59"/>
      <c r="C1145" s="12"/>
      <c r="D1145" s="49"/>
      <c r="E1145" s="57"/>
      <c r="F1145" s="32"/>
      <c r="H1145" s="36"/>
      <c r="I1145" s="36"/>
      <c r="J1145" s="36"/>
      <c r="K1145" s="36"/>
      <c r="L1145" s="37"/>
      <c r="M1145" s="37"/>
      <c r="O1145" s="36"/>
    </row>
    <row r="1146" spans="2:15">
      <c r="B1146" s="59"/>
      <c r="C1146" s="12"/>
      <c r="D1146" s="49"/>
      <c r="E1146" s="57"/>
      <c r="F1146" s="32"/>
      <c r="H1146" s="36"/>
      <c r="I1146" s="36"/>
      <c r="J1146" s="36"/>
      <c r="K1146" s="36"/>
      <c r="L1146" s="37"/>
      <c r="M1146" s="37"/>
      <c r="O1146" s="36"/>
    </row>
    <row r="1147" spans="2:15">
      <c r="B1147" s="59"/>
      <c r="C1147" s="12"/>
      <c r="D1147" s="49"/>
      <c r="E1147" s="57"/>
      <c r="F1147" s="32"/>
      <c r="H1147" s="36"/>
      <c r="I1147" s="36"/>
      <c r="J1147" s="36"/>
      <c r="K1147" s="36"/>
      <c r="L1147" s="37"/>
      <c r="M1147" s="37"/>
      <c r="O1147" s="36"/>
    </row>
    <row r="1148" spans="2:15">
      <c r="B1148" s="59"/>
      <c r="C1148" s="12"/>
      <c r="D1148" s="49"/>
      <c r="E1148" s="57"/>
      <c r="F1148" s="32"/>
      <c r="H1148" s="36"/>
      <c r="I1148" s="36"/>
      <c r="J1148" s="36"/>
      <c r="K1148" s="36"/>
      <c r="L1148" s="37"/>
      <c r="M1148" s="37"/>
      <c r="O1148" s="36"/>
    </row>
    <row r="1149" spans="2:15">
      <c r="B1149" s="59"/>
      <c r="C1149" s="12"/>
      <c r="D1149" s="49"/>
      <c r="E1149" s="57"/>
      <c r="F1149" s="32"/>
      <c r="H1149" s="36"/>
      <c r="I1149" s="36"/>
      <c r="J1149" s="36"/>
      <c r="K1149" s="36"/>
      <c r="L1149" s="37"/>
      <c r="M1149" s="37"/>
      <c r="O1149" s="36"/>
    </row>
    <row r="1150" spans="2:15">
      <c r="B1150" s="59"/>
      <c r="C1150" s="12"/>
      <c r="D1150" s="49"/>
      <c r="E1150" s="57"/>
      <c r="F1150" s="32"/>
      <c r="H1150" s="36"/>
      <c r="I1150" s="36"/>
      <c r="J1150" s="36"/>
      <c r="K1150" s="36"/>
      <c r="L1150" s="37"/>
      <c r="M1150" s="37"/>
      <c r="O1150" s="36"/>
    </row>
    <row r="1151" spans="2:15">
      <c r="B1151" s="59"/>
      <c r="C1151" s="12"/>
      <c r="D1151" s="49"/>
      <c r="E1151" s="57"/>
      <c r="F1151" s="32"/>
      <c r="H1151" s="36"/>
      <c r="I1151" s="36"/>
      <c r="J1151" s="36"/>
      <c r="K1151" s="36"/>
      <c r="L1151" s="37"/>
      <c r="M1151" s="37"/>
      <c r="O1151" s="36"/>
    </row>
    <row r="1152" spans="2:15">
      <c r="B1152" s="59"/>
      <c r="C1152" s="12"/>
      <c r="D1152" s="49"/>
      <c r="E1152" s="57"/>
      <c r="F1152" s="32"/>
      <c r="H1152" s="36"/>
      <c r="I1152" s="36"/>
      <c r="J1152" s="36"/>
      <c r="K1152" s="36"/>
      <c r="L1152" s="37"/>
      <c r="M1152" s="37"/>
      <c r="O1152" s="36"/>
    </row>
    <row r="1153" spans="2:15">
      <c r="B1153" s="59"/>
      <c r="C1153" s="12"/>
      <c r="D1153" s="49"/>
      <c r="E1153" s="57"/>
      <c r="F1153" s="32"/>
      <c r="H1153" s="36"/>
      <c r="I1153" s="36"/>
      <c r="J1153" s="36"/>
      <c r="K1153" s="36"/>
      <c r="L1153" s="37"/>
      <c r="M1153" s="37"/>
      <c r="O1153" s="36"/>
    </row>
    <row r="1154" spans="2:15">
      <c r="B1154" s="59"/>
      <c r="C1154" s="12"/>
      <c r="D1154" s="49"/>
      <c r="E1154" s="57"/>
      <c r="F1154" s="32"/>
      <c r="H1154" s="36"/>
      <c r="I1154" s="36"/>
      <c r="J1154" s="36"/>
      <c r="K1154" s="36"/>
      <c r="L1154" s="37"/>
      <c r="M1154" s="37"/>
      <c r="O1154" s="36"/>
    </row>
    <row r="1155" spans="2:15">
      <c r="B1155" s="59"/>
      <c r="C1155" s="12"/>
      <c r="D1155" s="49"/>
      <c r="E1155" s="57"/>
      <c r="F1155" s="32"/>
      <c r="H1155" s="36"/>
      <c r="I1155" s="36"/>
      <c r="J1155" s="36"/>
      <c r="K1155" s="36"/>
      <c r="L1155" s="37"/>
      <c r="M1155" s="37"/>
      <c r="O1155" s="36"/>
    </row>
    <row r="1156" spans="2:15">
      <c r="B1156" s="59"/>
      <c r="C1156" s="12"/>
      <c r="D1156" s="49"/>
      <c r="E1156" s="57"/>
      <c r="F1156" s="32"/>
      <c r="H1156" s="36"/>
      <c r="I1156" s="36"/>
      <c r="J1156" s="36"/>
      <c r="K1156" s="36"/>
      <c r="L1156" s="37"/>
      <c r="M1156" s="37"/>
      <c r="O1156" s="36"/>
    </row>
    <row r="1157" spans="2:15">
      <c r="B1157" s="59"/>
      <c r="C1157" s="12"/>
      <c r="D1157" s="49"/>
      <c r="E1157" s="57"/>
      <c r="F1157" s="32"/>
      <c r="H1157" s="36"/>
      <c r="I1157" s="36"/>
      <c r="J1157" s="36"/>
      <c r="K1157" s="36"/>
      <c r="L1157" s="37"/>
      <c r="M1157" s="37"/>
      <c r="O1157" s="36"/>
    </row>
    <row r="1158" spans="2:15">
      <c r="B1158" s="59"/>
      <c r="C1158" s="12"/>
      <c r="D1158" s="49"/>
      <c r="E1158" s="57"/>
      <c r="F1158" s="32"/>
      <c r="H1158" s="36"/>
      <c r="I1158" s="36"/>
      <c r="J1158" s="36"/>
      <c r="K1158" s="36"/>
      <c r="L1158" s="37"/>
      <c r="M1158" s="37"/>
      <c r="O1158" s="36"/>
    </row>
    <row r="1159" spans="2:15">
      <c r="B1159" s="59"/>
      <c r="C1159" s="12"/>
      <c r="D1159" s="49"/>
      <c r="E1159" s="57"/>
      <c r="F1159" s="32"/>
      <c r="H1159" s="36"/>
      <c r="I1159" s="36"/>
      <c r="J1159" s="36"/>
      <c r="K1159" s="36"/>
      <c r="L1159" s="37"/>
      <c r="M1159" s="37"/>
      <c r="O1159" s="36"/>
    </row>
    <row r="1160" spans="2:15">
      <c r="B1160" s="59"/>
      <c r="C1160" s="12"/>
      <c r="D1160" s="49"/>
      <c r="E1160" s="57"/>
      <c r="F1160" s="32"/>
      <c r="H1160" s="36"/>
      <c r="I1160" s="36"/>
      <c r="J1160" s="36"/>
      <c r="K1160" s="36"/>
      <c r="L1160" s="37"/>
      <c r="M1160" s="37"/>
      <c r="O1160" s="36"/>
    </row>
    <row r="1161" spans="2:15">
      <c r="B1161" s="59"/>
      <c r="C1161" s="12"/>
      <c r="D1161" s="49"/>
      <c r="E1161" s="57"/>
      <c r="F1161" s="32"/>
      <c r="H1161" s="36"/>
      <c r="I1161" s="36"/>
      <c r="J1161" s="36"/>
      <c r="K1161" s="36"/>
      <c r="L1161" s="37"/>
      <c r="M1161" s="37"/>
      <c r="O1161" s="36"/>
    </row>
    <row r="1162" spans="2:15">
      <c r="B1162" s="59"/>
      <c r="C1162" s="12"/>
      <c r="D1162" s="49"/>
      <c r="E1162" s="57"/>
      <c r="F1162" s="32"/>
      <c r="H1162" s="36"/>
      <c r="I1162" s="36"/>
      <c r="J1162" s="36"/>
      <c r="K1162" s="36"/>
      <c r="L1162" s="37"/>
      <c r="M1162" s="37"/>
      <c r="O1162" s="36"/>
    </row>
    <row r="1163" spans="2:15">
      <c r="B1163" s="59"/>
      <c r="C1163" s="12"/>
      <c r="D1163" s="49"/>
      <c r="E1163" s="57"/>
      <c r="F1163" s="32"/>
      <c r="H1163" s="36"/>
      <c r="I1163" s="36"/>
      <c r="J1163" s="36"/>
      <c r="K1163" s="36"/>
      <c r="L1163" s="37"/>
      <c r="M1163" s="37"/>
      <c r="O1163" s="36"/>
    </row>
    <row r="1164" spans="2:15">
      <c r="B1164" s="59"/>
      <c r="C1164" s="12"/>
      <c r="D1164" s="49"/>
      <c r="E1164" s="57"/>
      <c r="F1164" s="32"/>
      <c r="H1164" s="36"/>
      <c r="I1164" s="36"/>
      <c r="J1164" s="36"/>
      <c r="K1164" s="36"/>
      <c r="L1164" s="37"/>
      <c r="M1164" s="37"/>
      <c r="O1164" s="36"/>
    </row>
    <row r="1165" spans="2:15">
      <c r="B1165" s="59"/>
      <c r="C1165" s="12"/>
      <c r="D1165" s="49"/>
      <c r="E1165" s="57"/>
      <c r="F1165" s="32"/>
      <c r="H1165" s="36"/>
      <c r="I1165" s="36"/>
      <c r="J1165" s="36"/>
      <c r="K1165" s="36"/>
      <c r="L1165" s="37"/>
      <c r="M1165" s="37"/>
      <c r="O1165" s="36"/>
    </row>
    <row r="1166" spans="2:15">
      <c r="B1166" s="59"/>
      <c r="C1166" s="12"/>
      <c r="D1166" s="49"/>
      <c r="E1166" s="57"/>
      <c r="F1166" s="32"/>
      <c r="H1166" s="36"/>
      <c r="I1166" s="36"/>
      <c r="J1166" s="36"/>
      <c r="K1166" s="36"/>
      <c r="L1166" s="37"/>
      <c r="M1166" s="37"/>
      <c r="O1166" s="36"/>
    </row>
    <row r="1167" spans="2:15">
      <c r="B1167" s="59"/>
      <c r="C1167" s="12"/>
      <c r="D1167" s="49"/>
      <c r="E1167" s="57"/>
      <c r="F1167" s="32"/>
      <c r="H1167" s="36"/>
      <c r="I1167" s="36"/>
      <c r="J1167" s="36"/>
      <c r="K1167" s="36"/>
      <c r="L1167" s="37"/>
      <c r="M1167" s="37"/>
      <c r="O1167" s="36"/>
    </row>
    <row r="1168" spans="2:15">
      <c r="B1168" s="59"/>
      <c r="C1168" s="12"/>
      <c r="D1168" s="49"/>
      <c r="E1168" s="57"/>
      <c r="F1168" s="32"/>
      <c r="H1168" s="36"/>
      <c r="I1168" s="36"/>
      <c r="J1168" s="36"/>
      <c r="K1168" s="36"/>
      <c r="L1168" s="37"/>
      <c r="M1168" s="37"/>
      <c r="O1168" s="36"/>
    </row>
    <row r="1169" spans="2:15">
      <c r="B1169" s="59"/>
      <c r="C1169" s="12"/>
      <c r="D1169" s="49"/>
      <c r="E1169" s="57"/>
      <c r="F1169" s="32"/>
      <c r="H1169" s="36"/>
      <c r="I1169" s="36"/>
      <c r="J1169" s="36"/>
      <c r="K1169" s="36"/>
      <c r="L1169" s="37"/>
      <c r="M1169" s="37"/>
      <c r="O1169" s="36"/>
    </row>
    <row r="1170" spans="2:15">
      <c r="B1170" s="59"/>
      <c r="C1170" s="12"/>
      <c r="D1170" s="49"/>
      <c r="E1170" s="57"/>
      <c r="F1170" s="32"/>
      <c r="H1170" s="36"/>
      <c r="I1170" s="36"/>
      <c r="J1170" s="36"/>
      <c r="K1170" s="36"/>
      <c r="L1170" s="37"/>
      <c r="M1170" s="37"/>
      <c r="O1170" s="36"/>
    </row>
    <row r="1171" spans="2:15">
      <c r="B1171" s="59"/>
      <c r="C1171" s="12"/>
      <c r="D1171" s="49"/>
      <c r="E1171" s="57"/>
      <c r="F1171" s="32"/>
      <c r="H1171" s="36"/>
      <c r="I1171" s="36"/>
      <c r="J1171" s="36"/>
      <c r="K1171" s="36"/>
      <c r="L1171" s="37"/>
      <c r="M1171" s="37"/>
      <c r="O1171" s="36"/>
    </row>
    <row r="1172" spans="2:15">
      <c r="B1172" s="59"/>
      <c r="C1172" s="12"/>
      <c r="D1172" s="49"/>
      <c r="E1172" s="57"/>
      <c r="F1172" s="32"/>
      <c r="H1172" s="36"/>
      <c r="I1172" s="36"/>
      <c r="J1172" s="36"/>
      <c r="K1172" s="36"/>
      <c r="L1172" s="37"/>
      <c r="M1172" s="37"/>
      <c r="O1172" s="36"/>
    </row>
    <row r="1173" spans="2:15">
      <c r="B1173" s="59"/>
      <c r="C1173" s="12"/>
      <c r="D1173" s="49"/>
      <c r="E1173" s="57"/>
      <c r="F1173" s="32"/>
      <c r="H1173" s="36"/>
      <c r="I1173" s="36"/>
      <c r="J1173" s="36"/>
      <c r="K1173" s="36"/>
      <c r="L1173" s="37"/>
      <c r="M1173" s="37"/>
      <c r="O1173" s="36"/>
    </row>
    <row r="1174" spans="2:15">
      <c r="B1174" s="59"/>
      <c r="C1174" s="12"/>
      <c r="D1174" s="49"/>
      <c r="E1174" s="57"/>
      <c r="F1174" s="32"/>
      <c r="H1174" s="36"/>
      <c r="I1174" s="36"/>
      <c r="J1174" s="36"/>
      <c r="K1174" s="36"/>
      <c r="L1174" s="37"/>
      <c r="M1174" s="37"/>
      <c r="O1174" s="36"/>
    </row>
    <row r="1175" spans="2:15">
      <c r="B1175" s="59"/>
      <c r="C1175" s="12"/>
      <c r="D1175" s="49"/>
      <c r="E1175" s="57"/>
      <c r="F1175" s="32"/>
      <c r="H1175" s="36"/>
      <c r="I1175" s="36"/>
      <c r="J1175" s="36"/>
      <c r="K1175" s="36"/>
      <c r="L1175" s="37"/>
      <c r="M1175" s="37"/>
      <c r="O1175" s="36"/>
    </row>
    <row r="1176" spans="2:15">
      <c r="B1176" s="59"/>
      <c r="C1176" s="12"/>
      <c r="D1176" s="49"/>
      <c r="E1176" s="57"/>
      <c r="F1176" s="32"/>
      <c r="H1176" s="36"/>
      <c r="I1176" s="36"/>
      <c r="J1176" s="36"/>
      <c r="K1176" s="36"/>
      <c r="L1176" s="37"/>
      <c r="M1176" s="37"/>
      <c r="O1176" s="36"/>
    </row>
    <row r="1177" spans="2:15">
      <c r="B1177" s="59"/>
      <c r="C1177" s="12"/>
      <c r="D1177" s="49"/>
      <c r="E1177" s="57"/>
      <c r="F1177" s="32"/>
      <c r="H1177" s="36"/>
      <c r="I1177" s="36"/>
      <c r="J1177" s="36"/>
      <c r="K1177" s="36"/>
      <c r="L1177" s="37"/>
      <c r="M1177" s="37"/>
      <c r="O1177" s="36"/>
    </row>
    <row r="1178" spans="2:15">
      <c r="B1178" s="59"/>
      <c r="C1178" s="12"/>
      <c r="D1178" s="49"/>
      <c r="E1178" s="57"/>
      <c r="F1178" s="32"/>
      <c r="H1178" s="36"/>
      <c r="I1178" s="36"/>
      <c r="J1178" s="36"/>
      <c r="K1178" s="36"/>
      <c r="L1178" s="37"/>
      <c r="M1178" s="37"/>
      <c r="O1178" s="36"/>
    </row>
    <row r="1179" spans="2:15">
      <c r="B1179" s="59"/>
      <c r="C1179" s="12"/>
      <c r="D1179" s="49"/>
      <c r="E1179" s="57"/>
      <c r="F1179" s="32"/>
      <c r="H1179" s="36"/>
      <c r="I1179" s="36"/>
      <c r="J1179" s="36"/>
      <c r="K1179" s="36"/>
      <c r="L1179" s="37"/>
      <c r="M1179" s="37"/>
      <c r="O1179" s="36"/>
    </row>
    <row r="1180" spans="2:15">
      <c r="B1180" s="59"/>
      <c r="C1180" s="12"/>
      <c r="D1180" s="49"/>
      <c r="E1180" s="57"/>
      <c r="F1180" s="32"/>
      <c r="H1180" s="36"/>
      <c r="I1180" s="36"/>
      <c r="J1180" s="36"/>
      <c r="K1180" s="36"/>
      <c r="L1180" s="37"/>
      <c r="M1180" s="37"/>
      <c r="O1180" s="36"/>
    </row>
    <row r="1181" spans="2:15">
      <c r="B1181" s="59"/>
      <c r="C1181" s="12"/>
      <c r="D1181" s="49"/>
      <c r="E1181" s="57"/>
      <c r="F1181" s="32"/>
      <c r="H1181" s="36"/>
      <c r="I1181" s="36"/>
      <c r="J1181" s="36"/>
      <c r="K1181" s="36"/>
      <c r="L1181" s="37"/>
      <c r="M1181" s="37"/>
      <c r="O1181" s="36"/>
    </row>
    <row r="1182" spans="2:15">
      <c r="B1182" s="59"/>
      <c r="C1182" s="12"/>
      <c r="D1182" s="49"/>
      <c r="E1182" s="57"/>
      <c r="F1182" s="32"/>
      <c r="H1182" s="36"/>
      <c r="I1182" s="36"/>
      <c r="J1182" s="36"/>
      <c r="K1182" s="36"/>
      <c r="L1182" s="37"/>
      <c r="M1182" s="37"/>
      <c r="O1182" s="36"/>
    </row>
    <row r="1183" spans="2:15">
      <c r="B1183" s="59"/>
      <c r="C1183" s="12"/>
      <c r="D1183" s="49"/>
      <c r="E1183" s="57"/>
      <c r="F1183" s="32"/>
      <c r="H1183" s="36"/>
      <c r="I1183" s="36"/>
      <c r="J1183" s="36"/>
      <c r="K1183" s="36"/>
      <c r="L1183" s="37"/>
      <c r="M1183" s="37"/>
      <c r="O1183" s="36"/>
    </row>
    <row r="1184" spans="2:15">
      <c r="B1184" s="59"/>
      <c r="C1184" s="12"/>
      <c r="D1184" s="49"/>
      <c r="E1184" s="57"/>
      <c r="F1184" s="32"/>
      <c r="H1184" s="36"/>
      <c r="I1184" s="36"/>
      <c r="J1184" s="36"/>
      <c r="K1184" s="36"/>
      <c r="L1184" s="37"/>
      <c r="M1184" s="37"/>
      <c r="O1184" s="36"/>
    </row>
    <row r="1185" spans="2:15">
      <c r="B1185" s="59"/>
      <c r="C1185" s="12"/>
      <c r="D1185" s="49"/>
      <c r="E1185" s="57"/>
      <c r="F1185" s="32"/>
      <c r="H1185" s="36"/>
      <c r="I1185" s="36"/>
      <c r="J1185" s="36"/>
      <c r="K1185" s="36"/>
      <c r="L1185" s="37"/>
      <c r="M1185" s="37"/>
      <c r="O1185" s="36"/>
    </row>
    <row r="1186" spans="2:15">
      <c r="B1186" s="59"/>
      <c r="C1186" s="12"/>
      <c r="D1186" s="49"/>
      <c r="E1186" s="57"/>
      <c r="F1186" s="32"/>
      <c r="H1186" s="36"/>
      <c r="I1186" s="36"/>
      <c r="J1186" s="36"/>
      <c r="K1186" s="36"/>
      <c r="L1186" s="37"/>
      <c r="M1186" s="37"/>
      <c r="O1186" s="36"/>
    </row>
    <row r="1187" spans="2:15">
      <c r="B1187" s="59"/>
      <c r="C1187" s="12"/>
      <c r="D1187" s="49"/>
      <c r="E1187" s="57"/>
      <c r="F1187" s="32"/>
      <c r="H1187" s="36"/>
      <c r="I1187" s="36"/>
      <c r="J1187" s="36"/>
      <c r="K1187" s="36"/>
      <c r="L1187" s="37"/>
      <c r="M1187" s="37"/>
      <c r="O1187" s="36"/>
    </row>
    <row r="1188" spans="2:15">
      <c r="B1188" s="59"/>
      <c r="C1188" s="12"/>
      <c r="D1188" s="49"/>
      <c r="E1188" s="57"/>
      <c r="F1188" s="32"/>
      <c r="H1188" s="36"/>
      <c r="I1188" s="36"/>
      <c r="J1188" s="36"/>
      <c r="K1188" s="36"/>
      <c r="L1188" s="37"/>
      <c r="M1188" s="37"/>
      <c r="O1188" s="36"/>
    </row>
    <row r="1189" spans="2:15">
      <c r="B1189" s="59"/>
      <c r="C1189" s="12"/>
      <c r="D1189" s="49"/>
      <c r="E1189" s="57"/>
      <c r="F1189" s="32"/>
      <c r="H1189" s="36"/>
      <c r="I1189" s="36"/>
      <c r="J1189" s="36"/>
      <c r="K1189" s="36"/>
      <c r="L1189" s="37"/>
      <c r="M1189" s="37"/>
      <c r="O1189" s="36"/>
    </row>
    <row r="1190" spans="2:15">
      <c r="B1190" s="59"/>
      <c r="C1190" s="12"/>
      <c r="D1190" s="49"/>
      <c r="E1190" s="57"/>
      <c r="F1190" s="32"/>
      <c r="H1190" s="36"/>
      <c r="I1190" s="36"/>
      <c r="J1190" s="36"/>
      <c r="K1190" s="36"/>
      <c r="L1190" s="37"/>
      <c r="M1190" s="37"/>
      <c r="O1190" s="36"/>
    </row>
    <row r="1191" spans="2:15">
      <c r="B1191" s="59"/>
      <c r="C1191" s="12"/>
      <c r="D1191" s="49"/>
      <c r="E1191" s="57"/>
      <c r="F1191" s="32"/>
      <c r="H1191" s="36"/>
      <c r="I1191" s="36"/>
      <c r="J1191" s="36"/>
      <c r="K1191" s="36"/>
      <c r="L1191" s="37"/>
      <c r="M1191" s="37"/>
      <c r="O1191" s="36"/>
    </row>
    <row r="1192" spans="2:15">
      <c r="B1192" s="59"/>
      <c r="C1192" s="12"/>
      <c r="D1192" s="49"/>
      <c r="E1192" s="57"/>
      <c r="F1192" s="32"/>
      <c r="H1192" s="36"/>
      <c r="I1192" s="36"/>
      <c r="J1192" s="36"/>
      <c r="K1192" s="36"/>
      <c r="L1192" s="37"/>
      <c r="M1192" s="37"/>
      <c r="O1192" s="36"/>
    </row>
    <row r="1193" spans="2:15">
      <c r="B1193" s="59"/>
      <c r="C1193" s="12"/>
      <c r="D1193" s="49"/>
      <c r="E1193" s="57"/>
      <c r="F1193" s="32"/>
      <c r="H1193" s="36"/>
      <c r="I1193" s="36"/>
      <c r="J1193" s="36"/>
      <c r="K1193" s="36"/>
      <c r="L1193" s="37"/>
      <c r="M1193" s="37"/>
      <c r="O1193" s="36"/>
    </row>
    <row r="1194" spans="2:15">
      <c r="B1194" s="59"/>
      <c r="C1194" s="12"/>
      <c r="D1194" s="49"/>
      <c r="E1194" s="57"/>
      <c r="F1194" s="32"/>
      <c r="H1194" s="36"/>
      <c r="I1194" s="36"/>
      <c r="J1194" s="36"/>
      <c r="K1194" s="36"/>
      <c r="L1194" s="37"/>
      <c r="M1194" s="37"/>
      <c r="O1194" s="36"/>
    </row>
    <row r="1195" spans="2:15">
      <c r="B1195" s="59"/>
      <c r="C1195" s="12"/>
      <c r="D1195" s="49"/>
      <c r="E1195" s="57"/>
      <c r="F1195" s="32"/>
      <c r="H1195" s="36"/>
      <c r="I1195" s="36"/>
      <c r="J1195" s="36"/>
      <c r="K1195" s="36"/>
      <c r="L1195" s="37"/>
      <c r="M1195" s="37"/>
      <c r="O1195" s="36"/>
    </row>
    <row r="1196" spans="2:15">
      <c r="B1196" s="59"/>
      <c r="C1196" s="12"/>
      <c r="D1196" s="49"/>
      <c r="E1196" s="57"/>
      <c r="F1196" s="32"/>
      <c r="H1196" s="36"/>
      <c r="I1196" s="36"/>
      <c r="J1196" s="36"/>
      <c r="K1196" s="36"/>
      <c r="L1196" s="37"/>
      <c r="M1196" s="37"/>
      <c r="O1196" s="36"/>
    </row>
    <row r="1197" spans="2:15">
      <c r="B1197" s="59"/>
      <c r="C1197" s="12"/>
      <c r="D1197" s="49"/>
      <c r="E1197" s="57"/>
      <c r="F1197" s="32"/>
      <c r="H1197" s="36"/>
      <c r="I1197" s="36"/>
      <c r="J1197" s="36"/>
      <c r="K1197" s="36"/>
      <c r="L1197" s="37"/>
      <c r="M1197" s="37"/>
      <c r="O1197" s="36"/>
    </row>
    <row r="1198" spans="2:15">
      <c r="B1198" s="59"/>
      <c r="C1198" s="12"/>
      <c r="D1198" s="49"/>
      <c r="E1198" s="57"/>
      <c r="F1198" s="32"/>
      <c r="H1198" s="36"/>
      <c r="I1198" s="36"/>
      <c r="J1198" s="36"/>
      <c r="K1198" s="36"/>
      <c r="L1198" s="37"/>
      <c r="M1198" s="37"/>
      <c r="O1198" s="36"/>
    </row>
    <row r="1199" spans="2:15">
      <c r="B1199" s="59"/>
      <c r="C1199" s="12"/>
      <c r="D1199" s="49"/>
      <c r="E1199" s="57"/>
      <c r="F1199" s="32"/>
      <c r="H1199" s="36"/>
      <c r="I1199" s="36"/>
      <c r="J1199" s="36"/>
      <c r="K1199" s="36"/>
      <c r="L1199" s="37"/>
      <c r="M1199" s="37"/>
      <c r="O1199" s="36"/>
    </row>
    <row r="1200" spans="2:15">
      <c r="B1200" s="59"/>
      <c r="C1200" s="12"/>
      <c r="D1200" s="49"/>
      <c r="E1200" s="57"/>
      <c r="F1200" s="32"/>
      <c r="H1200" s="36"/>
      <c r="I1200" s="36"/>
      <c r="J1200" s="36"/>
      <c r="K1200" s="36"/>
      <c r="L1200" s="37"/>
      <c r="M1200" s="37"/>
      <c r="O1200" s="36"/>
    </row>
    <row r="1201" spans="2:15">
      <c r="B1201" s="59"/>
      <c r="C1201" s="12"/>
      <c r="D1201" s="49"/>
      <c r="E1201" s="57"/>
      <c r="F1201" s="32"/>
      <c r="H1201" s="36"/>
      <c r="I1201" s="36"/>
      <c r="J1201" s="36"/>
      <c r="K1201" s="36"/>
      <c r="L1201" s="37"/>
      <c r="M1201" s="37"/>
      <c r="O1201" s="36"/>
    </row>
    <row r="1202" spans="2:15">
      <c r="B1202" s="59"/>
      <c r="C1202" s="12"/>
      <c r="D1202" s="49"/>
      <c r="E1202" s="57"/>
      <c r="F1202" s="32"/>
      <c r="H1202" s="36"/>
      <c r="I1202" s="36"/>
      <c r="J1202" s="36"/>
      <c r="K1202" s="36"/>
      <c r="L1202" s="37"/>
      <c r="M1202" s="37"/>
      <c r="O1202" s="36"/>
    </row>
    <row r="1203" spans="2:15">
      <c r="B1203" s="59"/>
      <c r="C1203" s="12"/>
      <c r="D1203" s="49"/>
      <c r="E1203" s="57"/>
      <c r="F1203" s="32"/>
      <c r="H1203" s="36"/>
      <c r="I1203" s="36"/>
      <c r="J1203" s="36"/>
      <c r="K1203" s="36"/>
      <c r="L1203" s="37"/>
      <c r="M1203" s="37"/>
      <c r="O1203" s="36"/>
    </row>
    <row r="1204" spans="2:15">
      <c r="B1204" s="59"/>
      <c r="C1204" s="12"/>
      <c r="D1204" s="49"/>
      <c r="E1204" s="57"/>
      <c r="F1204" s="32"/>
      <c r="H1204" s="36"/>
      <c r="I1204" s="36"/>
      <c r="J1204" s="36"/>
      <c r="K1204" s="36"/>
      <c r="L1204" s="37"/>
      <c r="M1204" s="37"/>
      <c r="O1204" s="36"/>
    </row>
    <row r="1205" spans="2:15">
      <c r="B1205" s="59"/>
      <c r="C1205" s="12"/>
      <c r="D1205" s="49"/>
      <c r="E1205" s="57"/>
      <c r="F1205" s="32"/>
      <c r="H1205" s="36"/>
      <c r="I1205" s="36"/>
      <c r="J1205" s="36"/>
      <c r="K1205" s="36"/>
      <c r="L1205" s="37"/>
      <c r="M1205" s="37"/>
      <c r="O1205" s="36"/>
    </row>
    <row r="1206" spans="2:15">
      <c r="B1206" s="59"/>
      <c r="C1206" s="12"/>
      <c r="D1206" s="49"/>
      <c r="E1206" s="57"/>
      <c r="F1206" s="32"/>
      <c r="H1206" s="36"/>
      <c r="I1206" s="36"/>
      <c r="J1206" s="36"/>
      <c r="K1206" s="36"/>
      <c r="L1206" s="37"/>
      <c r="M1206" s="37"/>
      <c r="O1206" s="36"/>
    </row>
    <row r="1207" spans="2:15">
      <c r="B1207" s="59"/>
      <c r="C1207" s="12"/>
      <c r="D1207" s="49"/>
      <c r="E1207" s="57"/>
      <c r="F1207" s="32"/>
      <c r="H1207" s="36"/>
      <c r="I1207" s="36"/>
      <c r="J1207" s="36"/>
      <c r="K1207" s="36"/>
      <c r="L1207" s="37"/>
      <c r="M1207" s="37"/>
      <c r="O1207" s="36"/>
    </row>
    <row r="1208" spans="2:15">
      <c r="B1208" s="59"/>
      <c r="C1208" s="12"/>
      <c r="D1208" s="49"/>
      <c r="E1208" s="57"/>
      <c r="F1208" s="32"/>
      <c r="H1208" s="36"/>
      <c r="I1208" s="36"/>
      <c r="J1208" s="36"/>
      <c r="K1208" s="36"/>
      <c r="L1208" s="37"/>
      <c r="M1208" s="37"/>
      <c r="O1208" s="36"/>
    </row>
    <row r="1209" spans="2:15">
      <c r="B1209" s="59"/>
      <c r="C1209" s="12"/>
      <c r="D1209" s="49"/>
      <c r="E1209" s="57"/>
      <c r="F1209" s="32"/>
      <c r="H1209" s="36"/>
      <c r="I1209" s="36"/>
      <c r="J1209" s="36"/>
      <c r="K1209" s="36"/>
      <c r="L1209" s="37"/>
      <c r="M1209" s="37"/>
      <c r="O1209" s="36"/>
    </row>
    <row r="1210" spans="2:15">
      <c r="B1210" s="59"/>
      <c r="C1210" s="12"/>
      <c r="D1210" s="49"/>
      <c r="E1210" s="57"/>
      <c r="F1210" s="32"/>
      <c r="H1210" s="36"/>
      <c r="I1210" s="36"/>
      <c r="J1210" s="36"/>
      <c r="K1210" s="36"/>
      <c r="L1210" s="37"/>
      <c r="M1210" s="37"/>
      <c r="O1210" s="36"/>
    </row>
    <row r="1211" spans="2:15">
      <c r="B1211" s="59"/>
      <c r="C1211" s="12"/>
      <c r="D1211" s="49"/>
      <c r="E1211" s="57"/>
      <c r="F1211" s="32"/>
      <c r="H1211" s="36"/>
      <c r="I1211" s="36"/>
      <c r="J1211" s="36"/>
      <c r="K1211" s="36"/>
      <c r="L1211" s="37"/>
      <c r="M1211" s="37"/>
      <c r="O1211" s="36"/>
    </row>
    <row r="1212" spans="2:15">
      <c r="B1212" s="59"/>
      <c r="C1212" s="12"/>
      <c r="D1212" s="49"/>
      <c r="E1212" s="57"/>
      <c r="F1212" s="32"/>
      <c r="H1212" s="36"/>
      <c r="I1212" s="36"/>
      <c r="J1212" s="36"/>
      <c r="K1212" s="36"/>
      <c r="L1212" s="37"/>
      <c r="M1212" s="37"/>
      <c r="O1212" s="36"/>
    </row>
    <row r="1213" spans="2:15">
      <c r="B1213" s="59"/>
      <c r="C1213" s="12"/>
      <c r="D1213" s="49"/>
      <c r="E1213" s="57"/>
      <c r="F1213" s="32"/>
      <c r="H1213" s="36"/>
      <c r="I1213" s="36"/>
      <c r="J1213" s="36"/>
      <c r="K1213" s="36"/>
      <c r="L1213" s="37"/>
      <c r="M1213" s="37"/>
      <c r="O1213" s="36"/>
    </row>
    <row r="1214" spans="2:15">
      <c r="B1214" s="59"/>
      <c r="C1214" s="12"/>
      <c r="D1214" s="49"/>
      <c r="E1214" s="57"/>
      <c r="F1214" s="32"/>
      <c r="H1214" s="36"/>
      <c r="I1214" s="36"/>
      <c r="J1214" s="36"/>
      <c r="K1214" s="36"/>
      <c r="L1214" s="37"/>
      <c r="M1214" s="37"/>
      <c r="O1214" s="36"/>
    </row>
    <row r="1215" spans="2:15">
      <c r="B1215" s="59"/>
      <c r="C1215" s="12"/>
      <c r="D1215" s="49"/>
      <c r="E1215" s="57"/>
      <c r="F1215" s="32"/>
      <c r="H1215" s="36"/>
      <c r="I1215" s="36"/>
      <c r="J1215" s="36"/>
      <c r="K1215" s="36"/>
      <c r="L1215" s="37"/>
      <c r="M1215" s="37"/>
      <c r="O1215" s="36"/>
    </row>
    <row r="1216" spans="2:15">
      <c r="B1216" s="59"/>
      <c r="C1216" s="12"/>
      <c r="D1216" s="49"/>
      <c r="E1216" s="57"/>
      <c r="F1216" s="32"/>
      <c r="H1216" s="36"/>
      <c r="I1216" s="36"/>
      <c r="J1216" s="36"/>
      <c r="K1216" s="36"/>
      <c r="L1216" s="37"/>
      <c r="M1216" s="37"/>
      <c r="O1216" s="36"/>
    </row>
    <row r="1217" spans="2:15">
      <c r="B1217" s="59"/>
      <c r="C1217" s="12"/>
      <c r="D1217" s="49"/>
      <c r="E1217" s="57"/>
      <c r="F1217" s="32"/>
      <c r="H1217" s="36"/>
      <c r="I1217" s="36"/>
      <c r="J1217" s="36"/>
      <c r="K1217" s="36"/>
      <c r="L1217" s="37"/>
      <c r="M1217" s="37"/>
      <c r="O1217" s="36"/>
    </row>
    <row r="1218" spans="2:15">
      <c r="B1218" s="59"/>
      <c r="C1218" s="12"/>
      <c r="D1218" s="49"/>
      <c r="E1218" s="57"/>
      <c r="F1218" s="32"/>
      <c r="H1218" s="36"/>
      <c r="I1218" s="36"/>
      <c r="J1218" s="36"/>
      <c r="K1218" s="36"/>
      <c r="L1218" s="37"/>
      <c r="M1218" s="37"/>
      <c r="O1218" s="36"/>
    </row>
    <row r="1219" spans="2:15">
      <c r="B1219" s="59"/>
      <c r="C1219" s="12"/>
      <c r="D1219" s="49"/>
      <c r="E1219" s="57"/>
      <c r="F1219" s="32"/>
      <c r="H1219" s="36"/>
      <c r="I1219" s="36"/>
      <c r="J1219" s="36"/>
      <c r="K1219" s="36"/>
      <c r="L1219" s="37"/>
      <c r="M1219" s="37"/>
      <c r="O1219" s="36"/>
    </row>
    <row r="1220" spans="2:15">
      <c r="B1220" s="59"/>
      <c r="C1220" s="12"/>
      <c r="D1220" s="49"/>
      <c r="E1220" s="57"/>
      <c r="F1220" s="32"/>
      <c r="H1220" s="36"/>
      <c r="I1220" s="36"/>
      <c r="J1220" s="36"/>
      <c r="K1220" s="36"/>
      <c r="L1220" s="37"/>
      <c r="M1220" s="37"/>
      <c r="O1220" s="36"/>
    </row>
    <row r="1221" spans="2:15">
      <c r="B1221" s="59"/>
      <c r="C1221" s="12"/>
      <c r="D1221" s="49"/>
      <c r="E1221" s="57"/>
      <c r="F1221" s="32"/>
      <c r="H1221" s="36"/>
      <c r="I1221" s="36"/>
      <c r="J1221" s="36"/>
      <c r="K1221" s="36"/>
      <c r="L1221" s="37"/>
      <c r="M1221" s="37"/>
      <c r="O1221" s="36"/>
    </row>
    <row r="1222" spans="2:15">
      <c r="B1222" s="59"/>
      <c r="C1222" s="12"/>
      <c r="D1222" s="49"/>
      <c r="E1222" s="57"/>
      <c r="F1222" s="32"/>
      <c r="H1222" s="36"/>
      <c r="I1222" s="36"/>
      <c r="J1222" s="36"/>
      <c r="K1222" s="36"/>
      <c r="L1222" s="37"/>
      <c r="M1222" s="37"/>
      <c r="O1222" s="36"/>
    </row>
    <row r="1223" spans="2:15">
      <c r="B1223" s="59"/>
      <c r="C1223" s="12"/>
      <c r="D1223" s="49"/>
      <c r="E1223" s="57"/>
      <c r="F1223" s="32"/>
      <c r="H1223" s="36"/>
      <c r="I1223" s="36"/>
      <c r="J1223" s="36"/>
      <c r="K1223" s="36"/>
      <c r="L1223" s="37"/>
      <c r="M1223" s="37"/>
      <c r="O1223" s="36"/>
    </row>
    <row r="1224" spans="2:15">
      <c r="B1224" s="59"/>
      <c r="C1224" s="12"/>
      <c r="D1224" s="49"/>
      <c r="E1224" s="57"/>
      <c r="F1224" s="32"/>
      <c r="H1224" s="36"/>
      <c r="I1224" s="36"/>
      <c r="J1224" s="36"/>
      <c r="K1224" s="36"/>
      <c r="L1224" s="37"/>
      <c r="M1224" s="37"/>
      <c r="O1224" s="36"/>
    </row>
    <row r="1225" spans="2:15">
      <c r="B1225" s="59"/>
      <c r="C1225" s="12"/>
      <c r="D1225" s="49"/>
      <c r="E1225" s="57"/>
      <c r="F1225" s="32"/>
      <c r="H1225" s="36"/>
      <c r="I1225" s="36"/>
      <c r="J1225" s="36"/>
      <c r="K1225" s="36"/>
      <c r="L1225" s="37"/>
      <c r="M1225" s="37"/>
      <c r="O1225" s="36"/>
    </row>
    <row r="1226" spans="2:15">
      <c r="B1226" s="59"/>
      <c r="C1226" s="12"/>
      <c r="D1226" s="49"/>
      <c r="E1226" s="57"/>
      <c r="F1226" s="32"/>
      <c r="H1226" s="36"/>
      <c r="I1226" s="36"/>
      <c r="J1226" s="36"/>
      <c r="K1226" s="36"/>
      <c r="L1226" s="37"/>
      <c r="M1226" s="37"/>
      <c r="O1226" s="36"/>
    </row>
    <row r="1227" spans="2:15">
      <c r="B1227" s="59"/>
      <c r="C1227" s="12"/>
      <c r="D1227" s="49"/>
      <c r="E1227" s="57"/>
      <c r="F1227" s="32"/>
      <c r="H1227" s="36"/>
      <c r="I1227" s="36"/>
      <c r="J1227" s="36"/>
      <c r="K1227" s="36"/>
      <c r="L1227" s="37"/>
      <c r="M1227" s="37"/>
      <c r="O1227" s="36"/>
    </row>
    <row r="1228" spans="2:15">
      <c r="B1228" s="59"/>
      <c r="C1228" s="12"/>
      <c r="D1228" s="49"/>
      <c r="E1228" s="57"/>
      <c r="F1228" s="32"/>
      <c r="H1228" s="36"/>
      <c r="I1228" s="36"/>
      <c r="J1228" s="36"/>
      <c r="K1228" s="36"/>
      <c r="L1228" s="37"/>
      <c r="M1228" s="37"/>
      <c r="O1228" s="36"/>
    </row>
    <row r="1229" spans="2:15">
      <c r="B1229" s="59"/>
      <c r="C1229" s="12"/>
      <c r="D1229" s="49"/>
      <c r="E1229" s="57"/>
      <c r="F1229" s="32"/>
      <c r="H1229" s="36"/>
      <c r="I1229" s="36"/>
      <c r="J1229" s="36"/>
      <c r="K1229" s="36"/>
      <c r="L1229" s="37"/>
      <c r="M1229" s="37"/>
      <c r="O1229" s="36"/>
    </row>
    <row r="1230" spans="2:15">
      <c r="B1230" s="59"/>
      <c r="C1230" s="12"/>
      <c r="D1230" s="49"/>
      <c r="E1230" s="57"/>
      <c r="F1230" s="32"/>
      <c r="H1230" s="36"/>
      <c r="I1230" s="36"/>
      <c r="J1230" s="36"/>
      <c r="K1230" s="36"/>
      <c r="L1230" s="37"/>
      <c r="M1230" s="37"/>
      <c r="O1230" s="36"/>
    </row>
    <row r="1231" spans="2:15">
      <c r="B1231" s="59"/>
      <c r="C1231" s="12"/>
      <c r="D1231" s="49"/>
      <c r="E1231" s="57"/>
      <c r="F1231" s="32"/>
      <c r="H1231" s="36"/>
      <c r="I1231" s="36"/>
      <c r="J1231" s="36"/>
      <c r="K1231" s="36"/>
      <c r="L1231" s="37"/>
      <c r="M1231" s="37"/>
      <c r="O1231" s="36"/>
    </row>
    <row r="1232" spans="2:15">
      <c r="B1232" s="59"/>
      <c r="C1232" s="12"/>
      <c r="D1232" s="49"/>
      <c r="E1232" s="57"/>
      <c r="F1232" s="32"/>
      <c r="H1232" s="36"/>
      <c r="I1232" s="36"/>
      <c r="J1232" s="36"/>
      <c r="K1232" s="36"/>
      <c r="L1232" s="37"/>
      <c r="M1232" s="37"/>
      <c r="O1232" s="36"/>
    </row>
    <row r="1233" spans="2:15">
      <c r="B1233" s="59"/>
      <c r="C1233" s="12"/>
      <c r="D1233" s="49"/>
      <c r="E1233" s="57"/>
      <c r="F1233" s="32"/>
      <c r="H1233" s="36"/>
      <c r="I1233" s="36"/>
      <c r="J1233" s="36"/>
      <c r="K1233" s="36"/>
      <c r="L1233" s="37"/>
      <c r="M1233" s="37"/>
      <c r="O1233" s="36"/>
    </row>
    <row r="1234" spans="2:15">
      <c r="B1234" s="59"/>
      <c r="C1234" s="12"/>
      <c r="D1234" s="49"/>
      <c r="E1234" s="57"/>
      <c r="F1234" s="32"/>
      <c r="H1234" s="36"/>
      <c r="I1234" s="36"/>
      <c r="J1234" s="36"/>
      <c r="K1234" s="36"/>
      <c r="L1234" s="37"/>
      <c r="M1234" s="37"/>
      <c r="O1234" s="36"/>
    </row>
    <row r="1235" spans="2:15">
      <c r="B1235" s="59"/>
      <c r="C1235" s="12"/>
      <c r="D1235" s="49"/>
      <c r="E1235" s="57"/>
      <c r="F1235" s="32"/>
      <c r="H1235" s="36"/>
      <c r="I1235" s="36"/>
      <c r="J1235" s="36"/>
      <c r="K1235" s="36"/>
      <c r="L1235" s="37"/>
      <c r="M1235" s="37"/>
      <c r="O1235" s="36"/>
    </row>
    <row r="1236" spans="2:15">
      <c r="B1236" s="59"/>
      <c r="C1236" s="12"/>
      <c r="D1236" s="49"/>
      <c r="E1236" s="57"/>
      <c r="F1236" s="32"/>
      <c r="H1236" s="36"/>
      <c r="I1236" s="36"/>
      <c r="J1236" s="36"/>
      <c r="K1236" s="36"/>
      <c r="L1236" s="37"/>
      <c r="M1236" s="37"/>
      <c r="O1236" s="36"/>
    </row>
    <row r="1237" spans="2:15">
      <c r="B1237" s="59"/>
      <c r="C1237" s="12"/>
      <c r="D1237" s="49"/>
      <c r="E1237" s="57"/>
      <c r="F1237" s="32"/>
      <c r="H1237" s="36"/>
      <c r="I1237" s="36"/>
      <c r="J1237" s="36"/>
      <c r="K1237" s="36"/>
      <c r="L1237" s="37"/>
      <c r="M1237" s="37"/>
      <c r="O1237" s="36"/>
    </row>
    <row r="1238" spans="2:15">
      <c r="B1238" s="59"/>
      <c r="C1238" s="12"/>
      <c r="D1238" s="49"/>
      <c r="E1238" s="57"/>
      <c r="F1238" s="32"/>
      <c r="H1238" s="36"/>
      <c r="I1238" s="36"/>
      <c r="J1238" s="36"/>
      <c r="K1238" s="36"/>
      <c r="L1238" s="37"/>
      <c r="M1238" s="37"/>
      <c r="O1238" s="36"/>
    </row>
    <row r="1239" spans="2:15">
      <c r="B1239" s="59"/>
      <c r="C1239" s="12"/>
      <c r="D1239" s="49"/>
      <c r="E1239" s="57"/>
      <c r="F1239" s="32"/>
      <c r="H1239" s="36"/>
      <c r="I1239" s="36"/>
      <c r="J1239" s="36"/>
      <c r="K1239" s="36"/>
      <c r="L1239" s="37"/>
      <c r="M1239" s="37"/>
      <c r="O1239" s="36"/>
    </row>
    <row r="1240" spans="2:15">
      <c r="B1240" s="59"/>
      <c r="C1240" s="12"/>
      <c r="D1240" s="49"/>
      <c r="E1240" s="57"/>
      <c r="F1240" s="32"/>
      <c r="H1240" s="36"/>
      <c r="I1240" s="36"/>
      <c r="J1240" s="36"/>
      <c r="K1240" s="36"/>
      <c r="L1240" s="37"/>
      <c r="M1240" s="37"/>
      <c r="O1240" s="36"/>
    </row>
    <row r="1241" spans="2:15">
      <c r="B1241" s="59"/>
      <c r="C1241" s="12"/>
      <c r="D1241" s="49"/>
      <c r="E1241" s="57"/>
      <c r="F1241" s="32"/>
      <c r="H1241" s="36"/>
      <c r="I1241" s="36"/>
      <c r="J1241" s="36"/>
      <c r="K1241" s="36"/>
      <c r="L1241" s="37"/>
      <c r="M1241" s="37"/>
      <c r="O1241" s="36"/>
    </row>
    <row r="1242" spans="2:15">
      <c r="B1242" s="59"/>
      <c r="C1242" s="12"/>
      <c r="D1242" s="49"/>
      <c r="E1242" s="57"/>
      <c r="F1242" s="32"/>
      <c r="H1242" s="36"/>
      <c r="I1242" s="36"/>
      <c r="J1242" s="36"/>
      <c r="K1242" s="36"/>
      <c r="L1242" s="37"/>
      <c r="M1242" s="37"/>
      <c r="O1242" s="36"/>
    </row>
    <row r="1243" spans="2:15">
      <c r="B1243" s="59"/>
      <c r="C1243" s="12"/>
      <c r="D1243" s="49"/>
      <c r="E1243" s="57"/>
      <c r="F1243" s="32"/>
      <c r="H1243" s="36"/>
      <c r="I1243" s="36"/>
      <c r="J1243" s="36"/>
      <c r="K1243" s="36"/>
      <c r="L1243" s="37"/>
      <c r="M1243" s="37"/>
      <c r="O1243" s="36"/>
    </row>
    <row r="1244" spans="2:15">
      <c r="B1244" s="59"/>
      <c r="C1244" s="12"/>
      <c r="D1244" s="49"/>
      <c r="E1244" s="57"/>
      <c r="F1244" s="32"/>
      <c r="H1244" s="36"/>
      <c r="I1244" s="36"/>
      <c r="J1244" s="36"/>
      <c r="K1244" s="36"/>
      <c r="L1244" s="37"/>
      <c r="M1244" s="37"/>
      <c r="O1244" s="36"/>
    </row>
    <row r="1245" spans="2:15">
      <c r="B1245" s="59"/>
      <c r="C1245" s="12"/>
      <c r="D1245" s="49"/>
      <c r="E1245" s="57"/>
      <c r="F1245" s="32"/>
      <c r="H1245" s="36"/>
      <c r="I1245" s="36"/>
      <c r="J1245" s="36"/>
      <c r="K1245" s="36"/>
      <c r="L1245" s="37"/>
      <c r="M1245" s="37"/>
      <c r="O1245" s="36"/>
    </row>
    <row r="1246" spans="2:15">
      <c r="B1246" s="59"/>
      <c r="C1246" s="12"/>
      <c r="D1246" s="49"/>
      <c r="E1246" s="57"/>
      <c r="F1246" s="32"/>
      <c r="H1246" s="36"/>
      <c r="I1246" s="36"/>
      <c r="J1246" s="36"/>
      <c r="K1246" s="36"/>
      <c r="L1246" s="37"/>
      <c r="M1246" s="37"/>
      <c r="O1246" s="36"/>
    </row>
    <row r="1247" spans="2:15">
      <c r="B1247" s="59"/>
      <c r="C1247" s="12"/>
      <c r="D1247" s="49"/>
      <c r="E1247" s="57"/>
      <c r="F1247" s="32"/>
      <c r="H1247" s="36"/>
      <c r="I1247" s="36"/>
      <c r="J1247" s="36"/>
      <c r="K1247" s="36"/>
      <c r="L1247" s="37"/>
      <c r="M1247" s="37"/>
      <c r="O1247" s="36"/>
    </row>
    <row r="1248" spans="2:15">
      <c r="B1248" s="59"/>
      <c r="C1248" s="12"/>
      <c r="D1248" s="49"/>
      <c r="E1248" s="57"/>
      <c r="F1248" s="32"/>
      <c r="H1248" s="36"/>
      <c r="I1248" s="36"/>
      <c r="J1248" s="36"/>
      <c r="K1248" s="36"/>
      <c r="L1248" s="37"/>
      <c r="M1248" s="37"/>
      <c r="O1248" s="36"/>
    </row>
    <row r="1249" spans="2:15">
      <c r="B1249" s="59"/>
      <c r="C1249" s="12"/>
      <c r="D1249" s="49"/>
      <c r="E1249" s="57"/>
      <c r="F1249" s="32"/>
      <c r="H1249" s="36"/>
      <c r="I1249" s="36"/>
      <c r="J1249" s="36"/>
      <c r="K1249" s="36"/>
      <c r="L1249" s="37"/>
      <c r="M1249" s="37"/>
      <c r="O1249" s="36"/>
    </row>
    <row r="1250" spans="2:15">
      <c r="B1250" s="59"/>
      <c r="C1250" s="12"/>
      <c r="D1250" s="49"/>
      <c r="E1250" s="57"/>
      <c r="F1250" s="32"/>
      <c r="H1250" s="36"/>
      <c r="I1250" s="36"/>
      <c r="J1250" s="36"/>
      <c r="K1250" s="36"/>
      <c r="L1250" s="37"/>
      <c r="M1250" s="37"/>
      <c r="O1250" s="36"/>
    </row>
    <row r="1251" spans="2:15">
      <c r="B1251" s="59"/>
      <c r="C1251" s="12"/>
      <c r="D1251" s="49"/>
      <c r="E1251" s="57"/>
      <c r="F1251" s="32"/>
      <c r="H1251" s="36"/>
      <c r="I1251" s="36"/>
      <c r="J1251" s="36"/>
      <c r="K1251" s="36"/>
      <c r="L1251" s="37"/>
      <c r="M1251" s="37"/>
      <c r="O1251" s="36"/>
    </row>
    <row r="1252" spans="2:15">
      <c r="B1252" s="59"/>
      <c r="C1252" s="12"/>
      <c r="D1252" s="49"/>
      <c r="E1252" s="57"/>
      <c r="F1252" s="32"/>
      <c r="H1252" s="36"/>
      <c r="I1252" s="36"/>
      <c r="J1252" s="36"/>
      <c r="K1252" s="36"/>
      <c r="L1252" s="37"/>
      <c r="M1252" s="37"/>
      <c r="O1252" s="36"/>
    </row>
    <row r="1253" spans="2:15">
      <c r="B1253" s="59"/>
      <c r="C1253" s="12"/>
      <c r="D1253" s="49"/>
      <c r="E1253" s="57"/>
      <c r="F1253" s="32"/>
      <c r="H1253" s="36"/>
      <c r="I1253" s="36"/>
      <c r="J1253" s="36"/>
      <c r="K1253" s="36"/>
      <c r="L1253" s="37"/>
      <c r="M1253" s="37"/>
      <c r="O1253" s="36"/>
    </row>
    <row r="1254" spans="2:15">
      <c r="B1254" s="59"/>
      <c r="C1254" s="12"/>
      <c r="D1254" s="49"/>
      <c r="E1254" s="57"/>
      <c r="F1254" s="32"/>
      <c r="H1254" s="36"/>
      <c r="I1254" s="36"/>
      <c r="J1254" s="36"/>
      <c r="K1254" s="36"/>
      <c r="L1254" s="37"/>
      <c r="M1254" s="37"/>
      <c r="O1254" s="36"/>
    </row>
    <row r="1255" spans="2:15">
      <c r="B1255" s="59"/>
      <c r="C1255" s="12"/>
      <c r="D1255" s="49"/>
      <c r="E1255" s="57"/>
      <c r="F1255" s="32"/>
      <c r="H1255" s="36"/>
      <c r="I1255" s="36"/>
      <c r="J1255" s="36"/>
      <c r="K1255" s="36"/>
      <c r="L1255" s="37"/>
      <c r="M1255" s="37"/>
      <c r="O1255" s="36"/>
    </row>
    <row r="1256" spans="2:15">
      <c r="B1256" s="59"/>
      <c r="C1256" s="12"/>
      <c r="D1256" s="49"/>
      <c r="E1256" s="57"/>
      <c r="F1256" s="32"/>
      <c r="H1256" s="36"/>
      <c r="I1256" s="36"/>
      <c r="J1256" s="36"/>
      <c r="K1256" s="36"/>
      <c r="L1256" s="37"/>
      <c r="M1256" s="37"/>
      <c r="O1256" s="36"/>
    </row>
    <row r="1257" spans="2:15">
      <c r="B1257" s="59"/>
      <c r="C1257" s="12"/>
      <c r="D1257" s="49"/>
      <c r="E1257" s="57"/>
      <c r="F1257" s="32"/>
      <c r="H1257" s="36"/>
      <c r="I1257" s="36"/>
      <c r="J1257" s="36"/>
      <c r="K1257" s="36"/>
      <c r="L1257" s="37"/>
      <c r="M1257" s="37"/>
      <c r="O1257" s="36"/>
    </row>
    <row r="1258" spans="2:15">
      <c r="B1258" s="59"/>
      <c r="C1258" s="12"/>
      <c r="D1258" s="49"/>
      <c r="E1258" s="57"/>
      <c r="F1258" s="32"/>
      <c r="H1258" s="36"/>
      <c r="I1258" s="36"/>
      <c r="J1258" s="36"/>
      <c r="K1258" s="36"/>
      <c r="L1258" s="37"/>
      <c r="M1258" s="37"/>
      <c r="O1258" s="36"/>
    </row>
    <row r="1259" spans="2:15">
      <c r="B1259" s="59"/>
      <c r="C1259" s="12"/>
      <c r="D1259" s="49"/>
      <c r="E1259" s="57"/>
      <c r="F1259" s="32"/>
      <c r="H1259" s="36"/>
      <c r="I1259" s="36"/>
      <c r="J1259" s="36"/>
      <c r="K1259" s="36"/>
      <c r="L1259" s="37"/>
      <c r="M1259" s="37"/>
      <c r="O1259" s="36"/>
    </row>
    <row r="1260" spans="2:15">
      <c r="B1260" s="59"/>
      <c r="C1260" s="12"/>
      <c r="D1260" s="49"/>
      <c r="E1260" s="57"/>
      <c r="F1260" s="32"/>
      <c r="H1260" s="36"/>
      <c r="I1260" s="36"/>
      <c r="J1260" s="36"/>
      <c r="K1260" s="36"/>
      <c r="L1260" s="37"/>
      <c r="M1260" s="37"/>
      <c r="O1260" s="36"/>
    </row>
    <row r="1261" spans="2:15">
      <c r="B1261" s="59"/>
      <c r="C1261" s="12"/>
      <c r="D1261" s="49"/>
      <c r="E1261" s="57"/>
      <c r="F1261" s="32"/>
      <c r="H1261" s="36"/>
      <c r="I1261" s="36"/>
      <c r="J1261" s="36"/>
      <c r="K1261" s="36"/>
      <c r="L1261" s="37"/>
      <c r="M1261" s="37"/>
      <c r="O1261" s="36"/>
    </row>
    <row r="1262" spans="2:15">
      <c r="B1262" s="59"/>
      <c r="C1262" s="12"/>
      <c r="D1262" s="49"/>
      <c r="E1262" s="57"/>
      <c r="F1262" s="32"/>
      <c r="H1262" s="36"/>
      <c r="I1262" s="36"/>
      <c r="J1262" s="36"/>
      <c r="K1262" s="36"/>
      <c r="L1262" s="37"/>
      <c r="M1262" s="37"/>
      <c r="O1262" s="36"/>
    </row>
    <row r="1263" spans="2:15">
      <c r="B1263" s="59"/>
      <c r="C1263" s="12"/>
      <c r="D1263" s="49"/>
      <c r="E1263" s="57"/>
      <c r="F1263" s="32"/>
      <c r="H1263" s="36"/>
      <c r="I1263" s="36"/>
      <c r="J1263" s="36"/>
      <c r="K1263" s="36"/>
      <c r="L1263" s="37"/>
      <c r="M1263" s="37"/>
      <c r="O1263" s="36"/>
    </row>
    <row r="1264" spans="2:15">
      <c r="B1264" s="59"/>
      <c r="C1264" s="12"/>
      <c r="D1264" s="49"/>
      <c r="E1264" s="57"/>
      <c r="F1264" s="32"/>
      <c r="H1264" s="36"/>
      <c r="I1264" s="36"/>
      <c r="J1264" s="36"/>
      <c r="K1264" s="36"/>
      <c r="L1264" s="37"/>
      <c r="M1264" s="37"/>
      <c r="O1264" s="36"/>
    </row>
    <row r="1265" spans="2:15">
      <c r="B1265" s="59"/>
      <c r="C1265" s="12"/>
      <c r="D1265" s="49"/>
      <c r="E1265" s="57"/>
      <c r="F1265" s="32"/>
      <c r="H1265" s="36"/>
      <c r="I1265" s="36"/>
      <c r="J1265" s="36"/>
      <c r="K1265" s="36"/>
      <c r="L1265" s="37"/>
      <c r="M1265" s="37"/>
      <c r="O1265" s="36"/>
    </row>
    <row r="1266" spans="2:15">
      <c r="B1266" s="59"/>
      <c r="C1266" s="12"/>
      <c r="D1266" s="49"/>
      <c r="E1266" s="57"/>
      <c r="F1266" s="32"/>
      <c r="H1266" s="36"/>
      <c r="I1266" s="36"/>
      <c r="J1266" s="36"/>
      <c r="K1266" s="36"/>
      <c r="L1266" s="37"/>
      <c r="M1266" s="37"/>
      <c r="O1266" s="36"/>
    </row>
    <row r="1267" spans="2:15">
      <c r="B1267" s="59"/>
      <c r="C1267" s="12"/>
      <c r="D1267" s="49"/>
      <c r="E1267" s="57"/>
      <c r="F1267" s="32"/>
      <c r="H1267" s="36"/>
      <c r="I1267" s="36"/>
      <c r="J1267" s="36"/>
      <c r="K1267" s="36"/>
      <c r="L1267" s="37"/>
      <c r="M1267" s="37"/>
      <c r="O1267" s="36"/>
    </row>
    <row r="1268" spans="2:15">
      <c r="B1268" s="59"/>
      <c r="C1268" s="12"/>
      <c r="D1268" s="49"/>
      <c r="E1268" s="57"/>
      <c r="F1268" s="32"/>
      <c r="H1268" s="36"/>
      <c r="I1268" s="36"/>
      <c r="J1268" s="36"/>
      <c r="K1268" s="36"/>
      <c r="L1268" s="37"/>
      <c r="M1268" s="37"/>
      <c r="O1268" s="36"/>
    </row>
    <row r="1269" spans="2:15">
      <c r="B1269" s="59"/>
      <c r="C1269" s="12"/>
      <c r="D1269" s="49"/>
      <c r="E1269" s="57"/>
      <c r="F1269" s="32"/>
      <c r="H1269" s="36"/>
      <c r="I1269" s="36"/>
      <c r="J1269" s="36"/>
      <c r="K1269" s="36"/>
      <c r="L1269" s="37"/>
      <c r="M1269" s="37"/>
      <c r="O1269" s="36"/>
    </row>
    <row r="1270" spans="2:15">
      <c r="B1270" s="59"/>
      <c r="C1270" s="12"/>
      <c r="D1270" s="49"/>
      <c r="E1270" s="57"/>
      <c r="F1270" s="32"/>
      <c r="H1270" s="36"/>
      <c r="I1270" s="36"/>
      <c r="J1270" s="36"/>
      <c r="K1270" s="36"/>
      <c r="L1270" s="37"/>
      <c r="M1270" s="37"/>
      <c r="O1270" s="36"/>
    </row>
    <row r="1271" spans="2:15">
      <c r="B1271" s="59"/>
      <c r="C1271" s="12"/>
      <c r="D1271" s="49"/>
      <c r="E1271" s="57"/>
      <c r="F1271" s="32"/>
      <c r="H1271" s="36"/>
      <c r="I1271" s="36"/>
      <c r="J1271" s="36"/>
      <c r="K1271" s="36"/>
      <c r="L1271" s="37"/>
      <c r="M1271" s="37"/>
      <c r="O1271" s="36"/>
    </row>
    <row r="1272" spans="2:15">
      <c r="B1272" s="59"/>
      <c r="C1272" s="12"/>
      <c r="D1272" s="49"/>
      <c r="E1272" s="57"/>
      <c r="F1272" s="32"/>
      <c r="H1272" s="36"/>
      <c r="I1272" s="36"/>
      <c r="J1272" s="36"/>
      <c r="K1272" s="36"/>
      <c r="L1272" s="37"/>
      <c r="M1272" s="37"/>
      <c r="O1272" s="36"/>
    </row>
    <row r="1273" spans="2:15">
      <c r="B1273" s="59"/>
      <c r="C1273" s="12"/>
      <c r="D1273" s="49"/>
      <c r="E1273" s="57"/>
      <c r="F1273" s="32"/>
      <c r="H1273" s="36"/>
      <c r="I1273" s="36"/>
      <c r="J1273" s="36"/>
      <c r="K1273" s="36"/>
      <c r="L1273" s="37"/>
      <c r="M1273" s="37"/>
      <c r="O1273" s="36"/>
    </row>
    <row r="1274" spans="2:15">
      <c r="B1274" s="59"/>
      <c r="C1274" s="12"/>
      <c r="D1274" s="49"/>
      <c r="E1274" s="57"/>
      <c r="F1274" s="32"/>
      <c r="H1274" s="36"/>
      <c r="I1274" s="36"/>
      <c r="J1274" s="36"/>
      <c r="K1274" s="36"/>
      <c r="L1274" s="37"/>
      <c r="M1274" s="37"/>
      <c r="O1274" s="36"/>
    </row>
    <row r="1275" spans="2:15">
      <c r="B1275" s="59"/>
      <c r="C1275" s="12"/>
      <c r="D1275" s="49"/>
      <c r="E1275" s="57"/>
      <c r="F1275" s="32"/>
      <c r="H1275" s="36"/>
      <c r="I1275" s="36"/>
      <c r="J1275" s="36"/>
      <c r="K1275" s="36"/>
      <c r="L1275" s="37"/>
      <c r="M1275" s="37"/>
      <c r="O1275" s="36"/>
    </row>
    <row r="1276" spans="2:15">
      <c r="B1276" s="59"/>
      <c r="C1276" s="12"/>
      <c r="D1276" s="49"/>
      <c r="E1276" s="57"/>
      <c r="F1276" s="32"/>
      <c r="H1276" s="36"/>
      <c r="I1276" s="36"/>
      <c r="J1276" s="36"/>
      <c r="K1276" s="36"/>
      <c r="L1276" s="37"/>
      <c r="M1276" s="37"/>
      <c r="O1276" s="36"/>
    </row>
    <row r="1277" spans="2:15">
      <c r="B1277" s="59"/>
      <c r="C1277" s="12"/>
      <c r="D1277" s="49"/>
      <c r="E1277" s="57"/>
      <c r="F1277" s="32"/>
      <c r="H1277" s="36"/>
      <c r="I1277" s="36"/>
      <c r="J1277" s="36"/>
      <c r="K1277" s="36"/>
      <c r="L1277" s="37"/>
      <c r="M1277" s="37"/>
      <c r="O1277" s="36"/>
    </row>
    <row r="1278" spans="2:15">
      <c r="B1278" s="59"/>
      <c r="C1278" s="12"/>
      <c r="D1278" s="49"/>
      <c r="E1278" s="57"/>
      <c r="F1278" s="32"/>
      <c r="H1278" s="36"/>
      <c r="I1278" s="36"/>
      <c r="J1278" s="36"/>
      <c r="K1278" s="36"/>
      <c r="L1278" s="37"/>
      <c r="M1278" s="37"/>
      <c r="O1278" s="36"/>
    </row>
    <row r="1279" spans="2:15">
      <c r="B1279" s="59"/>
      <c r="C1279" s="12"/>
      <c r="D1279" s="49"/>
      <c r="E1279" s="57"/>
      <c r="F1279" s="32"/>
      <c r="H1279" s="36"/>
      <c r="I1279" s="36"/>
      <c r="J1279" s="36"/>
      <c r="K1279" s="36"/>
      <c r="L1279" s="37"/>
      <c r="M1279" s="37"/>
      <c r="O1279" s="36"/>
    </row>
    <row r="1280" spans="2:15">
      <c r="B1280" s="59"/>
      <c r="C1280" s="12"/>
      <c r="D1280" s="49"/>
      <c r="E1280" s="57"/>
      <c r="F1280" s="32"/>
      <c r="H1280" s="36"/>
      <c r="I1280" s="36"/>
      <c r="J1280" s="36"/>
      <c r="K1280" s="36"/>
      <c r="L1280" s="37"/>
      <c r="M1280" s="37"/>
      <c r="O1280" s="36"/>
    </row>
    <row r="1281" spans="2:15">
      <c r="B1281" s="59"/>
      <c r="C1281" s="12"/>
      <c r="D1281" s="49"/>
      <c r="E1281" s="57"/>
      <c r="F1281" s="32"/>
      <c r="H1281" s="36"/>
      <c r="I1281" s="36"/>
      <c r="J1281" s="36"/>
      <c r="K1281" s="36"/>
      <c r="L1281" s="37"/>
      <c r="M1281" s="37"/>
      <c r="O1281" s="36"/>
    </row>
    <row r="1282" spans="2:15">
      <c r="B1282" s="59"/>
      <c r="C1282" s="12"/>
      <c r="D1282" s="49"/>
      <c r="E1282" s="57"/>
      <c r="F1282" s="32"/>
      <c r="H1282" s="36"/>
      <c r="I1282" s="36"/>
      <c r="J1282" s="36"/>
      <c r="K1282" s="36"/>
      <c r="L1282" s="37"/>
      <c r="M1282" s="37"/>
      <c r="O1282" s="36"/>
    </row>
    <row r="1283" spans="2:15">
      <c r="B1283" s="59"/>
      <c r="C1283" s="12"/>
      <c r="D1283" s="49"/>
      <c r="E1283" s="57"/>
      <c r="F1283" s="32"/>
      <c r="H1283" s="36"/>
      <c r="I1283" s="36"/>
      <c r="J1283" s="36"/>
      <c r="K1283" s="36"/>
      <c r="L1283" s="37"/>
      <c r="M1283" s="37"/>
      <c r="O1283" s="36"/>
    </row>
    <row r="1284" spans="2:15">
      <c r="B1284" s="59"/>
      <c r="C1284" s="12"/>
      <c r="D1284" s="49"/>
      <c r="E1284" s="57"/>
      <c r="F1284" s="32"/>
      <c r="H1284" s="36"/>
      <c r="I1284" s="36"/>
      <c r="J1284" s="36"/>
      <c r="K1284" s="36"/>
      <c r="L1284" s="37"/>
      <c r="M1284" s="37"/>
      <c r="O1284" s="36"/>
    </row>
    <row r="1285" spans="2:15">
      <c r="B1285" s="59"/>
      <c r="C1285" s="12"/>
      <c r="D1285" s="49"/>
      <c r="E1285" s="57"/>
      <c r="F1285" s="32"/>
      <c r="H1285" s="36"/>
      <c r="I1285" s="36"/>
      <c r="J1285" s="36"/>
      <c r="K1285" s="36"/>
      <c r="L1285" s="37"/>
      <c r="M1285" s="37"/>
      <c r="O1285" s="36"/>
    </row>
    <row r="1286" spans="2:15">
      <c r="B1286" s="59"/>
      <c r="C1286" s="12"/>
      <c r="D1286" s="49"/>
      <c r="E1286" s="57"/>
      <c r="F1286" s="32"/>
      <c r="H1286" s="36"/>
      <c r="I1286" s="36"/>
      <c r="J1286" s="36"/>
      <c r="K1286" s="36"/>
      <c r="L1286" s="37"/>
      <c r="M1286" s="37"/>
      <c r="O1286" s="36"/>
    </row>
    <row r="1287" spans="2:15">
      <c r="B1287" s="59"/>
      <c r="C1287" s="12"/>
      <c r="D1287" s="49"/>
      <c r="E1287" s="57"/>
      <c r="F1287" s="32"/>
      <c r="H1287" s="36"/>
      <c r="I1287" s="36"/>
      <c r="J1287" s="36"/>
      <c r="K1287" s="36"/>
      <c r="L1287" s="37"/>
      <c r="M1287" s="37"/>
      <c r="O1287" s="36"/>
    </row>
    <row r="1288" spans="2:15">
      <c r="B1288" s="59"/>
      <c r="C1288" s="12"/>
      <c r="D1288" s="49"/>
      <c r="E1288" s="57"/>
      <c r="F1288" s="32"/>
      <c r="H1288" s="36"/>
      <c r="I1288" s="36"/>
      <c r="J1288" s="36"/>
      <c r="K1288" s="36"/>
      <c r="L1288" s="37"/>
      <c r="M1288" s="37"/>
      <c r="O1288" s="36"/>
    </row>
    <row r="1289" spans="2:15">
      <c r="B1289" s="59"/>
      <c r="C1289" s="12"/>
      <c r="D1289" s="49"/>
      <c r="E1289" s="57"/>
      <c r="F1289" s="32"/>
      <c r="H1289" s="36"/>
      <c r="I1289" s="36"/>
      <c r="J1289" s="36"/>
      <c r="K1289" s="36"/>
      <c r="L1289" s="37"/>
      <c r="M1289" s="37"/>
      <c r="O1289" s="36"/>
    </row>
    <row r="1290" spans="2:15">
      <c r="B1290" s="59"/>
      <c r="C1290" s="12"/>
      <c r="D1290" s="49"/>
      <c r="E1290" s="57"/>
      <c r="F1290" s="32"/>
      <c r="H1290" s="36"/>
      <c r="I1290" s="36"/>
      <c r="J1290" s="36"/>
      <c r="K1290" s="36"/>
      <c r="L1290" s="37"/>
      <c r="M1290" s="37"/>
      <c r="O1290" s="36"/>
    </row>
    <row r="1291" spans="2:15">
      <c r="B1291" s="59"/>
      <c r="C1291" s="12"/>
      <c r="D1291" s="49"/>
      <c r="E1291" s="57"/>
      <c r="F1291" s="32"/>
      <c r="H1291" s="36"/>
      <c r="I1291" s="36"/>
      <c r="J1291" s="36"/>
      <c r="K1291" s="36"/>
      <c r="L1291" s="37"/>
      <c r="M1291" s="37"/>
      <c r="O1291" s="36"/>
    </row>
    <row r="1292" spans="2:15">
      <c r="B1292" s="59"/>
      <c r="C1292" s="12"/>
      <c r="D1292" s="49"/>
      <c r="E1292" s="57"/>
      <c r="F1292" s="32"/>
      <c r="H1292" s="36"/>
      <c r="I1292" s="36"/>
      <c r="J1292" s="36"/>
      <c r="K1292" s="36"/>
      <c r="L1292" s="37"/>
      <c r="M1292" s="37"/>
      <c r="O1292" s="36"/>
    </row>
    <row r="1293" spans="2:15">
      <c r="B1293" s="59"/>
      <c r="C1293" s="12"/>
      <c r="D1293" s="49"/>
      <c r="E1293" s="57"/>
      <c r="F1293" s="32"/>
      <c r="H1293" s="36"/>
      <c r="I1293" s="36"/>
      <c r="J1293" s="36"/>
      <c r="K1293" s="36"/>
      <c r="L1293" s="37"/>
      <c r="M1293" s="37"/>
      <c r="O1293" s="36"/>
    </row>
    <row r="1294" spans="2:15">
      <c r="B1294" s="59"/>
      <c r="C1294" s="12"/>
      <c r="D1294" s="49"/>
      <c r="E1294" s="57"/>
      <c r="F1294" s="32"/>
      <c r="H1294" s="36"/>
      <c r="I1294" s="36"/>
      <c r="J1294" s="36"/>
      <c r="K1294" s="36"/>
      <c r="L1294" s="37"/>
      <c r="M1294" s="37"/>
      <c r="O1294" s="36"/>
    </row>
    <row r="1295" spans="2:15">
      <c r="B1295" s="59"/>
      <c r="C1295" s="12"/>
      <c r="D1295" s="49"/>
      <c r="E1295" s="57"/>
      <c r="F1295" s="32"/>
      <c r="H1295" s="36"/>
      <c r="I1295" s="36"/>
      <c r="J1295" s="36"/>
      <c r="K1295" s="36"/>
      <c r="L1295" s="37"/>
      <c r="M1295" s="37"/>
      <c r="O1295" s="36"/>
    </row>
    <row r="1296" spans="2:15">
      <c r="B1296" s="59"/>
      <c r="C1296" s="12"/>
      <c r="D1296" s="49"/>
      <c r="E1296" s="57"/>
      <c r="F1296" s="32"/>
      <c r="H1296" s="36"/>
      <c r="I1296" s="36"/>
      <c r="J1296" s="36"/>
      <c r="K1296" s="36"/>
      <c r="L1296" s="37"/>
      <c r="M1296" s="37"/>
      <c r="O1296" s="36"/>
    </row>
    <row r="1297" spans="2:15">
      <c r="B1297" s="59"/>
      <c r="C1297" s="12"/>
      <c r="D1297" s="49"/>
      <c r="E1297" s="57"/>
      <c r="F1297" s="32"/>
      <c r="H1297" s="36"/>
      <c r="I1297" s="36"/>
      <c r="J1297" s="36"/>
      <c r="K1297" s="36"/>
      <c r="L1297" s="37"/>
      <c r="M1297" s="37"/>
      <c r="O1297" s="36"/>
    </row>
    <row r="1298" spans="2:15">
      <c r="B1298" s="59"/>
      <c r="C1298" s="12"/>
      <c r="D1298" s="49"/>
      <c r="E1298" s="57"/>
      <c r="F1298" s="32"/>
      <c r="H1298" s="36"/>
      <c r="I1298" s="36"/>
      <c r="J1298" s="36"/>
      <c r="K1298" s="36"/>
      <c r="L1298" s="37"/>
      <c r="M1298" s="37"/>
      <c r="O1298" s="36"/>
    </row>
    <row r="1299" spans="2:15">
      <c r="B1299" s="59"/>
      <c r="C1299" s="12"/>
      <c r="D1299" s="49"/>
      <c r="E1299" s="57"/>
      <c r="F1299" s="32"/>
      <c r="H1299" s="36"/>
      <c r="I1299" s="36"/>
      <c r="J1299" s="36"/>
      <c r="K1299" s="36"/>
      <c r="L1299" s="37"/>
      <c r="M1299" s="37"/>
      <c r="O1299" s="36"/>
    </row>
    <row r="1300" spans="2:15">
      <c r="B1300" s="59"/>
      <c r="C1300" s="12"/>
      <c r="D1300" s="49"/>
      <c r="E1300" s="57"/>
      <c r="F1300" s="32"/>
      <c r="H1300" s="36"/>
      <c r="I1300" s="36"/>
      <c r="J1300" s="36"/>
      <c r="K1300" s="36"/>
      <c r="L1300" s="37"/>
      <c r="M1300" s="37"/>
      <c r="O1300" s="36"/>
    </row>
    <row r="1301" spans="2:15">
      <c r="B1301" s="59"/>
      <c r="C1301" s="12"/>
      <c r="D1301" s="49"/>
      <c r="E1301" s="57"/>
      <c r="F1301" s="32"/>
      <c r="H1301" s="36"/>
      <c r="I1301" s="36"/>
      <c r="J1301" s="36"/>
      <c r="K1301" s="36"/>
      <c r="L1301" s="37"/>
      <c r="M1301" s="37"/>
      <c r="O1301" s="36"/>
    </row>
    <row r="1302" spans="2:15">
      <c r="B1302" s="59"/>
      <c r="C1302" s="12"/>
      <c r="D1302" s="49"/>
      <c r="E1302" s="57"/>
      <c r="F1302" s="32"/>
      <c r="H1302" s="36"/>
      <c r="I1302" s="36"/>
      <c r="J1302" s="36"/>
      <c r="K1302" s="36"/>
      <c r="L1302" s="37"/>
      <c r="M1302" s="37"/>
      <c r="O1302" s="36"/>
    </row>
    <row r="1303" spans="2:15">
      <c r="B1303" s="59"/>
      <c r="C1303" s="12"/>
      <c r="D1303" s="49"/>
      <c r="E1303" s="57"/>
      <c r="F1303" s="32"/>
      <c r="H1303" s="36"/>
      <c r="I1303" s="36"/>
      <c r="J1303" s="36"/>
      <c r="K1303" s="36"/>
      <c r="L1303" s="37"/>
      <c r="M1303" s="37"/>
      <c r="O1303" s="36"/>
    </row>
    <row r="1304" spans="2:15">
      <c r="B1304" s="59"/>
      <c r="C1304" s="12"/>
      <c r="D1304" s="49"/>
      <c r="E1304" s="57"/>
      <c r="F1304" s="32"/>
      <c r="H1304" s="36"/>
      <c r="I1304" s="36"/>
      <c r="J1304" s="36"/>
      <c r="K1304" s="36"/>
      <c r="L1304" s="37"/>
      <c r="M1304" s="37"/>
      <c r="O1304" s="36"/>
    </row>
    <row r="1305" spans="2:15">
      <c r="B1305" s="59"/>
      <c r="C1305" s="12"/>
      <c r="D1305" s="49"/>
      <c r="E1305" s="57"/>
      <c r="F1305" s="32"/>
      <c r="H1305" s="36"/>
      <c r="I1305" s="36"/>
      <c r="J1305" s="36"/>
      <c r="K1305" s="36"/>
      <c r="L1305" s="37"/>
      <c r="M1305" s="37"/>
      <c r="O1305" s="36"/>
    </row>
    <row r="1306" spans="2:15">
      <c r="B1306" s="59"/>
      <c r="C1306" s="12"/>
      <c r="D1306" s="49"/>
      <c r="E1306" s="57"/>
      <c r="F1306" s="32"/>
      <c r="H1306" s="36"/>
      <c r="I1306" s="36"/>
      <c r="J1306" s="36"/>
      <c r="K1306" s="36"/>
      <c r="L1306" s="37"/>
      <c r="M1306" s="37"/>
      <c r="O1306" s="36"/>
    </row>
    <row r="1307" spans="2:15">
      <c r="B1307" s="59"/>
      <c r="C1307" s="12"/>
      <c r="D1307" s="49"/>
      <c r="E1307" s="57"/>
      <c r="F1307" s="32"/>
      <c r="H1307" s="36"/>
      <c r="I1307" s="36"/>
      <c r="J1307" s="36"/>
      <c r="K1307" s="36"/>
      <c r="L1307" s="37"/>
      <c r="M1307" s="37"/>
      <c r="O1307" s="36"/>
    </row>
    <row r="1308" spans="2:15">
      <c r="B1308" s="59"/>
      <c r="C1308" s="12"/>
      <c r="D1308" s="49"/>
      <c r="E1308" s="57"/>
      <c r="F1308" s="32"/>
      <c r="H1308" s="36"/>
      <c r="I1308" s="36"/>
      <c r="J1308" s="36"/>
      <c r="K1308" s="36"/>
      <c r="L1308" s="37"/>
      <c r="M1308" s="37"/>
      <c r="O1308" s="36"/>
    </row>
    <row r="1309" spans="2:15">
      <c r="B1309" s="59"/>
      <c r="C1309" s="12"/>
      <c r="D1309" s="49"/>
      <c r="E1309" s="57"/>
      <c r="F1309" s="32"/>
      <c r="H1309" s="36"/>
      <c r="I1309" s="36"/>
      <c r="J1309" s="36"/>
      <c r="K1309" s="36"/>
      <c r="L1309" s="37"/>
      <c r="M1309" s="37"/>
      <c r="O1309" s="36"/>
    </row>
    <row r="1310" spans="2:15">
      <c r="B1310" s="59"/>
      <c r="C1310" s="12"/>
      <c r="D1310" s="49"/>
      <c r="E1310" s="57"/>
      <c r="F1310" s="32"/>
      <c r="H1310" s="36"/>
      <c r="I1310" s="36"/>
      <c r="J1310" s="36"/>
      <c r="K1310" s="36"/>
      <c r="L1310" s="37"/>
      <c r="M1310" s="37"/>
      <c r="O1310" s="36"/>
    </row>
    <row r="1311" spans="2:15">
      <c r="B1311" s="59"/>
      <c r="C1311" s="12"/>
      <c r="D1311" s="49"/>
      <c r="E1311" s="57"/>
      <c r="F1311" s="32"/>
      <c r="H1311" s="36"/>
      <c r="I1311" s="36"/>
      <c r="J1311" s="36"/>
      <c r="K1311" s="36"/>
      <c r="L1311" s="37"/>
      <c r="M1311" s="37"/>
      <c r="O1311" s="36"/>
    </row>
    <row r="1312" spans="2:15">
      <c r="B1312" s="59"/>
      <c r="C1312" s="12"/>
      <c r="D1312" s="49"/>
      <c r="E1312" s="57"/>
      <c r="F1312" s="32"/>
      <c r="H1312" s="36"/>
      <c r="I1312" s="36"/>
      <c r="J1312" s="36"/>
      <c r="K1312" s="36"/>
      <c r="L1312" s="37"/>
      <c r="M1312" s="37"/>
      <c r="O1312" s="36"/>
    </row>
    <row r="1313" spans="2:15">
      <c r="B1313" s="59"/>
      <c r="C1313" s="12"/>
      <c r="D1313" s="49"/>
      <c r="E1313" s="57"/>
      <c r="F1313" s="32"/>
      <c r="H1313" s="36"/>
      <c r="I1313" s="36"/>
      <c r="J1313" s="36"/>
      <c r="K1313" s="36"/>
      <c r="L1313" s="37"/>
      <c r="M1313" s="37"/>
      <c r="O1313" s="36"/>
    </row>
    <row r="1314" spans="2:15">
      <c r="B1314" s="59"/>
      <c r="C1314" s="12"/>
      <c r="D1314" s="49"/>
      <c r="E1314" s="57"/>
      <c r="F1314" s="32"/>
      <c r="H1314" s="36"/>
      <c r="I1314" s="36"/>
      <c r="J1314" s="36"/>
      <c r="K1314" s="36"/>
      <c r="L1314" s="37"/>
      <c r="M1314" s="37"/>
      <c r="O1314" s="36"/>
    </row>
    <row r="1315" spans="2:15">
      <c r="B1315" s="59"/>
      <c r="C1315" s="12"/>
      <c r="D1315" s="49"/>
      <c r="E1315" s="57"/>
      <c r="F1315" s="32"/>
      <c r="H1315" s="36"/>
      <c r="I1315" s="36"/>
      <c r="J1315" s="36"/>
      <c r="K1315" s="36"/>
      <c r="L1315" s="37"/>
      <c r="M1315" s="37"/>
      <c r="O1315" s="36"/>
    </row>
    <row r="1316" spans="2:15">
      <c r="B1316" s="59"/>
      <c r="C1316" s="12"/>
      <c r="D1316" s="49"/>
      <c r="E1316" s="57"/>
      <c r="F1316" s="32"/>
      <c r="H1316" s="36"/>
      <c r="I1316" s="36"/>
      <c r="J1316" s="36"/>
      <c r="K1316" s="36"/>
      <c r="L1316" s="37"/>
      <c r="M1316" s="37"/>
      <c r="O1316" s="36"/>
    </row>
    <row r="1317" spans="2:15">
      <c r="B1317" s="59"/>
      <c r="C1317" s="12"/>
      <c r="D1317" s="49"/>
      <c r="E1317" s="57"/>
      <c r="F1317" s="32"/>
      <c r="H1317" s="36"/>
      <c r="I1317" s="36"/>
      <c r="J1317" s="36"/>
      <c r="K1317" s="36"/>
      <c r="L1317" s="37"/>
      <c r="M1317" s="37"/>
      <c r="O1317" s="36"/>
    </row>
    <row r="1318" spans="2:15">
      <c r="B1318" s="59"/>
      <c r="C1318" s="12"/>
      <c r="D1318" s="49"/>
      <c r="E1318" s="57"/>
      <c r="F1318" s="32"/>
      <c r="H1318" s="36"/>
      <c r="I1318" s="36"/>
      <c r="J1318" s="36"/>
      <c r="K1318" s="36"/>
      <c r="L1318" s="37"/>
      <c r="M1318" s="37"/>
      <c r="O1318" s="36"/>
    </row>
    <row r="1319" spans="2:15">
      <c r="B1319" s="59"/>
      <c r="C1319" s="12"/>
      <c r="D1319" s="49"/>
      <c r="E1319" s="57"/>
      <c r="F1319" s="32"/>
      <c r="H1319" s="36"/>
      <c r="I1319" s="36"/>
      <c r="J1319" s="36"/>
      <c r="K1319" s="36"/>
      <c r="L1319" s="37"/>
      <c r="M1319" s="37"/>
      <c r="O1319" s="36"/>
    </row>
    <row r="1320" spans="2:15">
      <c r="B1320" s="59"/>
      <c r="C1320" s="12"/>
      <c r="D1320" s="49"/>
      <c r="E1320" s="57"/>
      <c r="F1320" s="32"/>
      <c r="H1320" s="36"/>
      <c r="I1320" s="36"/>
      <c r="J1320" s="36"/>
      <c r="K1320" s="36"/>
      <c r="L1320" s="37"/>
      <c r="M1320" s="37"/>
      <c r="O1320" s="36"/>
    </row>
    <row r="1321" spans="2:15">
      <c r="B1321" s="59"/>
      <c r="C1321" s="12"/>
      <c r="D1321" s="49"/>
      <c r="E1321" s="57"/>
      <c r="F1321" s="32"/>
      <c r="H1321" s="36"/>
      <c r="I1321" s="36"/>
      <c r="J1321" s="36"/>
      <c r="K1321" s="36"/>
      <c r="L1321" s="37"/>
      <c r="M1321" s="37"/>
      <c r="O1321" s="36"/>
    </row>
    <row r="1322" spans="2:15">
      <c r="B1322" s="59"/>
      <c r="C1322" s="12"/>
      <c r="D1322" s="49"/>
      <c r="E1322" s="57"/>
      <c r="F1322" s="32"/>
      <c r="H1322" s="36"/>
      <c r="I1322" s="36"/>
      <c r="J1322" s="36"/>
      <c r="K1322" s="36"/>
      <c r="L1322" s="37"/>
      <c r="M1322" s="37"/>
      <c r="O1322" s="36"/>
    </row>
    <row r="1323" spans="2:15">
      <c r="B1323" s="59"/>
      <c r="C1323" s="12"/>
      <c r="D1323" s="49"/>
      <c r="E1323" s="57"/>
      <c r="F1323" s="32"/>
      <c r="H1323" s="36"/>
      <c r="I1323" s="36"/>
      <c r="J1323" s="36"/>
      <c r="K1323" s="36"/>
      <c r="L1323" s="37"/>
      <c r="M1323" s="37"/>
      <c r="O1323" s="36"/>
    </row>
    <row r="1324" spans="2:15">
      <c r="B1324" s="59"/>
      <c r="C1324" s="12"/>
      <c r="D1324" s="49"/>
      <c r="E1324" s="57"/>
      <c r="F1324" s="32"/>
      <c r="H1324" s="36"/>
      <c r="I1324" s="36"/>
      <c r="J1324" s="36"/>
      <c r="K1324" s="36"/>
      <c r="L1324" s="37"/>
      <c r="M1324" s="37"/>
      <c r="O1324" s="36"/>
    </row>
    <row r="1325" spans="2:15">
      <c r="B1325" s="59"/>
      <c r="C1325" s="12"/>
      <c r="D1325" s="49"/>
      <c r="E1325" s="57"/>
      <c r="F1325" s="32"/>
      <c r="H1325" s="36"/>
      <c r="I1325" s="36"/>
      <c r="J1325" s="36"/>
      <c r="K1325" s="36"/>
      <c r="L1325" s="37"/>
      <c r="M1325" s="37"/>
      <c r="O1325" s="36"/>
    </row>
    <row r="1326" spans="2:15">
      <c r="B1326" s="59"/>
      <c r="C1326" s="12"/>
      <c r="D1326" s="49"/>
      <c r="E1326" s="57"/>
      <c r="F1326" s="32"/>
      <c r="H1326" s="36"/>
      <c r="I1326" s="36"/>
      <c r="J1326" s="36"/>
      <c r="K1326" s="36"/>
      <c r="L1326" s="37"/>
      <c r="M1326" s="37"/>
      <c r="O1326" s="36"/>
    </row>
    <row r="1327" spans="2:15">
      <c r="B1327" s="59"/>
      <c r="C1327" s="12"/>
      <c r="D1327" s="49"/>
      <c r="E1327" s="57"/>
      <c r="F1327" s="32"/>
      <c r="H1327" s="36"/>
      <c r="I1327" s="36"/>
      <c r="J1327" s="36"/>
      <c r="K1327" s="36"/>
      <c r="L1327" s="37"/>
      <c r="M1327" s="37"/>
      <c r="O1327" s="36"/>
    </row>
    <row r="1328" spans="2:15">
      <c r="B1328" s="59"/>
      <c r="C1328" s="12"/>
      <c r="D1328" s="49"/>
      <c r="E1328" s="57"/>
      <c r="F1328" s="32"/>
      <c r="H1328" s="36"/>
      <c r="I1328" s="36"/>
      <c r="J1328" s="36"/>
      <c r="K1328" s="36"/>
      <c r="L1328" s="37"/>
      <c r="M1328" s="37"/>
      <c r="O1328" s="36"/>
    </row>
    <row r="1329" spans="2:15">
      <c r="B1329" s="59"/>
      <c r="C1329" s="12"/>
      <c r="D1329" s="49"/>
      <c r="E1329" s="57"/>
      <c r="F1329" s="32"/>
      <c r="H1329" s="36"/>
      <c r="I1329" s="36"/>
      <c r="J1329" s="36"/>
      <c r="K1329" s="36"/>
      <c r="L1329" s="37"/>
      <c r="M1329" s="37"/>
      <c r="O1329" s="36"/>
    </row>
    <row r="1330" spans="2:15">
      <c r="B1330" s="59"/>
      <c r="C1330" s="12"/>
      <c r="D1330" s="49"/>
      <c r="E1330" s="57"/>
      <c r="F1330" s="32"/>
      <c r="H1330" s="36"/>
      <c r="I1330" s="36"/>
      <c r="J1330" s="36"/>
      <c r="K1330" s="36"/>
      <c r="L1330" s="37"/>
      <c r="M1330" s="37"/>
      <c r="O1330" s="36"/>
    </row>
    <row r="1331" spans="2:15">
      <c r="B1331" s="59"/>
      <c r="C1331" s="12"/>
      <c r="D1331" s="49"/>
      <c r="E1331" s="57"/>
      <c r="F1331" s="32"/>
      <c r="H1331" s="36"/>
      <c r="I1331" s="36"/>
      <c r="J1331" s="36"/>
      <c r="K1331" s="36"/>
      <c r="L1331" s="37"/>
      <c r="M1331" s="37"/>
      <c r="O1331" s="36"/>
    </row>
    <row r="1332" spans="2:15">
      <c r="B1332" s="59"/>
      <c r="C1332" s="12"/>
      <c r="D1332" s="49"/>
      <c r="E1332" s="57"/>
      <c r="F1332" s="32"/>
      <c r="H1332" s="36"/>
      <c r="I1332" s="36"/>
      <c r="J1332" s="36"/>
      <c r="K1332" s="36"/>
      <c r="L1332" s="37"/>
      <c r="M1332" s="37"/>
      <c r="O1332" s="36"/>
    </row>
    <row r="1333" spans="2:15">
      <c r="B1333" s="59"/>
      <c r="C1333" s="12"/>
      <c r="D1333" s="49"/>
      <c r="E1333" s="57"/>
      <c r="F1333" s="32"/>
      <c r="H1333" s="36"/>
      <c r="I1333" s="36"/>
      <c r="J1333" s="36"/>
      <c r="K1333" s="36"/>
      <c r="L1333" s="37"/>
      <c r="M1333" s="37"/>
      <c r="O1333" s="36"/>
    </row>
    <row r="1334" spans="2:15">
      <c r="B1334" s="59"/>
      <c r="C1334" s="12"/>
      <c r="D1334" s="49"/>
      <c r="E1334" s="57"/>
      <c r="F1334" s="32"/>
      <c r="H1334" s="36"/>
      <c r="I1334" s="36"/>
      <c r="J1334" s="36"/>
      <c r="K1334" s="36"/>
      <c r="L1334" s="37"/>
      <c r="M1334" s="37"/>
      <c r="O1334" s="36"/>
    </row>
    <row r="1335" spans="2:15">
      <c r="B1335" s="59"/>
      <c r="C1335" s="12"/>
      <c r="D1335" s="49"/>
      <c r="E1335" s="57"/>
      <c r="F1335" s="32"/>
      <c r="H1335" s="36"/>
      <c r="I1335" s="36"/>
      <c r="J1335" s="36"/>
      <c r="K1335" s="36"/>
      <c r="L1335" s="37"/>
      <c r="M1335" s="37"/>
      <c r="O1335" s="36"/>
    </row>
    <row r="1336" spans="2:15">
      <c r="B1336" s="59"/>
      <c r="C1336" s="12"/>
      <c r="D1336" s="49"/>
      <c r="E1336" s="57"/>
      <c r="F1336" s="32"/>
      <c r="H1336" s="36"/>
      <c r="I1336" s="36"/>
      <c r="J1336" s="36"/>
      <c r="K1336" s="36"/>
      <c r="L1336" s="37"/>
      <c r="M1336" s="37"/>
      <c r="O1336" s="36"/>
    </row>
    <row r="1337" spans="2:15">
      <c r="B1337" s="59"/>
      <c r="C1337" s="12"/>
      <c r="D1337" s="49"/>
      <c r="E1337" s="57"/>
      <c r="F1337" s="32"/>
      <c r="H1337" s="36"/>
      <c r="I1337" s="36"/>
      <c r="J1337" s="36"/>
      <c r="K1337" s="36"/>
      <c r="L1337" s="37"/>
      <c r="M1337" s="37"/>
      <c r="O1337" s="36"/>
    </row>
    <row r="1338" spans="2:15">
      <c r="B1338" s="59"/>
      <c r="C1338" s="12"/>
      <c r="D1338" s="49"/>
      <c r="E1338" s="57"/>
      <c r="F1338" s="32"/>
      <c r="H1338" s="36"/>
      <c r="I1338" s="36"/>
      <c r="J1338" s="36"/>
      <c r="K1338" s="36"/>
      <c r="L1338" s="37"/>
      <c r="M1338" s="37"/>
      <c r="O1338" s="36"/>
    </row>
    <row r="1339" spans="2:15">
      <c r="B1339" s="59"/>
      <c r="C1339" s="12"/>
      <c r="D1339" s="49"/>
      <c r="E1339" s="57"/>
      <c r="F1339" s="32"/>
      <c r="H1339" s="36"/>
      <c r="I1339" s="36"/>
      <c r="J1339" s="36"/>
      <c r="K1339" s="36"/>
      <c r="L1339" s="37"/>
      <c r="M1339" s="37"/>
      <c r="O1339" s="36"/>
    </row>
    <row r="1340" spans="2:15">
      <c r="B1340" s="59"/>
      <c r="C1340" s="12"/>
      <c r="D1340" s="49"/>
      <c r="E1340" s="57"/>
      <c r="F1340" s="32"/>
      <c r="H1340" s="36"/>
      <c r="I1340" s="36"/>
      <c r="J1340" s="36"/>
      <c r="K1340" s="36"/>
      <c r="L1340" s="37"/>
      <c r="M1340" s="37"/>
      <c r="O1340" s="36"/>
    </row>
    <row r="1341" spans="2:15">
      <c r="B1341" s="59"/>
      <c r="C1341" s="12"/>
      <c r="D1341" s="49"/>
      <c r="E1341" s="57"/>
      <c r="F1341" s="32"/>
      <c r="H1341" s="36"/>
      <c r="I1341" s="36"/>
      <c r="J1341" s="36"/>
      <c r="K1341" s="36"/>
      <c r="L1341" s="37"/>
      <c r="M1341" s="37"/>
      <c r="O1341" s="36"/>
    </row>
    <row r="1342" spans="2:15">
      <c r="B1342" s="59"/>
      <c r="C1342" s="12"/>
      <c r="D1342" s="49"/>
      <c r="E1342" s="57"/>
      <c r="F1342" s="32"/>
      <c r="H1342" s="36"/>
      <c r="I1342" s="36"/>
      <c r="J1342" s="36"/>
      <c r="K1342" s="36"/>
      <c r="L1342" s="37"/>
      <c r="M1342" s="37"/>
      <c r="O1342" s="36"/>
    </row>
    <row r="1343" spans="2:15">
      <c r="B1343" s="59"/>
      <c r="C1343" s="12"/>
      <c r="D1343" s="49"/>
      <c r="E1343" s="57"/>
      <c r="F1343" s="32"/>
      <c r="H1343" s="36"/>
      <c r="I1343" s="36"/>
      <c r="J1343" s="36"/>
      <c r="K1343" s="36"/>
      <c r="L1343" s="37"/>
      <c r="M1343" s="37"/>
      <c r="O1343" s="36"/>
    </row>
    <row r="1344" spans="2:15">
      <c r="B1344" s="59"/>
      <c r="C1344" s="12"/>
      <c r="D1344" s="49"/>
      <c r="E1344" s="57"/>
      <c r="F1344" s="32"/>
      <c r="H1344" s="36"/>
      <c r="I1344" s="36"/>
      <c r="J1344" s="36"/>
      <c r="K1344" s="36"/>
      <c r="L1344" s="37"/>
      <c r="M1344" s="37"/>
      <c r="O1344" s="36"/>
    </row>
    <row r="1345" spans="2:15">
      <c r="B1345" s="59"/>
      <c r="C1345" s="12"/>
      <c r="D1345" s="49"/>
      <c r="E1345" s="57"/>
      <c r="F1345" s="32"/>
      <c r="H1345" s="36"/>
      <c r="I1345" s="36"/>
      <c r="J1345" s="36"/>
      <c r="K1345" s="36"/>
      <c r="L1345" s="37"/>
      <c r="M1345" s="37"/>
      <c r="O1345" s="36"/>
    </row>
    <row r="1346" spans="2:15">
      <c r="B1346" s="59"/>
      <c r="C1346" s="12"/>
      <c r="D1346" s="49"/>
      <c r="E1346" s="57"/>
      <c r="F1346" s="32"/>
      <c r="H1346" s="36"/>
      <c r="I1346" s="36"/>
      <c r="J1346" s="36"/>
      <c r="K1346" s="36"/>
      <c r="L1346" s="37"/>
      <c r="M1346" s="37"/>
      <c r="O1346" s="36"/>
    </row>
    <row r="1347" spans="2:15">
      <c r="B1347" s="59"/>
      <c r="C1347" s="12"/>
      <c r="D1347" s="49"/>
      <c r="E1347" s="57"/>
      <c r="F1347" s="32"/>
      <c r="H1347" s="36"/>
      <c r="I1347" s="36"/>
      <c r="J1347" s="36"/>
      <c r="K1347" s="36"/>
      <c r="L1347" s="37"/>
      <c r="M1347" s="37"/>
      <c r="O1347" s="36"/>
    </row>
    <row r="1348" spans="2:15">
      <c r="B1348" s="59"/>
      <c r="C1348" s="12"/>
      <c r="D1348" s="49"/>
      <c r="E1348" s="57"/>
      <c r="F1348" s="32"/>
      <c r="H1348" s="36"/>
      <c r="I1348" s="36"/>
      <c r="J1348" s="36"/>
      <c r="K1348" s="36"/>
      <c r="L1348" s="37"/>
      <c r="M1348" s="37"/>
      <c r="O1348" s="36"/>
    </row>
    <row r="1349" spans="2:15">
      <c r="B1349" s="59"/>
      <c r="C1349" s="12"/>
      <c r="D1349" s="49"/>
      <c r="E1349" s="57"/>
      <c r="F1349" s="32"/>
      <c r="H1349" s="36"/>
      <c r="I1349" s="36"/>
      <c r="J1349" s="36"/>
      <c r="K1349" s="36"/>
      <c r="L1349" s="37"/>
      <c r="M1349" s="37"/>
      <c r="O1349" s="36"/>
    </row>
    <row r="1350" spans="2:15">
      <c r="B1350" s="59"/>
      <c r="C1350" s="12"/>
      <c r="D1350" s="49"/>
      <c r="E1350" s="57"/>
      <c r="F1350" s="32"/>
      <c r="H1350" s="36"/>
      <c r="I1350" s="36"/>
      <c r="J1350" s="36"/>
      <c r="K1350" s="36"/>
      <c r="L1350" s="37"/>
      <c r="M1350" s="37"/>
      <c r="O1350" s="36"/>
    </row>
    <row r="1351" spans="2:15">
      <c r="B1351" s="59"/>
      <c r="C1351" s="12"/>
      <c r="D1351" s="49"/>
      <c r="E1351" s="57"/>
      <c r="F1351" s="32"/>
      <c r="H1351" s="36"/>
      <c r="I1351" s="36"/>
      <c r="J1351" s="36"/>
      <c r="K1351" s="36"/>
      <c r="L1351" s="37"/>
      <c r="M1351" s="37"/>
      <c r="O1351" s="36"/>
    </row>
    <row r="1352" spans="2:15">
      <c r="B1352" s="59"/>
      <c r="C1352" s="12"/>
      <c r="D1352" s="49"/>
      <c r="E1352" s="57"/>
      <c r="F1352" s="32"/>
      <c r="H1352" s="36"/>
      <c r="I1352" s="36"/>
      <c r="J1352" s="36"/>
      <c r="K1352" s="36"/>
      <c r="L1352" s="37"/>
      <c r="M1352" s="37"/>
      <c r="O1352" s="36"/>
    </row>
    <row r="1353" spans="2:15">
      <c r="B1353" s="59"/>
      <c r="C1353" s="12"/>
      <c r="D1353" s="49"/>
      <c r="E1353" s="57"/>
      <c r="F1353" s="32"/>
      <c r="H1353" s="36"/>
      <c r="I1353" s="36"/>
      <c r="J1353" s="36"/>
      <c r="K1353" s="36"/>
      <c r="L1353" s="37"/>
      <c r="M1353" s="37"/>
      <c r="O1353" s="36"/>
    </row>
    <row r="1354" spans="2:15">
      <c r="B1354" s="59"/>
      <c r="C1354" s="12"/>
      <c r="D1354" s="49"/>
      <c r="E1354" s="57"/>
      <c r="F1354" s="32"/>
      <c r="H1354" s="36"/>
      <c r="I1354" s="36"/>
      <c r="J1354" s="36"/>
      <c r="K1354" s="36"/>
      <c r="L1354" s="37"/>
      <c r="M1354" s="37"/>
      <c r="O1354" s="36"/>
    </row>
    <row r="1355" spans="2:15">
      <c r="B1355" s="59"/>
      <c r="C1355" s="12"/>
      <c r="D1355" s="49"/>
      <c r="E1355" s="57"/>
      <c r="F1355" s="32"/>
      <c r="H1355" s="36"/>
      <c r="I1355" s="36"/>
      <c r="J1355" s="36"/>
      <c r="K1355" s="36"/>
      <c r="L1355" s="37"/>
      <c r="M1355" s="37"/>
      <c r="O1355" s="36"/>
    </row>
    <row r="1356" spans="2:15">
      <c r="B1356" s="59"/>
      <c r="C1356" s="12"/>
      <c r="D1356" s="49"/>
      <c r="E1356" s="57"/>
      <c r="F1356" s="32"/>
      <c r="H1356" s="36"/>
      <c r="I1356" s="36"/>
      <c r="J1356" s="36"/>
      <c r="K1356" s="36"/>
      <c r="L1356" s="37"/>
      <c r="M1356" s="37"/>
      <c r="O1356" s="36"/>
    </row>
    <row r="1357" spans="2:15">
      <c r="B1357" s="59"/>
      <c r="C1357" s="12"/>
      <c r="D1357" s="49"/>
      <c r="E1357" s="57"/>
      <c r="F1357" s="32"/>
      <c r="H1357" s="36"/>
      <c r="I1357" s="36"/>
      <c r="J1357" s="36"/>
      <c r="K1357" s="36"/>
      <c r="L1357" s="37"/>
      <c r="M1357" s="37"/>
      <c r="O1357" s="36"/>
    </row>
    <row r="1358" spans="2:15">
      <c r="B1358" s="59"/>
      <c r="C1358" s="12"/>
      <c r="D1358" s="49"/>
      <c r="E1358" s="57"/>
      <c r="F1358" s="32"/>
      <c r="H1358" s="36"/>
      <c r="I1358" s="36"/>
      <c r="J1358" s="36"/>
      <c r="K1358" s="36"/>
      <c r="L1358" s="37"/>
      <c r="M1358" s="37"/>
      <c r="O1358" s="36"/>
    </row>
    <row r="1359" spans="2:15">
      <c r="B1359" s="59"/>
      <c r="C1359" s="12"/>
      <c r="D1359" s="49"/>
      <c r="E1359" s="57"/>
      <c r="F1359" s="32"/>
      <c r="H1359" s="36"/>
      <c r="I1359" s="36"/>
      <c r="J1359" s="36"/>
      <c r="K1359" s="36"/>
      <c r="L1359" s="37"/>
      <c r="M1359" s="37"/>
      <c r="O1359" s="36"/>
    </row>
    <row r="1360" spans="2:15">
      <c r="B1360" s="59"/>
      <c r="C1360" s="12"/>
      <c r="D1360" s="49"/>
      <c r="E1360" s="57"/>
      <c r="F1360" s="32"/>
      <c r="H1360" s="36"/>
      <c r="I1360" s="36"/>
      <c r="J1360" s="36"/>
      <c r="K1360" s="36"/>
      <c r="L1360" s="37"/>
      <c r="M1360" s="37"/>
      <c r="O1360" s="36"/>
    </row>
    <row r="1361" spans="2:15">
      <c r="B1361" s="59"/>
      <c r="C1361" s="12"/>
      <c r="D1361" s="49"/>
      <c r="E1361" s="57"/>
      <c r="F1361" s="32"/>
      <c r="H1361" s="36"/>
      <c r="I1361" s="36"/>
      <c r="J1361" s="36"/>
      <c r="K1361" s="36"/>
      <c r="L1361" s="37"/>
      <c r="M1361" s="37"/>
      <c r="O1361" s="36"/>
    </row>
    <row r="1362" spans="2:15">
      <c r="B1362" s="59"/>
      <c r="C1362" s="12"/>
      <c r="D1362" s="49"/>
      <c r="E1362" s="57"/>
      <c r="F1362" s="32"/>
      <c r="H1362" s="36"/>
      <c r="I1362" s="36"/>
      <c r="J1362" s="36"/>
      <c r="K1362" s="36"/>
      <c r="L1362" s="37"/>
      <c r="M1362" s="37"/>
      <c r="O1362" s="36"/>
    </row>
    <row r="1363" spans="2:15">
      <c r="B1363" s="59"/>
      <c r="C1363" s="12"/>
      <c r="D1363" s="49"/>
      <c r="E1363" s="57"/>
      <c r="F1363" s="32"/>
      <c r="H1363" s="36"/>
      <c r="I1363" s="36"/>
      <c r="J1363" s="36"/>
      <c r="K1363" s="36"/>
      <c r="L1363" s="37"/>
      <c r="M1363" s="37"/>
      <c r="O1363" s="36"/>
    </row>
    <row r="1364" spans="2:15">
      <c r="B1364" s="59"/>
      <c r="C1364" s="12"/>
      <c r="D1364" s="49"/>
      <c r="E1364" s="57"/>
      <c r="F1364" s="32"/>
      <c r="H1364" s="36"/>
      <c r="I1364" s="36"/>
      <c r="J1364" s="36"/>
      <c r="K1364" s="36"/>
      <c r="L1364" s="37"/>
      <c r="M1364" s="37"/>
      <c r="O1364" s="36"/>
    </row>
    <row r="1365" spans="2:15">
      <c r="B1365" s="59"/>
      <c r="C1365" s="12"/>
      <c r="D1365" s="49"/>
      <c r="E1365" s="57"/>
      <c r="F1365" s="32"/>
      <c r="H1365" s="36"/>
      <c r="I1365" s="36"/>
      <c r="J1365" s="36"/>
      <c r="K1365" s="36"/>
      <c r="L1365" s="37"/>
      <c r="M1365" s="37"/>
      <c r="O1365" s="36"/>
    </row>
    <row r="1366" spans="2:15">
      <c r="B1366" s="59"/>
      <c r="C1366" s="12"/>
      <c r="D1366" s="49"/>
      <c r="E1366" s="57"/>
      <c r="F1366" s="32"/>
      <c r="H1366" s="36"/>
      <c r="I1366" s="36"/>
      <c r="J1366" s="36"/>
      <c r="K1366" s="36"/>
      <c r="L1366" s="37"/>
      <c r="M1366" s="37"/>
      <c r="O1366" s="36"/>
    </row>
    <row r="1367" spans="2:15">
      <c r="B1367" s="59"/>
      <c r="C1367" s="12"/>
      <c r="D1367" s="49"/>
      <c r="E1367" s="57"/>
      <c r="F1367" s="32"/>
      <c r="H1367" s="36"/>
      <c r="I1367" s="36"/>
      <c r="J1367" s="36"/>
      <c r="K1367" s="36"/>
      <c r="L1367" s="37"/>
      <c r="M1367" s="37"/>
      <c r="O1367" s="36"/>
    </row>
    <row r="1368" spans="2:15">
      <c r="B1368" s="59"/>
      <c r="C1368" s="12"/>
      <c r="D1368" s="49"/>
      <c r="E1368" s="57"/>
      <c r="F1368" s="32"/>
      <c r="H1368" s="36"/>
      <c r="I1368" s="36"/>
      <c r="J1368" s="36"/>
      <c r="K1368" s="36"/>
      <c r="L1368" s="37"/>
      <c r="M1368" s="37"/>
      <c r="O1368" s="36"/>
    </row>
    <row r="1369" spans="2:15">
      <c r="B1369" s="59"/>
      <c r="C1369" s="12"/>
      <c r="D1369" s="49"/>
      <c r="E1369" s="57"/>
      <c r="F1369" s="32"/>
      <c r="H1369" s="36"/>
      <c r="I1369" s="36"/>
      <c r="J1369" s="36"/>
      <c r="K1369" s="36"/>
      <c r="L1369" s="37"/>
      <c r="M1369" s="37"/>
      <c r="O1369" s="36"/>
    </row>
    <row r="1370" spans="2:15">
      <c r="B1370" s="59"/>
      <c r="C1370" s="12"/>
      <c r="D1370" s="49"/>
      <c r="E1370" s="57"/>
      <c r="F1370" s="32"/>
      <c r="H1370" s="36"/>
      <c r="I1370" s="36"/>
      <c r="J1370" s="36"/>
      <c r="K1370" s="36"/>
      <c r="L1370" s="37"/>
      <c r="M1370" s="37"/>
      <c r="O1370" s="36"/>
    </row>
    <row r="1371" spans="2:15">
      <c r="B1371" s="59"/>
      <c r="C1371" s="12"/>
      <c r="D1371" s="49"/>
      <c r="E1371" s="57"/>
      <c r="F1371" s="32"/>
      <c r="H1371" s="36"/>
      <c r="I1371" s="36"/>
      <c r="J1371" s="36"/>
      <c r="K1371" s="36"/>
      <c r="L1371" s="37"/>
      <c r="M1371" s="37"/>
      <c r="O1371" s="36"/>
    </row>
    <row r="1372" spans="2:15">
      <c r="B1372" s="59"/>
      <c r="C1372" s="12"/>
      <c r="D1372" s="49"/>
      <c r="E1372" s="57"/>
      <c r="F1372" s="32"/>
      <c r="H1372" s="36"/>
      <c r="I1372" s="36"/>
      <c r="J1372" s="36"/>
      <c r="K1372" s="36"/>
      <c r="L1372" s="37"/>
      <c r="M1372" s="37"/>
      <c r="O1372" s="36"/>
    </row>
    <row r="1373" spans="2:15">
      <c r="B1373" s="59"/>
      <c r="C1373" s="12"/>
      <c r="D1373" s="49"/>
      <c r="E1373" s="57"/>
      <c r="F1373" s="32"/>
      <c r="H1373" s="36"/>
      <c r="I1373" s="36"/>
      <c r="J1373" s="36"/>
      <c r="K1373" s="36"/>
      <c r="L1373" s="37"/>
      <c r="M1373" s="37"/>
      <c r="O1373" s="36"/>
    </row>
    <row r="1374" spans="2:15">
      <c r="B1374" s="59"/>
      <c r="C1374" s="12"/>
      <c r="D1374" s="49"/>
      <c r="E1374" s="57"/>
      <c r="F1374" s="32"/>
      <c r="H1374" s="36"/>
      <c r="I1374" s="36"/>
      <c r="J1374" s="36"/>
      <c r="K1374" s="36"/>
      <c r="L1374" s="37"/>
      <c r="M1374" s="37"/>
      <c r="O1374" s="36"/>
    </row>
    <row r="1375" spans="2:15">
      <c r="B1375" s="59"/>
      <c r="C1375" s="12"/>
      <c r="D1375" s="49"/>
      <c r="E1375" s="57"/>
      <c r="F1375" s="32"/>
      <c r="H1375" s="36"/>
      <c r="I1375" s="36"/>
      <c r="J1375" s="36"/>
      <c r="K1375" s="36"/>
      <c r="L1375" s="37"/>
      <c r="M1375" s="37"/>
      <c r="O1375" s="36"/>
    </row>
    <row r="1376" spans="2:15">
      <c r="B1376" s="59"/>
      <c r="C1376" s="12"/>
      <c r="D1376" s="49"/>
      <c r="E1376" s="57"/>
      <c r="F1376" s="32"/>
      <c r="H1376" s="36"/>
      <c r="I1376" s="36"/>
      <c r="J1376" s="36"/>
      <c r="K1376" s="36"/>
      <c r="L1376" s="37"/>
      <c r="M1376" s="37"/>
      <c r="O1376" s="36"/>
    </row>
    <row r="1377" spans="2:15">
      <c r="B1377" s="59"/>
      <c r="C1377" s="12"/>
      <c r="D1377" s="49"/>
      <c r="E1377" s="57"/>
      <c r="F1377" s="32"/>
      <c r="H1377" s="36"/>
      <c r="I1377" s="36"/>
      <c r="J1377" s="36"/>
      <c r="K1377" s="36"/>
      <c r="L1377" s="37"/>
      <c r="M1377" s="37"/>
      <c r="O1377" s="36"/>
    </row>
    <row r="1378" spans="2:15">
      <c r="B1378" s="59"/>
      <c r="C1378" s="12"/>
      <c r="D1378" s="49"/>
      <c r="E1378" s="57"/>
      <c r="F1378" s="32"/>
      <c r="H1378" s="36"/>
      <c r="I1378" s="36"/>
      <c r="J1378" s="36"/>
      <c r="K1378" s="36"/>
      <c r="L1378" s="37"/>
      <c r="M1378" s="37"/>
      <c r="O1378" s="36"/>
    </row>
    <row r="1379" spans="2:15">
      <c r="B1379" s="59"/>
      <c r="C1379" s="12"/>
      <c r="D1379" s="49"/>
      <c r="E1379" s="57"/>
      <c r="F1379" s="32"/>
      <c r="H1379" s="36"/>
      <c r="I1379" s="36"/>
      <c r="J1379" s="36"/>
      <c r="K1379" s="36"/>
      <c r="L1379" s="37"/>
      <c r="M1379" s="37"/>
      <c r="O1379" s="36"/>
    </row>
    <row r="1380" spans="2:15">
      <c r="B1380" s="59"/>
      <c r="C1380" s="12"/>
      <c r="D1380" s="49"/>
      <c r="E1380" s="57"/>
      <c r="F1380" s="32"/>
      <c r="H1380" s="36"/>
      <c r="I1380" s="36"/>
      <c r="J1380" s="36"/>
      <c r="K1380" s="36"/>
      <c r="L1380" s="37"/>
      <c r="M1380" s="37"/>
      <c r="O1380" s="36"/>
    </row>
    <row r="1381" spans="2:15">
      <c r="B1381" s="59"/>
      <c r="C1381" s="12"/>
      <c r="D1381" s="49"/>
      <c r="E1381" s="57"/>
      <c r="F1381" s="32"/>
      <c r="H1381" s="36"/>
      <c r="I1381" s="36"/>
      <c r="J1381" s="36"/>
      <c r="K1381" s="36"/>
      <c r="L1381" s="37"/>
      <c r="M1381" s="37"/>
      <c r="O1381" s="36"/>
    </row>
    <row r="1382" spans="2:15">
      <c r="B1382" s="59"/>
      <c r="C1382" s="12"/>
      <c r="D1382" s="49"/>
      <c r="E1382" s="57"/>
      <c r="F1382" s="32"/>
      <c r="H1382" s="36"/>
      <c r="I1382" s="36"/>
      <c r="J1382" s="36"/>
      <c r="K1382" s="36"/>
      <c r="L1382" s="37"/>
      <c r="M1382" s="37"/>
      <c r="O1382" s="36"/>
    </row>
    <row r="1383" spans="2:15">
      <c r="B1383" s="59"/>
      <c r="C1383" s="12"/>
      <c r="D1383" s="49"/>
      <c r="E1383" s="57"/>
      <c r="F1383" s="32"/>
      <c r="H1383" s="36"/>
      <c r="I1383" s="36"/>
      <c r="J1383" s="36"/>
      <c r="K1383" s="36"/>
      <c r="L1383" s="37"/>
      <c r="M1383" s="37"/>
      <c r="O1383" s="36"/>
    </row>
    <row r="1384" spans="2:15">
      <c r="B1384" s="59"/>
      <c r="C1384" s="12"/>
      <c r="D1384" s="49"/>
      <c r="E1384" s="57"/>
      <c r="F1384" s="32"/>
      <c r="H1384" s="36"/>
      <c r="I1384" s="36"/>
      <c r="J1384" s="36"/>
      <c r="K1384" s="36"/>
      <c r="L1384" s="37"/>
      <c r="M1384" s="37"/>
      <c r="O1384" s="36"/>
    </row>
    <row r="1385" spans="2:15">
      <c r="B1385" s="59"/>
      <c r="C1385" s="12"/>
      <c r="D1385" s="49"/>
      <c r="E1385" s="57"/>
      <c r="F1385" s="32"/>
      <c r="H1385" s="36"/>
      <c r="I1385" s="36"/>
      <c r="J1385" s="36"/>
      <c r="K1385" s="36"/>
      <c r="L1385" s="37"/>
      <c r="M1385" s="37"/>
      <c r="O1385" s="36"/>
    </row>
    <row r="1386" spans="2:15">
      <c r="B1386" s="59"/>
      <c r="C1386" s="12"/>
      <c r="D1386" s="49"/>
      <c r="E1386" s="57"/>
      <c r="F1386" s="32"/>
      <c r="H1386" s="36"/>
      <c r="I1386" s="36"/>
      <c r="J1386" s="36"/>
      <c r="K1386" s="36"/>
      <c r="L1386" s="37"/>
      <c r="M1386" s="37"/>
      <c r="O1386" s="36"/>
    </row>
    <row r="1387" spans="2:15">
      <c r="B1387" s="59"/>
      <c r="C1387" s="12"/>
      <c r="D1387" s="49"/>
      <c r="E1387" s="57"/>
      <c r="F1387" s="32"/>
      <c r="H1387" s="36"/>
      <c r="I1387" s="36"/>
      <c r="J1387" s="36"/>
      <c r="K1387" s="36"/>
      <c r="L1387" s="37"/>
      <c r="M1387" s="37"/>
      <c r="O1387" s="36"/>
    </row>
    <row r="1388" spans="2:15">
      <c r="B1388" s="59"/>
      <c r="C1388" s="12"/>
      <c r="D1388" s="49"/>
      <c r="E1388" s="57"/>
      <c r="F1388" s="32"/>
      <c r="H1388" s="36"/>
      <c r="I1388" s="36"/>
      <c r="J1388" s="36"/>
      <c r="K1388" s="36"/>
      <c r="L1388" s="37"/>
      <c r="M1388" s="37"/>
      <c r="O1388" s="36"/>
    </row>
    <row r="1389" spans="2:15">
      <c r="B1389" s="59"/>
      <c r="C1389" s="12"/>
      <c r="D1389" s="49"/>
      <c r="E1389" s="57"/>
      <c r="F1389" s="32"/>
      <c r="H1389" s="36"/>
      <c r="I1389" s="36"/>
      <c r="J1389" s="36"/>
      <c r="K1389" s="36"/>
      <c r="L1389" s="37"/>
      <c r="M1389" s="37"/>
      <c r="O1389" s="36"/>
    </row>
    <row r="1390" spans="2:15">
      <c r="B1390" s="59"/>
      <c r="C1390" s="12"/>
      <c r="D1390" s="49"/>
      <c r="E1390" s="57"/>
      <c r="F1390" s="32"/>
      <c r="H1390" s="36"/>
      <c r="I1390" s="36"/>
      <c r="J1390" s="36"/>
      <c r="K1390" s="36"/>
      <c r="L1390" s="37"/>
      <c r="M1390" s="37"/>
      <c r="O1390" s="36"/>
    </row>
    <row r="1391" spans="2:15">
      <c r="B1391" s="59"/>
      <c r="C1391" s="12"/>
      <c r="D1391" s="49"/>
      <c r="E1391" s="57"/>
      <c r="F1391" s="32"/>
      <c r="H1391" s="36"/>
      <c r="I1391" s="36"/>
      <c r="J1391" s="36"/>
      <c r="K1391" s="36"/>
      <c r="L1391" s="37"/>
      <c r="M1391" s="37"/>
      <c r="O1391" s="36"/>
    </row>
    <row r="1392" spans="2:15">
      <c r="B1392" s="59"/>
      <c r="C1392" s="12"/>
      <c r="D1392" s="49"/>
      <c r="E1392" s="57"/>
      <c r="F1392" s="32"/>
      <c r="H1392" s="36"/>
      <c r="I1392" s="36"/>
      <c r="J1392" s="36"/>
      <c r="K1392" s="36"/>
      <c r="L1392" s="37"/>
      <c r="M1392" s="37"/>
      <c r="O1392" s="36"/>
    </row>
    <row r="1393" spans="2:15">
      <c r="B1393" s="59"/>
      <c r="C1393" s="12"/>
      <c r="D1393" s="49"/>
      <c r="E1393" s="57"/>
      <c r="F1393" s="32"/>
      <c r="H1393" s="36"/>
      <c r="I1393" s="36"/>
      <c r="J1393" s="36"/>
      <c r="K1393" s="36"/>
      <c r="L1393" s="37"/>
      <c r="M1393" s="37"/>
      <c r="O1393" s="36"/>
    </row>
    <row r="1394" spans="2:15">
      <c r="B1394" s="59"/>
      <c r="C1394" s="12"/>
      <c r="D1394" s="49"/>
      <c r="E1394" s="57"/>
      <c r="F1394" s="32"/>
      <c r="H1394" s="36"/>
      <c r="I1394" s="36"/>
      <c r="J1394" s="36"/>
      <c r="K1394" s="36"/>
      <c r="L1394" s="37"/>
      <c r="M1394" s="37"/>
      <c r="O1394" s="36"/>
    </row>
    <row r="1395" spans="2:15">
      <c r="B1395" s="59"/>
      <c r="C1395" s="12"/>
      <c r="D1395" s="49"/>
      <c r="E1395" s="57"/>
      <c r="F1395" s="32"/>
      <c r="H1395" s="36"/>
      <c r="I1395" s="36"/>
      <c r="J1395" s="36"/>
      <c r="K1395" s="36"/>
      <c r="L1395" s="37"/>
      <c r="M1395" s="37"/>
      <c r="O1395" s="36"/>
    </row>
    <row r="1396" spans="2:15">
      <c r="B1396" s="59"/>
      <c r="C1396" s="12"/>
      <c r="D1396" s="49"/>
      <c r="E1396" s="57"/>
      <c r="F1396" s="32"/>
      <c r="H1396" s="36"/>
      <c r="I1396" s="36"/>
      <c r="J1396" s="36"/>
      <c r="K1396" s="36"/>
      <c r="L1396" s="37"/>
      <c r="M1396" s="37"/>
      <c r="O1396" s="36"/>
    </row>
    <row r="1397" spans="2:15">
      <c r="B1397" s="59"/>
      <c r="C1397" s="12"/>
      <c r="D1397" s="49"/>
      <c r="E1397" s="57"/>
      <c r="F1397" s="32"/>
      <c r="H1397" s="36"/>
      <c r="I1397" s="36"/>
      <c r="J1397" s="36"/>
      <c r="K1397" s="36"/>
      <c r="L1397" s="37"/>
      <c r="M1397" s="37"/>
      <c r="O1397" s="36"/>
    </row>
    <row r="1398" spans="2:15">
      <c r="B1398" s="59"/>
      <c r="C1398" s="12"/>
      <c r="D1398" s="49"/>
      <c r="E1398" s="57"/>
      <c r="F1398" s="32"/>
      <c r="H1398" s="36"/>
      <c r="I1398" s="36"/>
      <c r="J1398" s="36"/>
      <c r="K1398" s="36"/>
      <c r="L1398" s="37"/>
      <c r="M1398" s="37"/>
      <c r="O1398" s="36"/>
    </row>
    <row r="1399" spans="2:15">
      <c r="B1399" s="59"/>
      <c r="C1399" s="12"/>
      <c r="D1399" s="49"/>
      <c r="E1399" s="57"/>
      <c r="F1399" s="32"/>
      <c r="H1399" s="36"/>
      <c r="I1399" s="36"/>
      <c r="J1399" s="36"/>
      <c r="K1399" s="36"/>
      <c r="L1399" s="37"/>
      <c r="M1399" s="37"/>
      <c r="O1399" s="36"/>
    </row>
    <row r="1400" spans="2:15">
      <c r="B1400" s="59"/>
      <c r="C1400" s="12"/>
      <c r="D1400" s="49"/>
      <c r="E1400" s="57"/>
      <c r="F1400" s="32"/>
      <c r="H1400" s="36"/>
      <c r="I1400" s="36"/>
      <c r="J1400" s="36"/>
      <c r="K1400" s="36"/>
      <c r="L1400" s="37"/>
      <c r="M1400" s="37"/>
      <c r="O1400" s="36"/>
    </row>
    <row r="1401" spans="2:15">
      <c r="B1401" s="59"/>
      <c r="C1401" s="12"/>
      <c r="D1401" s="49"/>
      <c r="E1401" s="57"/>
      <c r="F1401" s="32"/>
      <c r="H1401" s="36"/>
      <c r="I1401" s="36"/>
      <c r="J1401" s="36"/>
      <c r="K1401" s="36"/>
      <c r="L1401" s="37"/>
      <c r="M1401" s="37"/>
      <c r="O1401" s="36"/>
    </row>
    <row r="1402" spans="2:15">
      <c r="B1402" s="59"/>
      <c r="C1402" s="12"/>
      <c r="D1402" s="49"/>
      <c r="E1402" s="57"/>
      <c r="F1402" s="32"/>
      <c r="H1402" s="36"/>
      <c r="I1402" s="36"/>
      <c r="J1402" s="36"/>
      <c r="K1402" s="36"/>
      <c r="L1402" s="37"/>
      <c r="M1402" s="37"/>
      <c r="O1402" s="36"/>
    </row>
    <row r="1403" spans="2:15">
      <c r="B1403" s="59"/>
      <c r="C1403" s="12"/>
      <c r="D1403" s="49"/>
      <c r="E1403" s="57"/>
      <c r="F1403" s="32"/>
      <c r="H1403" s="36"/>
      <c r="I1403" s="36"/>
      <c r="J1403" s="36"/>
      <c r="K1403" s="36"/>
      <c r="L1403" s="37"/>
      <c r="M1403" s="37"/>
      <c r="O1403" s="36"/>
    </row>
    <row r="1404" spans="2:15">
      <c r="B1404" s="59"/>
      <c r="C1404" s="12"/>
      <c r="D1404" s="49"/>
      <c r="E1404" s="57"/>
      <c r="F1404" s="32"/>
      <c r="H1404" s="36"/>
      <c r="I1404" s="36"/>
      <c r="J1404" s="36"/>
      <c r="K1404" s="36"/>
      <c r="L1404" s="37"/>
      <c r="M1404" s="37"/>
      <c r="O1404" s="36"/>
    </row>
    <row r="1405" spans="2:15">
      <c r="B1405" s="59"/>
      <c r="C1405" s="12"/>
      <c r="D1405" s="49"/>
      <c r="E1405" s="57"/>
      <c r="F1405" s="32"/>
      <c r="H1405" s="36"/>
      <c r="I1405" s="36"/>
      <c r="J1405" s="36"/>
      <c r="K1405" s="36"/>
      <c r="L1405" s="37"/>
      <c r="M1405" s="37"/>
      <c r="O1405" s="36"/>
    </row>
    <row r="1406" spans="2:15">
      <c r="B1406" s="59"/>
      <c r="C1406" s="12"/>
      <c r="D1406" s="49"/>
      <c r="E1406" s="57"/>
      <c r="F1406" s="32"/>
      <c r="H1406" s="36"/>
      <c r="I1406" s="36"/>
      <c r="J1406" s="36"/>
      <c r="K1406" s="36"/>
      <c r="L1406" s="37"/>
      <c r="M1406" s="37"/>
      <c r="O1406" s="36"/>
    </row>
    <row r="1407" spans="2:15">
      <c r="B1407" s="59"/>
      <c r="C1407" s="12"/>
      <c r="D1407" s="49"/>
      <c r="E1407" s="57"/>
      <c r="F1407" s="32"/>
      <c r="H1407" s="36"/>
      <c r="I1407" s="36"/>
      <c r="J1407" s="36"/>
      <c r="K1407" s="36"/>
      <c r="L1407" s="37"/>
      <c r="M1407" s="37"/>
      <c r="O1407" s="36"/>
    </row>
    <row r="1408" spans="2:15">
      <c r="B1408" s="59"/>
      <c r="C1408" s="12"/>
      <c r="D1408" s="49"/>
      <c r="E1408" s="57"/>
      <c r="F1408" s="32"/>
      <c r="H1408" s="36"/>
      <c r="I1408" s="36"/>
      <c r="J1408" s="36"/>
      <c r="K1408" s="36"/>
      <c r="L1408" s="37"/>
      <c r="M1408" s="37"/>
      <c r="O1408" s="36"/>
    </row>
    <row r="1409" spans="2:15">
      <c r="B1409" s="59"/>
      <c r="C1409" s="12"/>
      <c r="D1409" s="49"/>
      <c r="E1409" s="57"/>
      <c r="F1409" s="32"/>
      <c r="H1409" s="36"/>
      <c r="I1409" s="36"/>
      <c r="J1409" s="36"/>
      <c r="K1409" s="36"/>
      <c r="L1409" s="37"/>
      <c r="M1409" s="37"/>
      <c r="O1409" s="36"/>
    </row>
    <row r="1410" spans="2:15">
      <c r="B1410" s="59"/>
      <c r="C1410" s="12"/>
      <c r="D1410" s="49"/>
      <c r="E1410" s="57"/>
      <c r="F1410" s="32"/>
      <c r="H1410" s="36"/>
      <c r="I1410" s="36"/>
      <c r="J1410" s="36"/>
      <c r="K1410" s="36"/>
      <c r="L1410" s="37"/>
      <c r="M1410" s="37"/>
      <c r="O1410" s="36"/>
    </row>
    <row r="1411" spans="2:15">
      <c r="B1411" s="59"/>
      <c r="C1411" s="12"/>
      <c r="D1411" s="49"/>
      <c r="E1411" s="57"/>
      <c r="F1411" s="32"/>
      <c r="H1411" s="36"/>
      <c r="I1411" s="36"/>
      <c r="J1411" s="36"/>
      <c r="K1411" s="36"/>
      <c r="L1411" s="37"/>
      <c r="M1411" s="37"/>
      <c r="O1411" s="36"/>
    </row>
    <row r="1412" spans="2:15">
      <c r="B1412" s="59"/>
      <c r="C1412" s="12"/>
      <c r="D1412" s="49"/>
      <c r="E1412" s="57"/>
      <c r="F1412" s="32"/>
      <c r="H1412" s="36"/>
      <c r="I1412" s="36"/>
      <c r="J1412" s="36"/>
      <c r="K1412" s="36"/>
      <c r="L1412" s="37"/>
      <c r="M1412" s="37"/>
      <c r="O1412" s="36"/>
    </row>
    <row r="1413" spans="2:15">
      <c r="B1413" s="59"/>
      <c r="C1413" s="12"/>
      <c r="D1413" s="49"/>
      <c r="E1413" s="57"/>
      <c r="F1413" s="32"/>
      <c r="H1413" s="36"/>
      <c r="I1413" s="36"/>
      <c r="J1413" s="36"/>
      <c r="K1413" s="36"/>
      <c r="L1413" s="37"/>
      <c r="M1413" s="37"/>
      <c r="O1413" s="36"/>
    </row>
    <row r="1414" spans="2:15">
      <c r="B1414" s="59"/>
      <c r="C1414" s="12"/>
      <c r="D1414" s="49"/>
      <c r="E1414" s="57"/>
      <c r="F1414" s="32"/>
      <c r="H1414" s="36"/>
      <c r="I1414" s="36"/>
      <c r="J1414" s="36"/>
      <c r="K1414" s="36"/>
      <c r="L1414" s="37"/>
      <c r="M1414" s="37"/>
      <c r="O1414" s="36"/>
    </row>
    <row r="1415" spans="2:15">
      <c r="B1415" s="59"/>
      <c r="C1415" s="12"/>
      <c r="D1415" s="49"/>
      <c r="E1415" s="57"/>
      <c r="F1415" s="32"/>
      <c r="H1415" s="36"/>
      <c r="I1415" s="36"/>
      <c r="J1415" s="36"/>
      <c r="K1415" s="36"/>
      <c r="L1415" s="37"/>
      <c r="M1415" s="37"/>
      <c r="O1415" s="36"/>
    </row>
    <row r="1416" spans="2:15">
      <c r="B1416" s="59"/>
      <c r="C1416" s="12"/>
      <c r="D1416" s="49"/>
      <c r="E1416" s="57"/>
      <c r="F1416" s="32"/>
      <c r="H1416" s="36"/>
      <c r="I1416" s="36"/>
      <c r="J1416" s="36"/>
      <c r="K1416" s="36"/>
      <c r="L1416" s="37"/>
      <c r="M1416" s="37"/>
      <c r="O1416" s="36"/>
    </row>
    <row r="1417" spans="2:15">
      <c r="B1417" s="59"/>
      <c r="C1417" s="12"/>
      <c r="D1417" s="49"/>
      <c r="E1417" s="57"/>
      <c r="F1417" s="32"/>
      <c r="H1417" s="36"/>
      <c r="I1417" s="36"/>
      <c r="J1417" s="36"/>
      <c r="K1417" s="36"/>
      <c r="L1417" s="37"/>
      <c r="M1417" s="37"/>
      <c r="O1417" s="36"/>
    </row>
    <row r="1418" spans="2:15">
      <c r="B1418" s="59"/>
      <c r="C1418" s="12"/>
      <c r="D1418" s="49"/>
      <c r="E1418" s="57"/>
      <c r="F1418" s="32"/>
      <c r="H1418" s="36"/>
      <c r="I1418" s="36"/>
      <c r="J1418" s="36"/>
      <c r="K1418" s="36"/>
      <c r="L1418" s="37"/>
      <c r="M1418" s="37"/>
      <c r="O1418" s="36"/>
    </row>
    <row r="1419" spans="2:15">
      <c r="B1419" s="59"/>
      <c r="C1419" s="12"/>
      <c r="D1419" s="49"/>
      <c r="E1419" s="57"/>
      <c r="F1419" s="32"/>
      <c r="H1419" s="36"/>
      <c r="I1419" s="36"/>
      <c r="J1419" s="36"/>
      <c r="K1419" s="36"/>
      <c r="L1419" s="37"/>
      <c r="M1419" s="37"/>
      <c r="O1419" s="36"/>
    </row>
    <row r="1420" spans="2:15">
      <c r="B1420" s="59"/>
      <c r="C1420" s="12"/>
      <c r="D1420" s="49"/>
      <c r="E1420" s="57"/>
      <c r="F1420" s="32"/>
      <c r="H1420" s="36"/>
      <c r="I1420" s="36"/>
      <c r="J1420" s="36"/>
      <c r="K1420" s="36"/>
      <c r="L1420" s="37"/>
      <c r="M1420" s="37"/>
      <c r="O1420" s="36"/>
    </row>
    <row r="1421" spans="2:15">
      <c r="B1421" s="59"/>
      <c r="C1421" s="12"/>
      <c r="D1421" s="49"/>
      <c r="E1421" s="57"/>
      <c r="F1421" s="32"/>
      <c r="H1421" s="36"/>
      <c r="I1421" s="36"/>
      <c r="J1421" s="36"/>
      <c r="K1421" s="36"/>
      <c r="L1421" s="37"/>
      <c r="M1421" s="37"/>
      <c r="O1421" s="36"/>
    </row>
    <row r="1422" spans="2:15">
      <c r="B1422" s="59"/>
      <c r="C1422" s="12"/>
      <c r="D1422" s="49"/>
      <c r="E1422" s="57"/>
      <c r="F1422" s="32"/>
      <c r="H1422" s="36"/>
      <c r="I1422" s="36"/>
      <c r="J1422" s="36"/>
      <c r="K1422" s="36"/>
      <c r="L1422" s="37"/>
      <c r="M1422" s="37"/>
      <c r="O1422" s="36"/>
    </row>
    <row r="1423" spans="2:15">
      <c r="B1423" s="59"/>
      <c r="C1423" s="12"/>
      <c r="D1423" s="49"/>
      <c r="E1423" s="57"/>
      <c r="F1423" s="32"/>
      <c r="H1423" s="36"/>
      <c r="I1423" s="36"/>
      <c r="J1423" s="36"/>
      <c r="K1423" s="36"/>
      <c r="L1423" s="37"/>
      <c r="M1423" s="37"/>
      <c r="O1423" s="36"/>
    </row>
    <row r="1424" spans="2:15">
      <c r="B1424" s="59"/>
      <c r="C1424" s="12"/>
      <c r="D1424" s="49"/>
      <c r="E1424" s="57"/>
      <c r="F1424" s="32"/>
      <c r="H1424" s="36"/>
      <c r="I1424" s="36"/>
      <c r="J1424" s="36"/>
      <c r="K1424" s="36"/>
      <c r="L1424" s="37"/>
      <c r="M1424" s="37"/>
      <c r="O1424" s="36"/>
    </row>
    <row r="1425" spans="2:15">
      <c r="B1425" s="59"/>
      <c r="C1425" s="12"/>
      <c r="D1425" s="49"/>
      <c r="E1425" s="57"/>
      <c r="F1425" s="32"/>
      <c r="H1425" s="36"/>
      <c r="I1425" s="36"/>
      <c r="J1425" s="36"/>
      <c r="K1425" s="36"/>
      <c r="L1425" s="37"/>
      <c r="M1425" s="37"/>
      <c r="O1425" s="36"/>
    </row>
    <row r="1426" spans="2:15">
      <c r="B1426" s="59"/>
      <c r="C1426" s="12"/>
      <c r="D1426" s="49"/>
      <c r="E1426" s="57"/>
      <c r="F1426" s="32"/>
      <c r="H1426" s="36"/>
      <c r="I1426" s="36"/>
      <c r="J1426" s="36"/>
      <c r="K1426" s="36"/>
      <c r="L1426" s="37"/>
      <c r="M1426" s="37"/>
      <c r="O1426" s="36"/>
    </row>
    <row r="1427" spans="2:15">
      <c r="B1427" s="59"/>
      <c r="C1427" s="12"/>
      <c r="D1427" s="49"/>
      <c r="E1427" s="57"/>
      <c r="F1427" s="32"/>
      <c r="H1427" s="36"/>
      <c r="I1427" s="36"/>
      <c r="J1427" s="36"/>
      <c r="K1427" s="36"/>
      <c r="L1427" s="37"/>
      <c r="M1427" s="37"/>
      <c r="O1427" s="36"/>
    </row>
    <row r="1428" spans="2:15">
      <c r="B1428" s="59"/>
      <c r="C1428" s="12"/>
      <c r="D1428" s="49"/>
      <c r="E1428" s="57"/>
      <c r="F1428" s="32"/>
      <c r="H1428" s="36"/>
      <c r="I1428" s="36"/>
      <c r="J1428" s="36"/>
      <c r="K1428" s="36"/>
      <c r="L1428" s="37"/>
      <c r="M1428" s="37"/>
      <c r="O1428" s="36"/>
    </row>
    <row r="1429" spans="2:15">
      <c r="B1429" s="59"/>
      <c r="C1429" s="12"/>
      <c r="D1429" s="49"/>
      <c r="E1429" s="57"/>
      <c r="F1429" s="32"/>
      <c r="H1429" s="36"/>
      <c r="I1429" s="36"/>
      <c r="J1429" s="36"/>
      <c r="K1429" s="36"/>
      <c r="L1429" s="37"/>
      <c r="M1429" s="37"/>
      <c r="O1429" s="36"/>
    </row>
    <row r="1430" spans="2:15">
      <c r="B1430" s="59"/>
      <c r="C1430" s="12"/>
      <c r="D1430" s="49"/>
      <c r="E1430" s="57"/>
      <c r="F1430" s="32"/>
      <c r="H1430" s="36"/>
      <c r="I1430" s="36"/>
      <c r="J1430" s="36"/>
      <c r="K1430" s="36"/>
      <c r="L1430" s="37"/>
      <c r="M1430" s="37"/>
      <c r="O1430" s="36"/>
    </row>
    <row r="1431" spans="2:15">
      <c r="B1431" s="59"/>
      <c r="C1431" s="12"/>
      <c r="D1431" s="49"/>
      <c r="E1431" s="57"/>
      <c r="F1431" s="32"/>
      <c r="H1431" s="36"/>
      <c r="I1431" s="36"/>
      <c r="J1431" s="36"/>
      <c r="K1431" s="36"/>
      <c r="L1431" s="37"/>
      <c r="M1431" s="37"/>
      <c r="O1431" s="36"/>
    </row>
    <row r="1432" spans="2:15">
      <c r="B1432" s="59"/>
      <c r="C1432" s="12"/>
      <c r="D1432" s="49"/>
      <c r="E1432" s="57"/>
      <c r="F1432" s="32"/>
      <c r="H1432" s="36"/>
      <c r="I1432" s="36"/>
      <c r="J1432" s="36"/>
      <c r="K1432" s="36"/>
      <c r="L1432" s="37"/>
      <c r="M1432" s="37"/>
      <c r="O1432" s="36"/>
    </row>
    <row r="1433" spans="2:15">
      <c r="B1433" s="59"/>
      <c r="C1433" s="12"/>
      <c r="D1433" s="49"/>
      <c r="E1433" s="57"/>
      <c r="F1433" s="32"/>
      <c r="H1433" s="36"/>
      <c r="I1433" s="36"/>
      <c r="J1433" s="36"/>
      <c r="K1433" s="36"/>
      <c r="L1433" s="37"/>
      <c r="M1433" s="37"/>
      <c r="O1433" s="36"/>
    </row>
    <row r="1434" spans="2:15">
      <c r="B1434" s="59"/>
      <c r="C1434" s="12"/>
      <c r="D1434" s="49"/>
      <c r="E1434" s="57"/>
      <c r="F1434" s="32"/>
      <c r="H1434" s="36"/>
      <c r="I1434" s="36"/>
      <c r="J1434" s="36"/>
      <c r="K1434" s="36"/>
      <c r="L1434" s="37"/>
      <c r="M1434" s="37"/>
      <c r="O1434" s="36"/>
    </row>
    <row r="1435" spans="2:15">
      <c r="B1435" s="59"/>
      <c r="C1435" s="12"/>
      <c r="D1435" s="49"/>
      <c r="E1435" s="57"/>
      <c r="F1435" s="32"/>
      <c r="H1435" s="36"/>
      <c r="I1435" s="36"/>
      <c r="J1435" s="36"/>
      <c r="K1435" s="36"/>
      <c r="L1435" s="37"/>
      <c r="M1435" s="37"/>
      <c r="O1435" s="36"/>
    </row>
    <row r="1436" spans="2:15">
      <c r="B1436" s="59"/>
      <c r="C1436" s="12"/>
      <c r="D1436" s="49"/>
      <c r="E1436" s="57"/>
      <c r="F1436" s="32"/>
      <c r="H1436" s="36"/>
      <c r="I1436" s="36"/>
      <c r="J1436" s="36"/>
      <c r="K1436" s="36"/>
      <c r="L1436" s="37"/>
      <c r="M1436" s="37"/>
      <c r="O1436" s="36"/>
    </row>
    <row r="1437" spans="2:15">
      <c r="B1437" s="59"/>
      <c r="C1437" s="12"/>
      <c r="D1437" s="49"/>
      <c r="E1437" s="57"/>
      <c r="F1437" s="32"/>
      <c r="H1437" s="36"/>
      <c r="I1437" s="36"/>
      <c r="J1437" s="36"/>
      <c r="K1437" s="36"/>
      <c r="L1437" s="37"/>
      <c r="M1437" s="37"/>
      <c r="O1437" s="36"/>
    </row>
    <row r="1438" spans="2:15">
      <c r="B1438" s="59"/>
      <c r="C1438" s="12"/>
      <c r="D1438" s="49"/>
      <c r="E1438" s="57"/>
      <c r="F1438" s="32"/>
      <c r="H1438" s="36"/>
      <c r="I1438" s="36"/>
      <c r="J1438" s="36"/>
      <c r="K1438" s="36"/>
      <c r="L1438" s="37"/>
      <c r="M1438" s="37"/>
      <c r="O1438" s="36"/>
    </row>
    <row r="1439" spans="2:15">
      <c r="B1439" s="59"/>
      <c r="C1439" s="12"/>
      <c r="D1439" s="49"/>
      <c r="E1439" s="57"/>
      <c r="F1439" s="32"/>
      <c r="H1439" s="36"/>
      <c r="I1439" s="36"/>
      <c r="J1439" s="36"/>
      <c r="K1439" s="36"/>
      <c r="L1439" s="37"/>
      <c r="M1439" s="37"/>
      <c r="O1439" s="36"/>
    </row>
    <row r="1440" spans="2:15">
      <c r="B1440" s="59"/>
      <c r="C1440" s="12"/>
      <c r="D1440" s="49"/>
      <c r="E1440" s="57"/>
      <c r="F1440" s="32"/>
      <c r="H1440" s="36"/>
      <c r="I1440" s="36"/>
      <c r="J1440" s="36"/>
      <c r="K1440" s="36"/>
      <c r="L1440" s="37"/>
      <c r="M1440" s="37"/>
      <c r="O1440" s="36"/>
    </row>
    <row r="1441" spans="2:15">
      <c r="B1441" s="59"/>
      <c r="C1441" s="12"/>
      <c r="D1441" s="49"/>
      <c r="E1441" s="57"/>
      <c r="F1441" s="32"/>
      <c r="H1441" s="36"/>
      <c r="I1441" s="36"/>
      <c r="J1441" s="36"/>
      <c r="K1441" s="36"/>
      <c r="L1441" s="37"/>
      <c r="M1441" s="37"/>
      <c r="O1441" s="36"/>
    </row>
    <row r="1442" spans="2:15">
      <c r="B1442" s="59"/>
      <c r="C1442" s="12"/>
      <c r="D1442" s="49"/>
      <c r="E1442" s="57"/>
      <c r="F1442" s="32"/>
      <c r="H1442" s="36"/>
      <c r="I1442" s="36"/>
      <c r="J1442" s="36"/>
      <c r="K1442" s="36"/>
      <c r="L1442" s="37"/>
      <c r="M1442" s="37"/>
      <c r="O1442" s="36"/>
    </row>
    <row r="1443" spans="2:15">
      <c r="B1443" s="59"/>
      <c r="C1443" s="12"/>
      <c r="D1443" s="49"/>
      <c r="E1443" s="57"/>
      <c r="F1443" s="32"/>
      <c r="H1443" s="36"/>
      <c r="I1443" s="36"/>
      <c r="J1443" s="36"/>
      <c r="K1443" s="36"/>
      <c r="L1443" s="37"/>
      <c r="M1443" s="37"/>
      <c r="O1443" s="36"/>
    </row>
    <row r="1444" spans="2:15">
      <c r="B1444" s="59"/>
      <c r="C1444" s="12"/>
      <c r="D1444" s="49"/>
      <c r="E1444" s="57"/>
      <c r="F1444" s="32"/>
      <c r="H1444" s="36"/>
      <c r="I1444" s="36"/>
      <c r="J1444" s="36"/>
      <c r="K1444" s="36"/>
      <c r="L1444" s="37"/>
      <c r="M1444" s="37"/>
      <c r="O1444" s="36"/>
    </row>
    <row r="1445" spans="2:15">
      <c r="B1445" s="59"/>
      <c r="C1445" s="12"/>
      <c r="D1445" s="49"/>
      <c r="E1445" s="57"/>
      <c r="F1445" s="32"/>
      <c r="H1445" s="36"/>
      <c r="I1445" s="36"/>
      <c r="J1445" s="36"/>
      <c r="K1445" s="36"/>
      <c r="L1445" s="37"/>
      <c r="M1445" s="37"/>
      <c r="O1445" s="36"/>
    </row>
    <row r="1446" spans="2:15">
      <c r="B1446" s="59"/>
      <c r="C1446" s="12"/>
      <c r="D1446" s="49"/>
      <c r="E1446" s="57"/>
      <c r="F1446" s="32"/>
      <c r="H1446" s="36"/>
      <c r="I1446" s="36"/>
      <c r="J1446" s="36"/>
      <c r="K1446" s="36"/>
      <c r="L1446" s="37"/>
      <c r="M1446" s="37"/>
      <c r="O1446" s="36"/>
    </row>
    <row r="1447" spans="2:15">
      <c r="B1447" s="59"/>
      <c r="C1447" s="12"/>
      <c r="D1447" s="49"/>
      <c r="E1447" s="57"/>
      <c r="F1447" s="32"/>
      <c r="H1447" s="36"/>
      <c r="I1447" s="36"/>
      <c r="J1447" s="36"/>
      <c r="K1447" s="36"/>
      <c r="L1447" s="37"/>
      <c r="M1447" s="37"/>
      <c r="O1447" s="36"/>
    </row>
    <row r="1448" spans="2:15">
      <c r="B1448" s="59"/>
      <c r="C1448" s="12"/>
      <c r="D1448" s="49"/>
      <c r="E1448" s="57"/>
      <c r="F1448" s="32"/>
      <c r="H1448" s="36"/>
      <c r="I1448" s="36"/>
      <c r="J1448" s="36"/>
      <c r="K1448" s="36"/>
      <c r="L1448" s="37"/>
      <c r="M1448" s="37"/>
      <c r="O1448" s="36"/>
    </row>
    <row r="1449" spans="2:15">
      <c r="B1449" s="59"/>
      <c r="C1449" s="12"/>
      <c r="D1449" s="49"/>
      <c r="E1449" s="57"/>
      <c r="F1449" s="32"/>
      <c r="H1449" s="36"/>
      <c r="I1449" s="36"/>
      <c r="J1449" s="36"/>
      <c r="K1449" s="36"/>
      <c r="L1449" s="37"/>
      <c r="M1449" s="37"/>
      <c r="O1449" s="36"/>
    </row>
    <row r="1450" spans="2:15">
      <c r="B1450" s="59"/>
      <c r="C1450" s="12"/>
      <c r="D1450" s="49"/>
      <c r="E1450" s="57"/>
      <c r="F1450" s="32"/>
      <c r="H1450" s="36"/>
      <c r="I1450" s="36"/>
      <c r="J1450" s="36"/>
      <c r="K1450" s="36"/>
      <c r="L1450" s="37"/>
      <c r="M1450" s="37"/>
      <c r="O1450" s="36"/>
    </row>
    <row r="1451" spans="2:15">
      <c r="B1451" s="59"/>
      <c r="C1451" s="12"/>
      <c r="D1451" s="49"/>
      <c r="E1451" s="57"/>
      <c r="F1451" s="32"/>
      <c r="H1451" s="36"/>
      <c r="I1451" s="36"/>
      <c r="J1451" s="36"/>
      <c r="K1451" s="36"/>
      <c r="L1451" s="37"/>
      <c r="M1451" s="37"/>
      <c r="O1451" s="36"/>
    </row>
    <row r="1452" spans="2:15">
      <c r="B1452" s="59"/>
      <c r="C1452" s="12"/>
      <c r="D1452" s="49"/>
      <c r="E1452" s="57"/>
      <c r="F1452" s="32"/>
      <c r="H1452" s="36"/>
      <c r="I1452" s="36"/>
      <c r="J1452" s="36"/>
      <c r="K1452" s="36"/>
      <c r="L1452" s="37"/>
      <c r="M1452" s="37"/>
      <c r="O1452" s="36"/>
    </row>
    <row r="1453" spans="2:15">
      <c r="B1453" s="59"/>
      <c r="C1453" s="12"/>
      <c r="D1453" s="49"/>
      <c r="E1453" s="57"/>
      <c r="F1453" s="32"/>
      <c r="H1453" s="36"/>
      <c r="I1453" s="36"/>
      <c r="J1453" s="36"/>
      <c r="K1453" s="36"/>
      <c r="L1453" s="37"/>
      <c r="M1453" s="37"/>
      <c r="O1453" s="36"/>
    </row>
    <row r="1454" spans="2:15">
      <c r="B1454" s="59"/>
      <c r="C1454" s="12"/>
      <c r="D1454" s="49"/>
      <c r="E1454" s="57"/>
      <c r="F1454" s="32"/>
      <c r="H1454" s="36"/>
      <c r="I1454" s="36"/>
      <c r="J1454" s="36"/>
      <c r="K1454" s="36"/>
      <c r="L1454" s="37"/>
      <c r="M1454" s="37"/>
      <c r="O1454" s="36"/>
    </row>
    <row r="1455" spans="2:15">
      <c r="B1455" s="59"/>
      <c r="C1455" s="12"/>
      <c r="D1455" s="49"/>
      <c r="E1455" s="57"/>
      <c r="F1455" s="32"/>
      <c r="H1455" s="36"/>
      <c r="I1455" s="36"/>
      <c r="J1455" s="36"/>
      <c r="K1455" s="36"/>
      <c r="L1455" s="37"/>
      <c r="M1455" s="37"/>
      <c r="O1455" s="36"/>
    </row>
    <row r="1456" spans="2:15">
      <c r="B1456" s="59"/>
      <c r="C1456" s="12"/>
      <c r="D1456" s="49"/>
      <c r="E1456" s="57"/>
      <c r="F1456" s="32"/>
      <c r="H1456" s="36"/>
      <c r="I1456" s="36"/>
      <c r="J1456" s="36"/>
      <c r="K1456" s="36"/>
      <c r="L1456" s="37"/>
      <c r="M1456" s="37"/>
      <c r="O1456" s="36"/>
    </row>
    <row r="1457" spans="2:15">
      <c r="B1457" s="59"/>
      <c r="C1457" s="12"/>
      <c r="D1457" s="49"/>
      <c r="E1457" s="57"/>
      <c r="F1457" s="32"/>
      <c r="H1457" s="36"/>
      <c r="I1457" s="36"/>
      <c r="J1457" s="36"/>
      <c r="K1457" s="36"/>
      <c r="L1457" s="37"/>
      <c r="M1457" s="37"/>
      <c r="O1457" s="36"/>
    </row>
    <row r="1458" spans="2:15">
      <c r="B1458" s="59"/>
      <c r="C1458" s="12"/>
      <c r="D1458" s="49"/>
      <c r="E1458" s="57"/>
      <c r="F1458" s="32"/>
      <c r="H1458" s="36"/>
      <c r="I1458" s="36"/>
      <c r="J1458" s="36"/>
      <c r="K1458" s="36"/>
      <c r="L1458" s="37"/>
      <c r="M1458" s="37"/>
      <c r="O1458" s="36"/>
    </row>
    <row r="1459" spans="2:15">
      <c r="B1459" s="59"/>
      <c r="C1459" s="12"/>
      <c r="D1459" s="49"/>
      <c r="E1459" s="57"/>
      <c r="F1459" s="32"/>
      <c r="H1459" s="36"/>
      <c r="I1459" s="36"/>
      <c r="J1459" s="36"/>
      <c r="K1459" s="36"/>
      <c r="L1459" s="37"/>
      <c r="M1459" s="37"/>
      <c r="O1459" s="36"/>
    </row>
    <row r="1460" spans="2:15">
      <c r="B1460" s="59"/>
      <c r="C1460" s="12"/>
      <c r="D1460" s="49"/>
      <c r="E1460" s="57"/>
      <c r="F1460" s="32"/>
      <c r="H1460" s="36"/>
      <c r="I1460" s="36"/>
      <c r="J1460" s="36"/>
      <c r="K1460" s="36"/>
      <c r="L1460" s="37"/>
      <c r="M1460" s="37"/>
      <c r="O1460" s="36"/>
    </row>
    <row r="1461" spans="2:15">
      <c r="B1461" s="59"/>
      <c r="C1461" s="12"/>
      <c r="D1461" s="49"/>
      <c r="E1461" s="57"/>
      <c r="F1461" s="32"/>
      <c r="H1461" s="36"/>
      <c r="I1461" s="36"/>
      <c r="J1461" s="36"/>
      <c r="K1461" s="36"/>
      <c r="L1461" s="37"/>
      <c r="M1461" s="37"/>
      <c r="O1461" s="36"/>
    </row>
    <row r="1462" spans="2:15">
      <c r="B1462" s="59"/>
      <c r="C1462" s="12"/>
      <c r="D1462" s="49"/>
      <c r="E1462" s="57"/>
      <c r="F1462" s="32"/>
      <c r="H1462" s="36"/>
      <c r="I1462" s="36"/>
      <c r="J1462" s="36"/>
      <c r="K1462" s="36"/>
      <c r="L1462" s="37"/>
      <c r="M1462" s="37"/>
      <c r="O1462" s="36"/>
    </row>
    <row r="1463" spans="2:15">
      <c r="B1463" s="59"/>
      <c r="C1463" s="12"/>
      <c r="D1463" s="49"/>
      <c r="E1463" s="57"/>
      <c r="F1463" s="32"/>
      <c r="H1463" s="36"/>
      <c r="I1463" s="36"/>
      <c r="J1463" s="36"/>
      <c r="K1463" s="36"/>
      <c r="L1463" s="37"/>
      <c r="M1463" s="37"/>
      <c r="O1463" s="36"/>
    </row>
    <row r="1464" spans="2:15">
      <c r="B1464" s="59"/>
      <c r="C1464" s="12"/>
      <c r="D1464" s="49"/>
      <c r="E1464" s="57"/>
      <c r="F1464" s="32"/>
      <c r="H1464" s="36"/>
      <c r="I1464" s="36"/>
      <c r="J1464" s="36"/>
      <c r="K1464" s="36"/>
      <c r="L1464" s="37"/>
      <c r="M1464" s="37"/>
      <c r="O1464" s="36"/>
    </row>
    <row r="1465" spans="2:15">
      <c r="B1465" s="59"/>
      <c r="C1465" s="12"/>
      <c r="D1465" s="49"/>
      <c r="E1465" s="57"/>
      <c r="F1465" s="32"/>
      <c r="H1465" s="36"/>
      <c r="I1465" s="36"/>
      <c r="J1465" s="36"/>
      <c r="K1465" s="36"/>
      <c r="L1465" s="37"/>
      <c r="M1465" s="37"/>
      <c r="O1465" s="36"/>
    </row>
    <row r="1466" spans="2:15">
      <c r="B1466" s="59"/>
      <c r="C1466" s="12"/>
      <c r="D1466" s="49"/>
      <c r="E1466" s="57"/>
      <c r="F1466" s="32"/>
      <c r="H1466" s="36"/>
      <c r="I1466" s="36"/>
      <c r="J1466" s="36"/>
      <c r="K1466" s="36"/>
      <c r="L1466" s="37"/>
      <c r="M1466" s="37"/>
      <c r="O1466" s="36"/>
    </row>
    <row r="1467" spans="2:15">
      <c r="B1467" s="59"/>
      <c r="C1467" s="12"/>
      <c r="D1467" s="49"/>
      <c r="E1467" s="57"/>
      <c r="F1467" s="32"/>
      <c r="H1467" s="36"/>
      <c r="I1467" s="36"/>
      <c r="J1467" s="36"/>
      <c r="K1467" s="36"/>
      <c r="L1467" s="37"/>
      <c r="M1467" s="37"/>
      <c r="O1467" s="36"/>
    </row>
    <row r="1468" spans="2:15">
      <c r="B1468" s="59"/>
      <c r="C1468" s="12"/>
      <c r="D1468" s="49"/>
      <c r="E1468" s="57"/>
      <c r="F1468" s="32"/>
      <c r="H1468" s="36"/>
      <c r="I1468" s="36"/>
      <c r="J1468" s="36"/>
      <c r="K1468" s="36"/>
      <c r="L1468" s="37"/>
      <c r="M1468" s="37"/>
      <c r="O1468" s="36"/>
    </row>
    <row r="1469" spans="2:15">
      <c r="B1469" s="59"/>
      <c r="C1469" s="12"/>
      <c r="D1469" s="49"/>
      <c r="E1469" s="57"/>
      <c r="F1469" s="32"/>
      <c r="H1469" s="36"/>
      <c r="I1469" s="36"/>
      <c r="J1469" s="36"/>
      <c r="K1469" s="36"/>
      <c r="L1469" s="37"/>
      <c r="M1469" s="37"/>
      <c r="O1469" s="36"/>
    </row>
    <row r="1470" spans="2:15">
      <c r="B1470" s="59"/>
      <c r="C1470" s="12"/>
      <c r="D1470" s="49"/>
      <c r="E1470" s="57"/>
      <c r="F1470" s="32"/>
      <c r="H1470" s="36"/>
      <c r="I1470" s="36"/>
      <c r="J1470" s="36"/>
      <c r="K1470" s="36"/>
      <c r="L1470" s="37"/>
      <c r="M1470" s="37"/>
      <c r="O1470" s="36"/>
    </row>
    <row r="1471" spans="2:15">
      <c r="B1471" s="59"/>
      <c r="C1471" s="12"/>
      <c r="D1471" s="49"/>
      <c r="E1471" s="57"/>
      <c r="F1471" s="32"/>
      <c r="H1471" s="36"/>
      <c r="I1471" s="36"/>
      <c r="J1471" s="36"/>
      <c r="K1471" s="36"/>
      <c r="L1471" s="37"/>
      <c r="M1471" s="37"/>
      <c r="O1471" s="36"/>
    </row>
    <row r="1472" spans="2:15">
      <c r="B1472" s="59"/>
      <c r="C1472" s="12"/>
      <c r="D1472" s="49"/>
      <c r="E1472" s="57"/>
      <c r="F1472" s="32"/>
      <c r="H1472" s="36"/>
      <c r="I1472" s="36"/>
      <c r="J1472" s="36"/>
      <c r="K1472" s="36"/>
      <c r="L1472" s="37"/>
      <c r="M1472" s="37"/>
      <c r="O1472" s="36"/>
    </row>
    <row r="1473" spans="2:15">
      <c r="B1473" s="59"/>
      <c r="C1473" s="12"/>
      <c r="D1473" s="49"/>
      <c r="E1473" s="57"/>
      <c r="F1473" s="32"/>
      <c r="H1473" s="36"/>
      <c r="I1473" s="36"/>
      <c r="J1473" s="36"/>
      <c r="K1473" s="36"/>
      <c r="L1473" s="37"/>
      <c r="M1473" s="37"/>
      <c r="O1473" s="36"/>
    </row>
    <row r="1474" spans="2:15">
      <c r="B1474" s="59"/>
      <c r="C1474" s="12"/>
      <c r="D1474" s="49"/>
      <c r="E1474" s="57"/>
      <c r="F1474" s="32"/>
      <c r="H1474" s="36"/>
      <c r="I1474" s="36"/>
      <c r="J1474" s="36"/>
      <c r="K1474" s="36"/>
      <c r="L1474" s="37"/>
      <c r="M1474" s="37"/>
      <c r="O1474" s="36"/>
    </row>
    <row r="1475" spans="2:15">
      <c r="B1475" s="59"/>
      <c r="C1475" s="12"/>
      <c r="D1475" s="49"/>
      <c r="E1475" s="57"/>
      <c r="F1475" s="32"/>
      <c r="H1475" s="36"/>
      <c r="I1475" s="36"/>
      <c r="J1475" s="36"/>
      <c r="K1475" s="36"/>
      <c r="L1475" s="37"/>
      <c r="M1475" s="37"/>
      <c r="O1475" s="36"/>
    </row>
    <row r="1476" spans="2:15">
      <c r="B1476" s="59"/>
      <c r="C1476" s="12"/>
      <c r="D1476" s="49"/>
      <c r="E1476" s="57"/>
      <c r="F1476" s="32"/>
      <c r="H1476" s="36"/>
      <c r="I1476" s="36"/>
      <c r="J1476" s="36"/>
      <c r="K1476" s="36"/>
      <c r="L1476" s="37"/>
      <c r="M1476" s="37"/>
      <c r="O1476" s="36"/>
    </row>
    <row r="1477" spans="2:15">
      <c r="B1477" s="59"/>
      <c r="C1477" s="12"/>
      <c r="D1477" s="49"/>
      <c r="E1477" s="57"/>
      <c r="F1477" s="32"/>
      <c r="H1477" s="36"/>
      <c r="I1477" s="36"/>
      <c r="J1477" s="36"/>
      <c r="K1477" s="36"/>
      <c r="L1477" s="37"/>
      <c r="M1477" s="37"/>
      <c r="O1477" s="36"/>
    </row>
    <row r="1478" spans="2:15">
      <c r="B1478" s="59"/>
      <c r="C1478" s="12"/>
      <c r="D1478" s="49"/>
      <c r="E1478" s="57"/>
      <c r="F1478" s="32"/>
      <c r="H1478" s="36"/>
      <c r="I1478" s="36"/>
      <c r="J1478" s="36"/>
      <c r="K1478" s="36"/>
      <c r="L1478" s="37"/>
      <c r="M1478" s="37"/>
      <c r="O1478" s="36"/>
    </row>
    <row r="1479" spans="2:15">
      <c r="B1479" s="59"/>
      <c r="C1479" s="12"/>
      <c r="D1479" s="49"/>
      <c r="E1479" s="57"/>
      <c r="F1479" s="32"/>
      <c r="H1479" s="36"/>
      <c r="I1479" s="36"/>
      <c r="J1479" s="36"/>
      <c r="K1479" s="36"/>
      <c r="L1479" s="37"/>
      <c r="M1479" s="37"/>
      <c r="O1479" s="36"/>
    </row>
    <row r="1480" spans="2:15">
      <c r="B1480" s="59"/>
      <c r="C1480" s="12"/>
      <c r="D1480" s="49"/>
      <c r="E1480" s="57"/>
      <c r="F1480" s="32"/>
      <c r="H1480" s="36"/>
      <c r="I1480" s="36"/>
      <c r="J1480" s="36"/>
      <c r="K1480" s="36"/>
      <c r="L1480" s="37"/>
      <c r="M1480" s="37"/>
      <c r="O1480" s="36"/>
    </row>
    <row r="1481" spans="2:15">
      <c r="B1481" s="59"/>
      <c r="C1481" s="12"/>
      <c r="D1481" s="49"/>
      <c r="E1481" s="57"/>
      <c r="F1481" s="32"/>
      <c r="H1481" s="36"/>
      <c r="I1481" s="36"/>
      <c r="J1481" s="36"/>
      <c r="K1481" s="36"/>
      <c r="L1481" s="37"/>
      <c r="M1481" s="37"/>
      <c r="O1481" s="36"/>
    </row>
    <row r="1482" spans="2:15">
      <c r="B1482" s="59"/>
      <c r="C1482" s="12"/>
      <c r="D1482" s="49"/>
      <c r="E1482" s="57"/>
      <c r="F1482" s="32"/>
      <c r="H1482" s="36"/>
      <c r="I1482" s="36"/>
      <c r="J1482" s="36"/>
      <c r="K1482" s="36"/>
      <c r="L1482" s="37"/>
      <c r="M1482" s="37"/>
      <c r="O1482" s="36"/>
    </row>
  </sheetData>
  <mergeCells count="15">
    <mergeCell ref="V3:V4"/>
    <mergeCell ref="O3:O4"/>
    <mergeCell ref="L3:L4"/>
    <mergeCell ref="M3:M4"/>
    <mergeCell ref="Q3:Q4"/>
    <mergeCell ref="R3:R4"/>
    <mergeCell ref="S3:S4"/>
    <mergeCell ref="T3:T4"/>
    <mergeCell ref="K3:K4"/>
    <mergeCell ref="E3:E4"/>
    <mergeCell ref="D3:D4"/>
    <mergeCell ref="F3:F4"/>
    <mergeCell ref="H3:H4"/>
    <mergeCell ref="I3:I4"/>
    <mergeCell ref="J3:J4"/>
  </mergeCells>
  <conditionalFormatting sqref="C3:C4 C6 M6 H5:M5 C7:F1482 H7:M1482">
    <cfRule type="expression" dxfId="26" priority="33">
      <formula>$H3&lt;&gt;""</formula>
    </cfRule>
    <cfRule type="expression" dxfId="25" priority="34">
      <formula>$H3="Total"</formula>
    </cfRule>
  </conditionalFormatting>
  <conditionalFormatting sqref="C5">
    <cfRule type="expression" dxfId="24" priority="35">
      <formula>#REF!&lt;&gt;""</formula>
    </cfRule>
    <cfRule type="expression" dxfId="23" priority="36">
      <formula>#REF!="Total"</formula>
    </cfRule>
  </conditionalFormatting>
  <conditionalFormatting sqref="F5">
    <cfRule type="expression" dxfId="22" priority="31">
      <formula>$H5&lt;&gt;""</formula>
    </cfRule>
    <cfRule type="expression" dxfId="21" priority="32">
      <formula>$H5="Total"</formula>
    </cfRule>
  </conditionalFormatting>
  <conditionalFormatting sqref="Q12:T249 Q7:Q249">
    <cfRule type="expression" dxfId="20" priority="27">
      <formula>$H7&lt;&gt;""</formula>
    </cfRule>
    <cfRule type="expression" dxfId="19" priority="28">
      <formula>$H7="Total"</formula>
    </cfRule>
  </conditionalFormatting>
  <conditionalFormatting sqref="M3">
    <cfRule type="expression" dxfId="18" priority="15">
      <formula>$H3&lt;&gt;""</formula>
    </cfRule>
    <cfRule type="expression" dxfId="17" priority="16">
      <formula>$H3="Total"</formula>
    </cfRule>
  </conditionalFormatting>
  <conditionalFormatting sqref="R7:R249">
    <cfRule type="expression" dxfId="16" priority="13">
      <formula>$H7&lt;&gt;""</formula>
    </cfRule>
    <cfRule type="expression" dxfId="15" priority="14">
      <formula>$H7="Total"</formula>
    </cfRule>
  </conditionalFormatting>
  <conditionalFormatting sqref="S7:S249">
    <cfRule type="expression" dxfId="14" priority="11">
      <formula>$H7&lt;&gt;""</formula>
    </cfRule>
    <cfRule type="expression" dxfId="13" priority="12">
      <formula>$H7="Total"</formula>
    </cfRule>
  </conditionalFormatting>
  <conditionalFormatting sqref="T7:T249">
    <cfRule type="expression" dxfId="12" priority="9">
      <formula>$H7&lt;&gt;""</formula>
    </cfRule>
    <cfRule type="expression" dxfId="11" priority="10">
      <formula>$H7="Total"</formula>
    </cfRule>
  </conditionalFormatting>
  <conditionalFormatting sqref="V12:V22">
    <cfRule type="expression" dxfId="10" priority="7">
      <formula>$H12&lt;&gt;""</formula>
    </cfRule>
    <cfRule type="expression" dxfId="9" priority="8">
      <formula>$H12="Total"</formula>
    </cfRule>
  </conditionalFormatting>
  <conditionalFormatting sqref="V7:V22">
    <cfRule type="expression" dxfId="8" priority="5">
      <formula>$H7&lt;&gt;""</formula>
    </cfRule>
    <cfRule type="expression" dxfId="7" priority="6">
      <formula>$H7="Total"</formula>
    </cfRule>
  </conditionalFormatting>
  <conditionalFormatting sqref="O7:O1482">
    <cfRule type="expression" dxfId="6" priority="3">
      <formula>$H7&lt;&gt;""</formula>
    </cfRule>
    <cfRule type="expression" dxfId="5" priority="4">
      <formula>$H7="Total"</formula>
    </cfRule>
  </conditionalFormatting>
  <conditionalFormatting sqref="O5">
    <cfRule type="expression" dxfId="4" priority="1">
      <formula>$H5&lt;&gt;""</formula>
    </cfRule>
    <cfRule type="expression" dxfId="3" priority="2">
      <formula>$H5="Total"</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908058-93E1-484B-84CA-7846768EBE8A}">
  <sheetPr codeName="Hoja15">
    <pageSetUpPr fitToPage="1"/>
  </sheetPr>
  <dimension ref="A1:J221"/>
  <sheetViews>
    <sheetView zoomScale="69" zoomScaleNormal="69" workbookViewId="0">
      <pane ySplit="7" topLeftCell="A8" activePane="bottomLeft" state="frozen"/>
      <selection pane="bottomLeft" activeCell="H8" sqref="H8"/>
    </sheetView>
  </sheetViews>
  <sheetFormatPr defaultColWidth="11.42578125" defaultRowHeight="17.25"/>
  <cols>
    <col min="1" max="1" width="16" style="15" customWidth="1"/>
    <col min="2" max="2" width="47.42578125" style="15" customWidth="1"/>
    <col min="3" max="3" width="29.140625" style="15" customWidth="1"/>
    <col min="4" max="4" width="31.5703125" style="15" bestFit="1" customWidth="1"/>
    <col min="5" max="5" width="24.85546875" style="15" customWidth="1"/>
    <col min="6" max="6" width="15.5703125" style="15" customWidth="1"/>
    <col min="7" max="7" width="31.7109375" style="15" bestFit="1" customWidth="1"/>
    <col min="8" max="8" width="17.140625" style="15" customWidth="1"/>
    <col min="9" max="9" width="73.7109375" style="15" customWidth="1"/>
    <col min="10" max="10" width="12.7109375" style="15" customWidth="1"/>
    <col min="11" max="16384" width="11.42578125" style="15"/>
  </cols>
  <sheetData>
    <row r="1" spans="1:10">
      <c r="D1" s="16"/>
      <c r="E1" s="16"/>
      <c r="F1" s="16"/>
    </row>
    <row r="2" spans="1:10">
      <c r="J2" s="16"/>
    </row>
    <row r="3" spans="1:10">
      <c r="C3" s="26" t="str">
        <f>IFERROR(Control!F17&amp;" - "&amp;VLOOKUP(Control!F17,Horas!$E:$F,2,FALSE),"")</f>
        <v/>
      </c>
      <c r="D3" s="16"/>
      <c r="E3" s="16"/>
      <c r="F3" s="16"/>
      <c r="G3" s="17"/>
      <c r="H3" s="18"/>
      <c r="J3" s="16"/>
    </row>
    <row r="4" spans="1:10">
      <c r="C4" s="15" t="str">
        <f>"Reporte del "&amp;TEXT(MIN(H:H),"dd/mm/ee")&amp;" al "&amp;TEXT(MAX(H:H),"dd/mm/ee")</f>
        <v>Reporte del 01/04/2026 al 30/04/2026</v>
      </c>
      <c r="D4" s="16"/>
      <c r="E4" s="16"/>
      <c r="F4" s="16"/>
      <c r="G4" s="17"/>
      <c r="H4" s="18"/>
      <c r="J4" s="16"/>
    </row>
    <row r="5" spans="1:10">
      <c r="D5" s="16"/>
      <c r="E5" s="16"/>
      <c r="F5" s="16"/>
      <c r="G5" s="17"/>
      <c r="H5" s="18"/>
      <c r="J5" s="16"/>
    </row>
    <row r="6" spans="1:10">
      <c r="D6" s="19"/>
      <c r="E6" s="19"/>
      <c r="F6" s="19"/>
      <c r="G6" s="19"/>
      <c r="H6" s="19"/>
      <c r="I6" s="19"/>
      <c r="J6" s="19"/>
    </row>
    <row r="7" spans="1:10">
      <c r="A7" s="20" t="s">
        <v>15</v>
      </c>
      <c r="B7" s="20" t="s">
        <v>10</v>
      </c>
      <c r="C7" s="20" t="s">
        <v>4057</v>
      </c>
      <c r="D7" s="20" t="s">
        <v>4058</v>
      </c>
      <c r="E7" s="20" t="s">
        <v>4113</v>
      </c>
      <c r="F7" s="20" t="s">
        <v>12</v>
      </c>
      <c r="G7" s="20" t="s">
        <v>4054</v>
      </c>
      <c r="H7" s="20" t="s">
        <v>4055</v>
      </c>
      <c r="I7" s="20" t="s">
        <v>4056</v>
      </c>
      <c r="J7" s="20" t="s">
        <v>4060</v>
      </c>
    </row>
    <row r="8" spans="1:10" ht="120.75">
      <c r="A8" s="24" t="str" cm="1">
        <f t="array" ref="A8:A221">_xlfn._xlws.FILTER(Tabla_Consulta_desde_Proyectos10[PRYcodigo],Tabla_Consulta_desde_Proyectos10[PRYRAhoras]&lt;&gt;0)</f>
        <v>095-192-RGT</v>
      </c>
      <c r="B8" s="24" t="str" cm="1">
        <f t="array" ref="B8:B221">_xlfn._xlws.FILTER(Tabla_Consulta_desde_Proyectos10[PRYdescripcion],Tabla_Consulta_desde_Proyectos10[PRYRAhoras]&lt;&gt;0)</f>
        <v>Gestión de Servicio al Cliente Interop - FC - REGISTRELO 1.0</v>
      </c>
      <c r="C8" s="21" t="str" cm="1">
        <f t="array" ref="C8:C221">_xlfn._xlws.FILTER(Tabla_Consulta_desde_Proyectos10[Columna2],Tabla_Consulta_desde_Proyectos10[PRYRAhoras]&lt;&gt;0)</f>
        <v>500.1 - ACTIVIDADES DEL EQUIPO DE RELEASE MANAGMENT</v>
      </c>
      <c r="D8" s="21" t="str" cm="1">
        <f t="array" ref="D8:D221">_xlfn._xlws.FILTER(Tabla_Consulta_desde_Proyectos10[Actividad],Tabla_Consulta_desde_Proyectos10[PRYRAhoras]&lt;&gt;0)</f>
        <v>5 - AUTOMATIZACIÓN</v>
      </c>
      <c r="E8" s="21" t="str" cm="1">
        <f t="array" ref="E8:E221">_xlfn._xlws.FILTER(Tabla_Consulta_desde_Proyectos10[PRYEdescripcion],Tabla_Consulta_desde_Proyectos10[PRYRAhoras]&lt;&gt;0)</f>
        <v>JUNIOR DEVOPS SOFTWARE DEVELOPER</v>
      </c>
      <c r="F8" s="21" t="str" cm="1">
        <f t="array" ref="F8:F221">_xlfn._xlws.FILTER(Tabla_Consulta_desde_Proyectos10[Usulogin],Tabla_Consulta_desde_Proyectos10[PRYRAhoras]&lt;&gt;0)</f>
        <v>ecortes</v>
      </c>
      <c r="G8" s="17" t="str" cm="1">
        <f t="array" ref="G8:G221">_xlfn._xlws.FILTER(Tabla_Consulta_desde_Proyectos10[Usunombre],Tabla_Consulta_desde_Proyectos10[PRYRAhoras]&lt;&gt;0)</f>
        <v>ELIER CORTES BALTODANO</v>
      </c>
      <c r="H8" s="25" cm="1">
        <f t="array" ref="H8:H221">_xlfn._xlws.FILTER(Tabla_Consulta_desde_Proyectos10[PRYRAfecha],Tabla_Consulta_desde_Proyectos10[PRYRAhoras]&lt;&gt;0)</f>
        <v>46119</v>
      </c>
      <c r="I8" s="22" t="str" cm="1">
        <f t="array" ref="I8:I221">_xlfn._xlws.FILTER(Tabla_Consulta_desde_Proyectos10[PRYRAcomentario],Tabla_Consulta_desde_Proyectos10[PRYRAhoras]&lt;&gt;0)</f>
        <v xml:space="preserve">RM AUT Id.Imp_cambio_auto:_x000D_
Se apoya en la siguiente tarea:_x000D_
Proyecto: Registrelo1 PROD_x000D_
Revisión de filtro de métrica para detectar creación y eliminación de recursos_x000D_
Modificación del filtro_x000D_
Creación de suscripción en SNS_x000D_
</v>
      </c>
      <c r="J8" s="23" cm="1">
        <f t="array" ref="J8:J221">_xlfn._xlws.FILTER(Tabla_Consulta_desde_Proyectos10[PRYRAhoras],Tabla_Consulta_desde_Proyectos10[PRYRAhoras]&lt;&gt;0)</f>
        <v>0.25</v>
      </c>
    </row>
    <row r="9" spans="1:10" ht="120.75">
      <c r="A9" s="24" t="str">
        <v>095-192-RGT</v>
      </c>
      <c r="B9" s="24" t="str">
        <v>Gestión de Servicio al Cliente Interop - FC - REGISTRELO 1.0</v>
      </c>
      <c r="C9" s="21" t="str">
        <v>500.1 - ACTIVIDADES DEL EQUIPO DE RELEASE MANAGMENT</v>
      </c>
      <c r="D9" s="21" t="str">
        <v>5 - AUTOMATIZACIÓN</v>
      </c>
      <c r="E9" s="21" t="str">
        <v>JUNIOR DEVOPS SOFTWARE DEVELOPER</v>
      </c>
      <c r="F9" s="21" t="str">
        <v>ecortes</v>
      </c>
      <c r="G9" s="17" t="str">
        <v>ELIER CORTES BALTODANO</v>
      </c>
      <c r="H9" s="25">
        <v>46121</v>
      </c>
      <c r="I9" s="22" t="str">
        <v>RM AUT Id.Imp_nueva_auto:_x000D_
Se apoya en la siguiente tarea:_x000D_
Proyecto: Registrelo1 PROD_x000D_
Implementación de lambda que valida el estado del Security Hub y los controles_x000D_
Configuración de política de permisos_x000D_
Configuración de calendarizador_x000D_
Ejecución manual del lambda</v>
      </c>
      <c r="J9" s="23">
        <v>0.25</v>
      </c>
    </row>
    <row r="10" spans="1:10" ht="138">
      <c r="A10" s="24" t="str">
        <v>095-192-RGT</v>
      </c>
      <c r="B10" s="24" t="str">
        <v>Gestión de Servicio al Cliente Interop - FC - REGISTRELO 1.0</v>
      </c>
      <c r="C10" s="21" t="str">
        <v>500.1 - ACTIVIDADES DEL EQUIPO DE RELEASE MANAGMENT</v>
      </c>
      <c r="D10" s="21" t="str">
        <v>5 - AUTOMATIZACIÓN</v>
      </c>
      <c r="E10" s="21" t="str">
        <v>JUNIOR DEVOPS SOFTWARE DEVELOPER</v>
      </c>
      <c r="F10" s="21" t="str">
        <v>ecortes</v>
      </c>
      <c r="G10" s="17" t="str">
        <v>ELIER CORTES BALTODANO</v>
      </c>
      <c r="H10" s="25">
        <v>46127</v>
      </c>
      <c r="I10" s="22" t="str">
        <v>RM AUT Id.Imp_nueva_auto:_x000D_
Se apoya en la siguiente tarea:_x000D_
Proyecto: Registrelo1 PROD_x000D_
Implementación de lambda para validar los usuarios que tienen más de 100 días sin ingresar a la consola y enviar la notificación de eliminación de usuario_x000D_
Configuración de permisos_x000D_
Configuración de calendarizador_x000D_
Ejecución manual del lambda</v>
      </c>
      <c r="J10" s="23">
        <v>0.25</v>
      </c>
    </row>
    <row r="11" spans="1:10" ht="34.5">
      <c r="A11" s="24" t="str">
        <v>095-202-RDIG</v>
      </c>
      <c r="B11" s="24" t="str">
        <v>PROYECTO DE IMPLEMENTACION - RECETA DIGITAL - NUEVO DECRETO</v>
      </c>
      <c r="C11" s="21" t="str">
        <v>350-RDIG - DESARROLLO DE PROYECTOS EQUIPO SWAT</v>
      </c>
      <c r="D11" s="21" t="str">
        <v>14 - LIBERACIÓN</v>
      </c>
      <c r="E11" s="21" t="str">
        <v>Senior Mobile Software Developer</v>
      </c>
      <c r="F11" s="21" t="str">
        <v>ngarcia</v>
      </c>
      <c r="G11" s="17" t="str">
        <v>NEIL JOSE GARCIA VARGAS</v>
      </c>
      <c r="H11" s="25">
        <v>46129</v>
      </c>
      <c r="I11" s="22" t="str">
        <v>se prepara y revisa aplicación de doctores a la tienda de iOS</v>
      </c>
      <c r="J11" s="23">
        <v>3</v>
      </c>
    </row>
    <row r="12" spans="1:10" ht="34.5">
      <c r="A12" s="24" t="str">
        <v>095-202-RDIG</v>
      </c>
      <c r="B12" s="24" t="str">
        <v>PROYECTO DE IMPLEMENTACION - RECETA DIGITAL - NUEVO DECRETO</v>
      </c>
      <c r="C12" s="21" t="str">
        <v>500.1 - ACTIVIDADES DEL EQUIPO DE RELEASE MANAGMENT</v>
      </c>
      <c r="D12" s="21" t="str">
        <v>1 - LIBERACIÓN DE SOFTWARE Y DEPLOYMENTS</v>
      </c>
      <c r="E12" s="21" t="str">
        <v>Especialista Desarrollador/Configurador</v>
      </c>
      <c r="F12" s="21" t="str">
        <v>jchinchilla</v>
      </c>
      <c r="G12" s="17" t="str">
        <v>JOSE DANIEL CHINCHILLA CERDAS</v>
      </c>
      <c r="H12" s="25">
        <v>46118</v>
      </c>
      <c r="I12" s="22" t="str">
        <v>RM LIB Id.Inst_release_li:_x000D_
Instalacion de 1 releases en QA</v>
      </c>
      <c r="J12" s="23">
        <v>0.5</v>
      </c>
    </row>
    <row r="13" spans="1:10" ht="34.5">
      <c r="A13" s="24" t="str">
        <v>095-202-RDIG</v>
      </c>
      <c r="B13" s="24" t="str">
        <v>PROYECTO DE IMPLEMENTACION - RECETA DIGITAL - NUEVO DECRETO</v>
      </c>
      <c r="C13" s="21" t="str">
        <v>500.1 - ACTIVIDADES DEL EQUIPO DE RELEASE MANAGMENT</v>
      </c>
      <c r="D13" s="21" t="str">
        <v>1 - LIBERACIÓN DE SOFTWARE Y DEPLOYMENTS</v>
      </c>
      <c r="E13" s="21" t="str">
        <v>Especialista Desarrollador/Configurador</v>
      </c>
      <c r="F13" s="21" t="str">
        <v>jchinchilla</v>
      </c>
      <c r="G13" s="17" t="str">
        <v>JOSE DANIEL CHINCHILLA CERDAS</v>
      </c>
      <c r="H13" s="25">
        <v>46118</v>
      </c>
      <c r="I13" s="22" t="str">
        <v>RM LIB Id.Inst_rfc_lib:_x000D_
Instalacion del RFC_095-190-RDIG_RECETA_SC_204_20260406</v>
      </c>
      <c r="J13" s="23">
        <v>0.5</v>
      </c>
    </row>
    <row r="14" spans="1:10" ht="34.5">
      <c r="A14" s="24" t="str">
        <v>095-202-RDIG</v>
      </c>
      <c r="B14" s="24" t="str">
        <v>PROYECTO DE IMPLEMENTACION - RECETA DIGITAL - NUEVO DECRETO</v>
      </c>
      <c r="C14" s="21" t="str">
        <v>500.1 - ACTIVIDADES DEL EQUIPO DE RELEASE MANAGMENT</v>
      </c>
      <c r="D14" s="21" t="str">
        <v>1 - LIBERACIÓN DE SOFTWARE Y DEPLOYMENTS</v>
      </c>
      <c r="E14" s="21" t="str">
        <v>Especialista Desarrollador/Configurador</v>
      </c>
      <c r="F14" s="21" t="str">
        <v>jchinchilla</v>
      </c>
      <c r="G14" s="17" t="str">
        <v>JOSE DANIEL CHINCHILLA CERDAS</v>
      </c>
      <c r="H14" s="25">
        <v>46126</v>
      </c>
      <c r="I14" s="22" t="str">
        <v>RM LIB Id.Inst_rfc_lib:_x000D_
Instalacion de 1 RFC</v>
      </c>
      <c r="J14" s="23">
        <v>0.5</v>
      </c>
    </row>
    <row r="15" spans="1:10" ht="34.5">
      <c r="A15" s="24" t="str">
        <v>095-202-RDIG</v>
      </c>
      <c r="B15" s="24" t="str">
        <v>PROYECTO DE IMPLEMENTACION - RECETA DIGITAL - NUEVO DECRETO</v>
      </c>
      <c r="C15" s="21" t="str">
        <v>500.1 - ACTIVIDADES DEL EQUIPO DE RELEASE MANAGMENT</v>
      </c>
      <c r="D15" s="21" t="str">
        <v>1 - LIBERACIÓN DE SOFTWARE Y DEPLOYMENTS</v>
      </c>
      <c r="E15" s="21" t="str">
        <v>Especialista Desarrollador/Configurador</v>
      </c>
      <c r="F15" s="21" t="str">
        <v>jchinchilla</v>
      </c>
      <c r="G15" s="17" t="str">
        <v>JOSE DANIEL CHINCHILLA CERDAS</v>
      </c>
      <c r="H15" s="25">
        <v>46128</v>
      </c>
      <c r="I15" s="22" t="str">
        <v>RM LIB Id.Inst_rfc_lib:_x000D_
Instalacion de 2 RFCs</v>
      </c>
      <c r="J15" s="23">
        <v>1</v>
      </c>
    </row>
    <row r="16" spans="1:10" ht="34.5">
      <c r="A16" s="24" t="str">
        <v>095-202-RDIG</v>
      </c>
      <c r="B16" s="24" t="str">
        <v>PROYECTO DE IMPLEMENTACION - RECETA DIGITAL - NUEVO DECRETO</v>
      </c>
      <c r="C16" s="21" t="str">
        <v>500.1 - ACTIVIDADES DEL EQUIPO DE RELEASE MANAGMENT</v>
      </c>
      <c r="D16" s="21" t="str">
        <v>1 - LIBERACIÓN DE SOFTWARE Y DEPLOYMENTS</v>
      </c>
      <c r="E16" s="21" t="str">
        <v>Especialista Desarrollador/Configurador</v>
      </c>
      <c r="F16" s="21" t="str">
        <v>jchinchilla</v>
      </c>
      <c r="G16" s="17" t="str">
        <v>JOSE DANIEL CHINCHILLA CERDAS</v>
      </c>
      <c r="H16" s="25">
        <v>46139</v>
      </c>
      <c r="I16" s="22" t="str">
        <v>RM LIB Id.Inst_rfc_lib:_x000D_
Instalación de 1 RFC en PRD</v>
      </c>
      <c r="J16" s="23">
        <v>0.5</v>
      </c>
    </row>
    <row r="17" spans="1:10" ht="34.5">
      <c r="A17" s="24" t="str">
        <v>095-202-RDIG</v>
      </c>
      <c r="B17" s="24" t="str">
        <v>PROYECTO DE IMPLEMENTACION - RECETA DIGITAL - NUEVO DECRETO</v>
      </c>
      <c r="C17" s="21" t="str">
        <v>500.1 - ACTIVIDADES DEL EQUIPO DE RELEASE MANAGMENT</v>
      </c>
      <c r="D17" s="21" t="str">
        <v>1 - LIBERACIÓN DE SOFTWARE Y DEPLOYMENTS</v>
      </c>
      <c r="E17" s="21" t="str">
        <v>Especialista Desarrollador/Configurador</v>
      </c>
      <c r="F17" s="21" t="str">
        <v>marce</v>
      </c>
      <c r="G17" s="17" t="str">
        <v>MARIELA ARCE GARCIA</v>
      </c>
      <c r="H17" s="25">
        <v>46121</v>
      </c>
      <c r="I17" s="22" t="str">
        <v>RM LIB Id.Inst_rfc_lib:_x000D_
Instalación del RFC_095-190-RDIG_RECETA_SC_205_20260409</v>
      </c>
      <c r="J17" s="23">
        <v>0.5</v>
      </c>
    </row>
    <row r="18" spans="1:10" ht="34.5">
      <c r="A18" s="24" t="str">
        <v>095-202-RDIG</v>
      </c>
      <c r="B18" s="24" t="str">
        <v>PROYECTO DE IMPLEMENTACION - RECETA DIGITAL - NUEVO DECRETO</v>
      </c>
      <c r="C18" s="21" t="str">
        <v>500.1 - ACTIVIDADES DEL EQUIPO DE RELEASE MANAGMENT</v>
      </c>
      <c r="D18" s="21" t="str">
        <v>1 - LIBERACIÓN DE SOFTWARE Y DEPLOYMENTS</v>
      </c>
      <c r="E18" s="21" t="str">
        <v>Especialista Desarrollador/Configurador</v>
      </c>
      <c r="F18" s="21" t="str">
        <v>marce</v>
      </c>
      <c r="G18" s="17" t="str">
        <v>MARIELA ARCE GARCIA</v>
      </c>
      <c r="H18" s="25">
        <v>46128</v>
      </c>
      <c r="I18" s="22" t="str">
        <v>RM LIB Id.Inst_rfc_lib:_x000D_
Instalación del RFC_095-190-RDIG_RECETA_SC_209_20260416</v>
      </c>
      <c r="J18" s="23">
        <v>0.5</v>
      </c>
    </row>
    <row r="19" spans="1:10" ht="34.5">
      <c r="A19" s="24" t="str">
        <v>095-202-RDIG</v>
      </c>
      <c r="B19" s="24" t="str">
        <v>PROYECTO DE IMPLEMENTACION - RECETA DIGITAL - NUEVO DECRETO</v>
      </c>
      <c r="C19" s="21" t="str">
        <v>500.1 - ACTIVIDADES DEL EQUIPO DE RELEASE MANAGMENT</v>
      </c>
      <c r="D19" s="21" t="str">
        <v>1 - LIBERACIÓN DE SOFTWARE Y DEPLOYMENTS</v>
      </c>
      <c r="E19" s="21" t="str">
        <v>Especialista Desarrollador/Configurador</v>
      </c>
      <c r="F19" s="21" t="str">
        <v>marce</v>
      </c>
      <c r="G19" s="17" t="str">
        <v>MARIELA ARCE GARCIA</v>
      </c>
      <c r="H19" s="25">
        <v>46133</v>
      </c>
      <c r="I19" s="22" t="str">
        <v>RM LIB Id.Inst_rfc_lib:_x000D_
Instalación del RFC_095-190-RDIG_RECETA_SC_213_20260421</v>
      </c>
      <c r="J19" s="23">
        <v>0.5</v>
      </c>
    </row>
    <row r="20" spans="1:10" ht="34.5">
      <c r="A20" s="24" t="str">
        <v>095-202-RDIG</v>
      </c>
      <c r="B20" s="24" t="str">
        <v>PROYECTO DE IMPLEMENTACION - RECETA DIGITAL - NUEVO DECRETO</v>
      </c>
      <c r="C20" s="21" t="str">
        <v>500.1 - ACTIVIDADES DEL EQUIPO DE RELEASE MANAGMENT</v>
      </c>
      <c r="D20" s="21" t="str">
        <v>1 - LIBERACIÓN DE SOFTWARE Y DEPLOYMENTS</v>
      </c>
      <c r="E20" s="21" t="str">
        <v>ENTRY LEVEL RELEASE MANAGER</v>
      </c>
      <c r="F20" s="21" t="str">
        <v>aalvarezn</v>
      </c>
      <c r="G20" s="17" t="str">
        <v>ANTHONY ALVAREZ NAVARRO</v>
      </c>
      <c r="H20" s="25">
        <v>46125</v>
      </c>
      <c r="I20" s="22" t="str">
        <v>RM LIB Id.Inst_rfc_lib:_x000D_
Instalacion del RFC_095-190-RDIG_RECETA_SC_206_20260413</v>
      </c>
      <c r="J20" s="23">
        <v>1</v>
      </c>
    </row>
    <row r="21" spans="1:10" ht="34.5">
      <c r="A21" s="24" t="str">
        <v>095-202-RDIG</v>
      </c>
      <c r="B21" s="24" t="str">
        <v>PROYECTO DE IMPLEMENTACION - RECETA DIGITAL - NUEVO DECRETO</v>
      </c>
      <c r="C21" s="21" t="str">
        <v>500.1 - ACTIVIDADES DEL EQUIPO DE RELEASE MANAGMENT</v>
      </c>
      <c r="D21" s="21" t="str">
        <v>1 - LIBERACIÓN DE SOFTWARE Y DEPLOYMENTS</v>
      </c>
      <c r="E21" s="21" t="str">
        <v>Junior Release Management</v>
      </c>
      <c r="F21" s="21" t="str">
        <v>cmatarrita</v>
      </c>
      <c r="G21" s="17" t="str">
        <v>CESAR MATARRITA MATARRITA</v>
      </c>
      <c r="H21" s="25">
        <v>46118</v>
      </c>
      <c r="I21" s="22" t="str">
        <v>RM LIB Id.Inst_release_li:_x000D_
Instalación de releases y ejecución de scripts para receta</v>
      </c>
      <c r="J21" s="23">
        <v>2</v>
      </c>
    </row>
    <row r="22" spans="1:10" ht="51.75">
      <c r="A22" s="24" t="str">
        <v>095-202-RDIG</v>
      </c>
      <c r="B22" s="24" t="str">
        <v>PROYECTO DE IMPLEMENTACION - RECETA DIGITAL - NUEVO DECRETO</v>
      </c>
      <c r="C22" s="21" t="str">
        <v>500.1 - ACTIVIDADES DEL EQUIPO DE RELEASE MANAGMENT</v>
      </c>
      <c r="D22" s="21" t="str">
        <v>1 - LIBERACIÓN DE SOFTWARE Y DEPLOYMENTS</v>
      </c>
      <c r="E22" s="21" t="str">
        <v>Junior Release Management</v>
      </c>
      <c r="F22" s="21" t="str">
        <v>cmatarrita</v>
      </c>
      <c r="G22" s="17" t="str">
        <v>CESAR MATARRITA MATARRITA</v>
      </c>
      <c r="H22" s="25">
        <v>46126</v>
      </c>
      <c r="I22" s="22" t="str">
        <v>RM LIB Id.Inst_release_li:_x000D_
instalacion de release para receta en el ambiente de qa se revisa el pr contra los objetos del release se instala el release y se verifica que la instalación sea satisfactoria</v>
      </c>
      <c r="J22" s="23">
        <v>1</v>
      </c>
    </row>
    <row r="23" spans="1:10" ht="51.75">
      <c r="A23" s="24" t="str">
        <v>095-202-RDIG</v>
      </c>
      <c r="B23" s="24" t="str">
        <v>PROYECTO DE IMPLEMENTACION - RECETA DIGITAL - NUEVO DECRETO</v>
      </c>
      <c r="C23" s="21" t="str">
        <v>500.1 - ACTIVIDADES DEL EQUIPO DE RELEASE MANAGMENT</v>
      </c>
      <c r="D23" s="21" t="str">
        <v>1 - LIBERACIÓN DE SOFTWARE Y DEPLOYMENTS</v>
      </c>
      <c r="E23" s="21" t="str">
        <v>Junior Release Management</v>
      </c>
      <c r="F23" s="21" t="str">
        <v>cmatarrita</v>
      </c>
      <c r="G23" s="17" t="str">
        <v>CESAR MATARRITA MATARRITA</v>
      </c>
      <c r="H23" s="25">
        <v>46126</v>
      </c>
      <c r="I23" s="22" t="str">
        <v>RM LIB Id.Inst_release_li:_x000D_
instalacion de release para receta en el ambiente de cert se revisa el pr contra los objetos del release se instala el release y se verifica que la instalación sea satisfactoria</v>
      </c>
      <c r="J23" s="23">
        <v>1</v>
      </c>
    </row>
    <row r="24" spans="1:10" ht="69">
      <c r="A24" s="24" t="str">
        <v>095-202-RDIG</v>
      </c>
      <c r="B24" s="24" t="str">
        <v>PROYECTO DE IMPLEMENTACION - RECETA DIGITAL - NUEVO DECRETO</v>
      </c>
      <c r="C24" s="21" t="str">
        <v>500.1 - ACTIVIDADES DEL EQUIPO DE RELEASE MANAGMENT</v>
      </c>
      <c r="D24" s="21" t="str">
        <v>1 - LIBERACIÓN DE SOFTWARE Y DEPLOYMENTS</v>
      </c>
      <c r="E24" s="21" t="str">
        <v>Junior Release Management</v>
      </c>
      <c r="F24" s="21" t="str">
        <v>cmatarrita</v>
      </c>
      <c r="G24" s="17" t="str">
        <v>CESAR MATARRITA MATARRITA</v>
      </c>
      <c r="H24" s="25">
        <v>46132</v>
      </c>
      <c r="I24" s="22" t="str">
        <v xml:space="preserve">RM LIB Id.Inst_rfc_lib:_x000D_
Instalación de RFC para Receta se revisa el pr se instala dentro del servidor los cambios se valida que la instalación haya quedado satisfactoria en produccion_x000D_
</v>
      </c>
      <c r="J24" s="23">
        <v>1</v>
      </c>
    </row>
    <row r="25" spans="1:10" ht="51.75">
      <c r="A25" s="24" t="str">
        <v>095-202-RDIG</v>
      </c>
      <c r="B25" s="24" t="str">
        <v>PROYECTO DE IMPLEMENTACION - RECETA DIGITAL - NUEVO DECRETO</v>
      </c>
      <c r="C25" s="21" t="str">
        <v>500.1 - ACTIVIDADES DEL EQUIPO DE RELEASE MANAGMENT</v>
      </c>
      <c r="D25" s="21" t="str">
        <v>1 - LIBERACIÓN DE SOFTWARE Y DEPLOYMENTS</v>
      </c>
      <c r="E25" s="21" t="str">
        <v>Junior Release Management</v>
      </c>
      <c r="F25" s="21" t="str">
        <v>cmatarrita</v>
      </c>
      <c r="G25" s="17" t="str">
        <v>CESAR MATARRITA MATARRITA</v>
      </c>
      <c r="H25" s="25">
        <v>46139</v>
      </c>
      <c r="I25" s="22" t="str">
        <v>RM LIB Id.Inst_release_li:_x000D_
Instalación de reléase para receta se valida los objetos  del pull request se instala dentro del servidor y se revisa de que la instalación sea satisfactoria</v>
      </c>
      <c r="J25" s="23">
        <v>1</v>
      </c>
    </row>
    <row r="26" spans="1:10" ht="69">
      <c r="A26" s="24" t="str">
        <v>095-202-RDIG</v>
      </c>
      <c r="B26" s="24" t="str">
        <v>PROYECTO DE IMPLEMENTACION - RECETA DIGITAL - NUEVO DECRETO</v>
      </c>
      <c r="C26" s="21" t="str">
        <v>500.1 - ACTIVIDADES DEL EQUIPO DE RELEASE MANAGMENT</v>
      </c>
      <c r="D26" s="21" t="str">
        <v>2 - ADMINISTRACIÓN Y MANTENIMIENTO DE INFRAESTRUCTURA</v>
      </c>
      <c r="E26" s="21" t="str">
        <v>Entry Level Software Developer</v>
      </c>
      <c r="F26" s="21" t="str">
        <v>gvargas</v>
      </c>
      <c r="G26" s="17" t="str">
        <v>GERARDO BOLIVAR VARGAS FERNANDEZ</v>
      </c>
      <c r="H26" s="25">
        <v>46118</v>
      </c>
      <c r="I26" s="22" t="str">
        <v>Se trabaja en tareas de mantenimiento de infraestructura. Se revisa falta de conexión de servidores de producción de receta con servidor FTP exterior. Después de revisar diferentes configuraciones en la nueb de OCI se determina la recomendación de validar con el cliente las reglas de incoming traffic del extremo del cliente.</v>
      </c>
      <c r="J26" s="23">
        <v>1.25</v>
      </c>
    </row>
    <row r="27" spans="1:10" ht="51.75">
      <c r="A27" s="24" t="str">
        <v>095-202-RDIG</v>
      </c>
      <c r="B27" s="24" t="str">
        <v>PROYECTO DE IMPLEMENTACION - RECETA DIGITAL - NUEVO DECRETO</v>
      </c>
      <c r="C27" s="21" t="str">
        <v>500.1 - ACTIVIDADES DEL EQUIPO DE RELEASE MANAGMENT</v>
      </c>
      <c r="D27" s="21" t="str">
        <v>2 - ADMINISTRACIÓN Y MANTENIMIENTO DE INFRAESTRUCTURA</v>
      </c>
      <c r="E27" s="21" t="str">
        <v>Entry Level Software Developer</v>
      </c>
      <c r="F27" s="21" t="str">
        <v>gvargas</v>
      </c>
      <c r="G27" s="17" t="str">
        <v>GERARDO BOLIVAR VARGAS FERNANDEZ</v>
      </c>
      <c r="H27" s="25">
        <v>46120</v>
      </c>
      <c r="I27" s="22" t="str">
        <v>Se trabaja en tareas de mantenimiento de infraestructura. Se revisa falta de conexión de servidores de producción de receta con servidor FTP exterior en conjunto con Elier Baltodano.</v>
      </c>
      <c r="J27" s="23">
        <v>0.5</v>
      </c>
    </row>
    <row r="28" spans="1:10" ht="51.75">
      <c r="A28" s="24" t="str">
        <v>095-202-RDIG</v>
      </c>
      <c r="B28" s="24" t="str">
        <v>PROYECTO DE IMPLEMENTACION - RECETA DIGITAL - NUEVO DECRETO</v>
      </c>
      <c r="C28" s="21" t="str">
        <v>500.1 - ACTIVIDADES DEL EQUIPO DE RELEASE MANAGMENT</v>
      </c>
      <c r="D28" s="21" t="str">
        <v>2 - ADMINISTRACIÓN Y MANTENIMIENTO DE INFRAESTRUCTURA</v>
      </c>
      <c r="E28" s="21" t="str">
        <v>Entry Level Software Developer</v>
      </c>
      <c r="F28" s="21" t="str">
        <v>gvargas</v>
      </c>
      <c r="G28" s="17" t="str">
        <v>GERARDO BOLIVAR VARGAS FERNANDEZ</v>
      </c>
      <c r="H28" s="25">
        <v>46121</v>
      </c>
      <c r="I28" s="22" t="str">
        <v>Se trabaja en tareas de mantenimiento de infraestructura. Se lleva a cabo seguimiento del los shells de reincido de APIS y resolución de problema de conexión con al FTP exterior con líder Técnico Esli Gonzales.</v>
      </c>
      <c r="J28" s="23">
        <v>0.5</v>
      </c>
    </row>
    <row r="29" spans="1:10" ht="51.75">
      <c r="A29" s="24" t="str">
        <v>095-202-RDIG</v>
      </c>
      <c r="B29" s="24" t="str">
        <v>PROYECTO DE IMPLEMENTACION - RECETA DIGITAL - NUEVO DECRETO</v>
      </c>
      <c r="C29" s="21" t="str">
        <v>500.1 - ACTIVIDADES DEL EQUIPO DE RELEASE MANAGMENT</v>
      </c>
      <c r="D29" s="21" t="str">
        <v>2 - ADMINISTRACIÓN Y MANTENIMIENTO DE INFRAESTRUCTURA</v>
      </c>
      <c r="E29" s="21" t="str">
        <v>Entry Level Software Developer</v>
      </c>
      <c r="F29" s="21" t="str">
        <v>gvargas</v>
      </c>
      <c r="G29" s="17" t="str">
        <v>GERARDO BOLIVAR VARGAS FERNANDEZ</v>
      </c>
      <c r="H29" s="25">
        <v>46128</v>
      </c>
      <c r="I29" s="22" t="str">
        <v>Se trabaja en tareas de mantenimiento de infraestructura. Se programa tarea de mantenimiento de RECETA.</v>
      </c>
      <c r="J29" s="23">
        <v>0.25</v>
      </c>
    </row>
    <row r="30" spans="1:10" ht="51.75">
      <c r="A30" s="24" t="str">
        <v>095-202-RDIG</v>
      </c>
      <c r="B30" s="24" t="str">
        <v>PROYECTO DE IMPLEMENTACION - RECETA DIGITAL - NUEVO DECRETO</v>
      </c>
      <c r="C30" s="21" t="str">
        <v>500.1 - ACTIVIDADES DEL EQUIPO DE RELEASE MANAGMENT</v>
      </c>
      <c r="D30" s="21" t="str">
        <v>2 - ADMINISTRACIÓN Y MANTENIMIENTO DE INFRAESTRUCTURA</v>
      </c>
      <c r="E30" s="21" t="str">
        <v>Entry Level Software Developer</v>
      </c>
      <c r="F30" s="21" t="str">
        <v>gvargas</v>
      </c>
      <c r="G30" s="17" t="str">
        <v>GERARDO BOLIVAR VARGAS FERNANDEZ</v>
      </c>
      <c r="H30" s="25">
        <v>46132</v>
      </c>
      <c r="I30" s="22" t="str">
        <v>Se trabaja en tareas de mantenimiento de infraestructura. Se trabaja en ventana de receta para la creación de AMI y la generación de ceritficados de lets encrypt</v>
      </c>
      <c r="J30" s="23">
        <v>1.25</v>
      </c>
    </row>
    <row r="31" spans="1:10" ht="69">
      <c r="A31" s="24" t="str">
        <v>095-202-RDIG</v>
      </c>
      <c r="B31" s="24" t="str">
        <v>PROYECTO DE IMPLEMENTACION - RECETA DIGITAL - NUEVO DECRETO</v>
      </c>
      <c r="C31" s="21" t="str">
        <v>500.1 - ACTIVIDADES DEL EQUIPO DE RELEASE MANAGMENT</v>
      </c>
      <c r="D31" s="21" t="str">
        <v>2 - ADMINISTRACIÓN Y MANTENIMIENTO DE INFRAESTRUCTURA</v>
      </c>
      <c r="E31" s="21" t="str">
        <v>Entry Level Software Developer</v>
      </c>
      <c r="F31" s="21" t="str">
        <v>lcordoba</v>
      </c>
      <c r="G31" s="17" t="str">
        <v>LAURA REBECA CORDOBA FERNANDEZ</v>
      </c>
      <c r="H31" s="25">
        <v>46125</v>
      </c>
      <c r="I31" s="22" t="str">
        <v>RM INF Id.Imp_cambio_inf:_x000D_
Se inicializa creación de script de auto-heal de memoria RAM, para completar flush de memoria cuando los procesos lleguen a 95 % de uso en los servidores del ambiente. Fase inicial, se realizan pruebas y autodescubrimiento de procesos.</v>
      </c>
      <c r="J31" s="23">
        <v>3.5</v>
      </c>
    </row>
    <row r="32" spans="1:10" ht="51.75">
      <c r="A32" s="24" t="str">
        <v>095-202-RDIG</v>
      </c>
      <c r="B32" s="24" t="str">
        <v>PROYECTO DE IMPLEMENTACION - RECETA DIGITAL - NUEVO DECRETO</v>
      </c>
      <c r="C32" s="21" t="str">
        <v>500.1 - ACTIVIDADES DEL EQUIPO DE RELEASE MANAGMENT</v>
      </c>
      <c r="D32" s="21" t="str">
        <v>2 - ADMINISTRACIÓN Y MANTENIMIENTO DE INFRAESTRUCTURA</v>
      </c>
      <c r="E32" s="21" t="str">
        <v>Entry Level Software Developer</v>
      </c>
      <c r="F32" s="21" t="str">
        <v>lcordoba</v>
      </c>
      <c r="G32" s="17" t="str">
        <v>LAURA REBECA CORDOBA FERNANDEZ</v>
      </c>
      <c r="H32" s="25">
        <v>46128</v>
      </c>
      <c r="I32" s="22" t="str">
        <v>RM INF Id.Imp_cambio_inf:_x000D_
Edición y arreglo de alertas de sistema debido a inconvenientes presentados en el formato de la alerta para correo electrónico.</v>
      </c>
      <c r="J32" s="23">
        <v>2</v>
      </c>
    </row>
    <row r="33" spans="1:10" ht="51.75">
      <c r="A33" s="24" t="str">
        <v>095-202-RDIG</v>
      </c>
      <c r="B33" s="24" t="str">
        <v>PROYECTO DE IMPLEMENTACION - RECETA DIGITAL - NUEVO DECRETO</v>
      </c>
      <c r="C33" s="21" t="str">
        <v>500.1 - ACTIVIDADES DEL EQUIPO DE RELEASE MANAGMENT</v>
      </c>
      <c r="D33" s="21" t="str">
        <v>2 - ADMINISTRACIÓN Y MANTENIMIENTO DE INFRAESTRUCTURA</v>
      </c>
      <c r="E33" s="21" t="str">
        <v>Entry Level Software Developer</v>
      </c>
      <c r="F33" s="21" t="str">
        <v>lcordoba</v>
      </c>
      <c r="G33" s="17" t="str">
        <v>LAURA REBECA CORDOBA FERNANDEZ</v>
      </c>
      <c r="H33" s="25">
        <v>46128</v>
      </c>
      <c r="I33" s="22" t="str">
        <v>RM INF Id.Imp_cambio_inf:_x000D_
Implementación de cambios en dashboards en Grafana por tema de formato de la presentación de los nombres de los servidores en los paneles.</v>
      </c>
      <c r="J33" s="23">
        <v>1</v>
      </c>
    </row>
    <row r="34" spans="1:10" ht="51.75">
      <c r="A34" s="24" t="str">
        <v>095-202-RDIG</v>
      </c>
      <c r="B34" s="24" t="str">
        <v>PROYECTO DE IMPLEMENTACION - RECETA DIGITAL - NUEVO DECRETO</v>
      </c>
      <c r="C34" s="21" t="str">
        <v>500.1 - ACTIVIDADES DEL EQUIPO DE RELEASE MANAGMENT</v>
      </c>
      <c r="D34" s="21" t="str">
        <v>2 - ADMINISTRACIÓN Y MANTENIMIENTO DE INFRAESTRUCTURA</v>
      </c>
      <c r="E34" s="21" t="str">
        <v>Entry Level Software Developer</v>
      </c>
      <c r="F34" s="21" t="str">
        <v>lcordoba</v>
      </c>
      <c r="G34" s="17" t="str">
        <v>LAURA REBECA CORDOBA FERNANDEZ</v>
      </c>
      <c r="H34" s="25">
        <v>46136</v>
      </c>
      <c r="I34" s="22" t="str">
        <v>RM INF Id.Imp_cambio_inf:_x000D_
Se implementa SMTP para envío de correos en caso de olvido de contraseña para los usuarios de Grafana en el ambiente Receta Digital Prod.</v>
      </c>
      <c r="J34" s="23">
        <v>0.5</v>
      </c>
    </row>
    <row r="35" spans="1:10" ht="69">
      <c r="A35" s="24" t="str">
        <v>095-202-RDIG</v>
      </c>
      <c r="B35" s="24" t="str">
        <v>PROYECTO DE IMPLEMENTACION - RECETA DIGITAL - NUEVO DECRETO</v>
      </c>
      <c r="C35" s="21" t="str">
        <v>500.1 - ACTIVIDADES DEL EQUIPO DE RELEASE MANAGMENT</v>
      </c>
      <c r="D35" s="21" t="str">
        <v>2 - ADMINISTRACIÓN Y MANTENIMIENTO DE INFRAESTRUCTURA</v>
      </c>
      <c r="E35" s="21" t="str">
        <v>JUNIOR DEVOPS SOFTWARE DEVELOPER</v>
      </c>
      <c r="F35" s="21" t="str">
        <v>ecortes</v>
      </c>
      <c r="G35" s="17" t="str">
        <v>ELIER CORTES BALTODANO</v>
      </c>
      <c r="H35" s="25">
        <v>46121</v>
      </c>
      <c r="I35" s="22" t="str">
        <v>RM INF Id.Sop_Infraestruc:_x000D_
Se apoya en la siguiente tarea:_x000D_
Proyecto: Receta PROD_x000D_
Validaciones sobre consumo por SFTP</v>
      </c>
      <c r="J35" s="23">
        <v>0.25</v>
      </c>
    </row>
    <row r="36" spans="1:10" ht="69">
      <c r="A36" s="24" t="str">
        <v>095-202-RDIG</v>
      </c>
      <c r="B36" s="24" t="str">
        <v>PROYECTO DE IMPLEMENTACION - RECETA DIGITAL - NUEVO DECRETO</v>
      </c>
      <c r="C36" s="21" t="str">
        <v>500.1 - ACTIVIDADES DEL EQUIPO DE RELEASE MANAGMENT</v>
      </c>
      <c r="D36" s="21" t="str">
        <v>2 - ADMINISTRACIÓN Y MANTENIMIENTO DE INFRAESTRUCTURA</v>
      </c>
      <c r="E36" s="21" t="str">
        <v>JUNIOR DEVOPS SOFTWARE DEVELOPER</v>
      </c>
      <c r="F36" s="21" t="str">
        <v>ecortes</v>
      </c>
      <c r="G36" s="17" t="str">
        <v>ELIER CORTES BALTODANO</v>
      </c>
      <c r="H36" s="25">
        <v>46140</v>
      </c>
      <c r="I36" s="22" t="str">
        <v>RM INF Id.Sop_Infraestruc:_x000D_
Se apoya en la siguiente tarea:_x000D_
Proyecto: Receta QA_x000D_
Validaciones referentes al Real Name Authentication</v>
      </c>
      <c r="J36" s="23">
        <v>0.5</v>
      </c>
    </row>
    <row r="37" spans="1:10" ht="34.5">
      <c r="A37" s="24" t="str">
        <v>095-202-RDIG</v>
      </c>
      <c r="B37" s="24" t="str">
        <v>PROYECTO DE IMPLEMENTACION - RECETA DIGITAL - NUEVO DECRETO</v>
      </c>
      <c r="C37" s="21" t="str">
        <v>500.1 - ACTIVIDADES DEL EQUIPO DE RELEASE MANAGMENT</v>
      </c>
      <c r="D37" s="21" t="str">
        <v>3 - GESTIÓN DE BASES DE DATOS</v>
      </c>
      <c r="E37" s="21" t="str">
        <v>Especialista Desarrollador/Configurador</v>
      </c>
      <c r="F37" s="21" t="str">
        <v>jchinchilla</v>
      </c>
      <c r="G37" s="17" t="str">
        <v>JOSE DANIEL CHINCHILLA CERDAS</v>
      </c>
      <c r="H37" s="25">
        <v>46126</v>
      </c>
      <c r="I37" s="22" t="str">
        <v>RM BDS Id.Monit_BD:_x000D_
Revision de estado de Tablespaces de PRD por error reportado por Victor</v>
      </c>
      <c r="J37" s="23">
        <v>0.5</v>
      </c>
    </row>
    <row r="38" spans="1:10" ht="103.5">
      <c r="A38" s="24" t="str">
        <v>095-202-RDIG</v>
      </c>
      <c r="B38" s="24" t="str">
        <v>PROYECTO DE IMPLEMENTACION - RECETA DIGITAL - NUEVO DECRETO</v>
      </c>
      <c r="C38" s="21" t="str">
        <v>500.1 - ACTIVIDADES DEL EQUIPO DE RELEASE MANAGMENT</v>
      </c>
      <c r="D38" s="21" t="str">
        <v>4 - SEGURIDAD</v>
      </c>
      <c r="E38" s="21" t="str">
        <v>JUNIOR DEVOPS SOFTWARE DEVELOPER</v>
      </c>
      <c r="F38" s="21" t="str">
        <v>ecortes</v>
      </c>
      <c r="G38" s="17" t="str">
        <v>ELIER CORTES BALTODANO</v>
      </c>
      <c r="H38" s="25">
        <v>46118</v>
      </c>
      <c r="I38" s="22" t="str">
        <v xml:space="preserve">RM SEG Id.Mante_seg:_x000D_
Se apoya en la siguiente tarea:_x000D_
Proyecto: Receta Digital_x000D_
Validación y solución de alertas de seguridad_x000D_
Creación de informe de vulnerabilidades_x000D_
</v>
      </c>
      <c r="J38" s="23">
        <v>0.5</v>
      </c>
    </row>
    <row r="39" spans="1:10" ht="86.25">
      <c r="A39" s="24" t="str">
        <v>095-202-RDIG</v>
      </c>
      <c r="B39" s="24" t="str">
        <v>PROYECTO DE IMPLEMENTACION - RECETA DIGITAL - NUEVO DECRETO</v>
      </c>
      <c r="C39" s="21" t="str">
        <v>500.1 - ACTIVIDADES DEL EQUIPO DE RELEASE MANAGMENT</v>
      </c>
      <c r="D39" s="21" t="str">
        <v>5 - AUTOMATIZACIÓN</v>
      </c>
      <c r="E39" s="21" t="str">
        <v>JUNIOR DEVOPS SOFTWARE DEVELOPER</v>
      </c>
      <c r="F39" s="21" t="str">
        <v>ecortes</v>
      </c>
      <c r="G39" s="17" t="str">
        <v>ELIER CORTES BALTODANO</v>
      </c>
      <c r="H39" s="25">
        <v>46125</v>
      </c>
      <c r="I39" s="22" t="str">
        <v>RM AUT Id.Mante_auto:_x000D_
Se apoya en la siguiente tarea:_x000D_
Proyecto: Receta DEV-QA_x000D_
Validaciones referentes a problemas de ejecución de la rotación de Key Pair_x000D_
Ejecución manual del script</v>
      </c>
      <c r="J39" s="23">
        <v>0.25</v>
      </c>
    </row>
    <row r="40" spans="1:10" ht="138">
      <c r="A40" s="24" t="str">
        <v>095-202-RDIG</v>
      </c>
      <c r="B40" s="24" t="str">
        <v>PROYECTO DE IMPLEMENTACION - RECETA DIGITAL - NUEVO DECRETO</v>
      </c>
      <c r="C40" s="21" t="str">
        <v>500.1 - ACTIVIDADES DEL EQUIPO DE RELEASE MANAGMENT</v>
      </c>
      <c r="D40" s="21" t="str">
        <v>5 - AUTOMATIZACIÓN</v>
      </c>
      <c r="E40" s="21" t="str">
        <v>JUNIOR DEVOPS SOFTWARE DEVELOPER</v>
      </c>
      <c r="F40" s="21" t="str">
        <v>ecortes</v>
      </c>
      <c r="G40" s="17" t="str">
        <v>ELIER CORTES BALTODANO</v>
      </c>
      <c r="H40" s="25">
        <v>46134</v>
      </c>
      <c r="I40" s="22" t="str">
        <v>RM AUT Id.Imp_nueva_auto:_x000D_
Se apoya en la siguiente tarea:_x000D_
Proyecto: Receta QA_x000D_
Implementación de lambda para validar los usuarios que tienen más de 100 días sin ingresar a la consola y enviar la notificación de eliminación de usuario en Huawei_x000D_
Configuración de permisos_x000D_
Configuración de calendarizador_x000D_
Ejecución manual del lambda</v>
      </c>
      <c r="J40" s="23">
        <v>0.5</v>
      </c>
    </row>
    <row r="41" spans="1:10" ht="51.75">
      <c r="A41" s="24" t="str">
        <v>095-202-RDIG</v>
      </c>
      <c r="B41" s="24" t="str">
        <v>PROYECTO DE IMPLEMENTACION - RECETA DIGITAL - NUEVO DECRETO</v>
      </c>
      <c r="C41" s="21" t="str">
        <v>500.1 - ACTIVIDADES DEL EQUIPO DE RELEASE MANAGMENT</v>
      </c>
      <c r="D41" s="21" t="str">
        <v>6 - ATENCION DE INCIDENCIAS</v>
      </c>
      <c r="E41" s="21" t="str">
        <v>Junior Release Management</v>
      </c>
      <c r="F41" s="21" t="str">
        <v>cmatarrita</v>
      </c>
      <c r="G41" s="17" t="str">
        <v>CESAR MATARRITA MATARRITA</v>
      </c>
      <c r="H41" s="25">
        <v>46128</v>
      </c>
      <c r="I41" s="22" t="str">
        <v>RM INC Id.Ana_incidente:_x000D_
revisión de logs para validar un posible error reportado por un usuario en receta se validan los logs del servicio y se le envían los logs al dev para su respectiva revisión</v>
      </c>
      <c r="J41" s="23">
        <v>1</v>
      </c>
    </row>
    <row r="42" spans="1:10" ht="34.5">
      <c r="A42" s="24" t="str">
        <v>095-202-RDIG</v>
      </c>
      <c r="B42" s="24" t="str">
        <v>PROYECTO DE IMPLEMENTACION - RECETA DIGITAL - NUEVO DECRETO</v>
      </c>
      <c r="C42" s="21" t="str">
        <v>500.1 - ACTIVIDADES DEL EQUIPO DE RELEASE MANAGMENT</v>
      </c>
      <c r="D42" s="21" t="str">
        <v>8 - DOCUMENTACIÓN Y REUNIONES</v>
      </c>
      <c r="E42" s="21" t="str">
        <v>Especialista Desarrollador/Configurador</v>
      </c>
      <c r="F42" s="21" t="str">
        <v>jchinchilla</v>
      </c>
      <c r="G42" s="17" t="str">
        <v>JOSE DANIEL CHINCHILLA CERDAS</v>
      </c>
      <c r="H42" s="25">
        <v>46121</v>
      </c>
      <c r="I42" s="22" t="str">
        <v>RM DOC Id.Reu_Equipo:_x000D_
Revision de error en PRD con Esli</v>
      </c>
      <c r="J42" s="23">
        <v>0.5</v>
      </c>
    </row>
    <row r="43" spans="1:10" ht="34.5">
      <c r="A43" s="24" t="str">
        <v>095-202-RDIG</v>
      </c>
      <c r="B43" s="24" t="str">
        <v>PROYECTO DE IMPLEMENTACION - RECETA DIGITAL - NUEVO DECRETO</v>
      </c>
      <c r="C43" s="21" t="str">
        <v>500.1 - ACTIVIDADES DEL EQUIPO DE RELEASE MANAGMENT</v>
      </c>
      <c r="D43" s="21" t="str">
        <v>8 - DOCUMENTACIÓN Y REUNIONES</v>
      </c>
      <c r="E43" s="21" t="str">
        <v>Especialista Desarrollador/Configurador</v>
      </c>
      <c r="F43" s="21" t="str">
        <v>jchinchilla</v>
      </c>
      <c r="G43" s="17" t="str">
        <v>JOSE DANIEL CHINCHILLA CERDAS</v>
      </c>
      <c r="H43" s="25">
        <v>46127</v>
      </c>
      <c r="I43" s="22" t="str">
        <v>RM DOC Id.Reu_Equipo:_x000D_
Revision de error de ftp en Receta CF PRD con Esli.</v>
      </c>
      <c r="J43" s="23">
        <v>1</v>
      </c>
    </row>
    <row r="44" spans="1:10" ht="138">
      <c r="A44" s="24" t="str">
        <v>095-202-RDIG</v>
      </c>
      <c r="B44" s="24" t="str">
        <v>PROYECTO DE IMPLEMENTACION - RECETA DIGITAL - NUEVO DECRETO</v>
      </c>
      <c r="C44" s="21" t="str">
        <v>2 - TAREAS DE DESARROLLO DE DASHBOARD</v>
      </c>
      <c r="D44" s="21" t="str">
        <v>1 - ANALISIS</v>
      </c>
      <c r="E44" s="21" t="str">
        <v>Senior Software Architect</v>
      </c>
      <c r="F44" s="21" t="str">
        <v>victor</v>
      </c>
      <c r="G44" s="17" t="str">
        <v>VICTOR CHAVES MONTERO</v>
      </c>
      <c r="H44" s="25">
        <v>46142</v>
      </c>
      <c r="I44" s="22" t="str">
        <v>RD - Revisión Archivo de Población para Cálculo de DHD._x000D_
_x000D_
Se realizó la revisión del archivo de población utilizado para el cálculo de DHD, evaluando la estructura y segmentación de las tablas disponibles. Se identificaron limitaciones en las últimas tablas del archivo relacionadas con la falta de variables clave (género), lo que impacta directamente la capacidad de cálculo de indicadores. Se concluye que el cálculo de DHD debe restringirse a niveles de agregación compatibles con la información disponib...</v>
      </c>
      <c r="J44" s="23">
        <v>0.5</v>
      </c>
    </row>
    <row r="45" spans="1:10" ht="189.75">
      <c r="A45" s="24" t="str">
        <v>095-202-RDIG</v>
      </c>
      <c r="B45" s="24" t="str">
        <v>PROYECTO DE IMPLEMENTACION - RECETA DIGITAL - NUEVO DECRETO</v>
      </c>
      <c r="C45" s="21" t="str">
        <v>2 - TAREAS DE DESARROLLO DE DASHBOARD</v>
      </c>
      <c r="D45" s="21" t="str">
        <v>3 - CONFIGURACIÓN</v>
      </c>
      <c r="E45" s="21" t="str">
        <v>Senior Software Architect</v>
      </c>
      <c r="F45" s="21" t="str">
        <v>victor</v>
      </c>
      <c r="G45" s="17" t="str">
        <v>VICTOR CHAVES MONTERO</v>
      </c>
      <c r="H45" s="25">
        <v>46118</v>
      </c>
      <c r="I45" s="22" t="str">
        <v>RD - Crear Dimensiones de Productos para Compuestos e Ingredientes._x000D_
_x000D_
Durante la fase de pruebas y revisión de los resultados del cálculo DDD, se está complicando relacionar los diferentes niveles de la receta para tener cada nivel con los datos que aplican y que sirven para tener claridad si se están aplicando bien las reglas._x000D_
_x000D_
Por tal motivo, se decide realizar cambios al modelo creando y modificando dimensiones actuales._x000D_
_x000D_
A nivel de cambio, se realizó lo siguiente:_x000D_
 1. Borrar la Tabla actual de ...</v>
      </c>
      <c r="J45" s="23">
        <v>4</v>
      </c>
    </row>
    <row r="46" spans="1:10" ht="138">
      <c r="A46" s="24" t="str">
        <v>095-202-RDIG</v>
      </c>
      <c r="B46" s="24" t="str">
        <v>PROYECTO DE IMPLEMENTACION - RECETA DIGITAL - NUEVO DECRETO</v>
      </c>
      <c r="C46" s="21" t="str">
        <v>2 - TAREAS DE DESARROLLO DE DASHBOARD</v>
      </c>
      <c r="D46" s="21" t="str">
        <v>3 - CONFIGURACIÓN</v>
      </c>
      <c r="E46" s="21" t="str">
        <v>Senior Software Architect</v>
      </c>
      <c r="F46" s="21" t="str">
        <v>victor</v>
      </c>
      <c r="G46" s="17" t="str">
        <v>VICTOR CHAVES MONTERO</v>
      </c>
      <c r="H46" s="25">
        <v>46119</v>
      </c>
      <c r="I46" s="22" t="str">
        <v>RD - Generar SQL para Evidencia del Cálculo de DDD._x000D_
_x000D_
Luego de las revisiones al proceso y la aplicación de las reglas de carga dentro del proceso, se procede a crear un nuevo SQL para cada parte del proceso, que permita generar la evidencia del resultado, como detectar cualquier problema de lógica._x000D_
_x000D_
Se va generando el SQL y se valida el resultado con la salida de datos que se va observando.</v>
      </c>
      <c r="J46" s="23">
        <v>2</v>
      </c>
    </row>
    <row r="47" spans="1:10" ht="189.75">
      <c r="A47" s="24" t="str">
        <v>095-202-RDIG</v>
      </c>
      <c r="B47" s="24" t="str">
        <v>PROYECTO DE IMPLEMENTACION - RECETA DIGITAL - NUEVO DECRETO</v>
      </c>
      <c r="C47" s="21" t="str">
        <v>2 - TAREAS DE DESARROLLO DE DASHBOARD</v>
      </c>
      <c r="D47" s="21" t="str">
        <v>3 - CONFIGURACIÓN</v>
      </c>
      <c r="E47" s="21" t="str">
        <v>Senior Software Architect</v>
      </c>
      <c r="F47" s="21" t="str">
        <v>victor</v>
      </c>
      <c r="G47" s="17" t="str">
        <v>VICTOR CHAVES MONTERO</v>
      </c>
      <c r="H47" s="25">
        <v>46119</v>
      </c>
      <c r="I47" s="22" t="str">
        <v>RD - Crear Tabla de Secuencia para Fact de Ingredientes._x000D_
_x000D_
Luego de conversar con el encargado de Salud de la evidencia mostrada, se tiene una mejora en el modelo de datos._x000D_
_x000D_
Para la tabla de trabajo que contiene los datos de la aplicación de la fórmuda de DDD, se indica que esta información debe quedar disponible dentro del modelo por el Tipo de Cálculo 3 que es por ATC del Ingrediente._x000D_
_x000D_
Por este motivo, se decide crear una Fact Table con estos datos e incluyendo las dimensiones que complemente los ...</v>
      </c>
      <c r="J47" s="23">
        <v>2</v>
      </c>
    </row>
    <row r="48" spans="1:10" ht="207">
      <c r="A48" s="24" t="str">
        <v>095-202-RDIG</v>
      </c>
      <c r="B48" s="24" t="str">
        <v>PROYECTO DE IMPLEMENTACION - RECETA DIGITAL - NUEVO DECRETO</v>
      </c>
      <c r="C48" s="21" t="str">
        <v>2 - TAREAS DE DESARROLLO DE DASHBOARD</v>
      </c>
      <c r="D48" s="21" t="str">
        <v>3 - CONFIGURACIÓN</v>
      </c>
      <c r="E48" s="21" t="str">
        <v>Senior Software Architect</v>
      </c>
      <c r="F48" s="21" t="str">
        <v>victor</v>
      </c>
      <c r="G48" s="17" t="str">
        <v>VICTOR CHAVES MONTERO</v>
      </c>
      <c r="H48" s="25">
        <v>46120</v>
      </c>
      <c r="I48" s="22" t="str">
        <v>RD - Crear Tabla de Fact de Ingredientes._x000D_
_x000D_
Al tener la tabla de Secuencias, se inicia con la construcción de la tabla Fact, para información del Tipo de Cálculo 3 que es por ATC del Ingrediente._x000D_
_x000D_
Este proceso llevó las siguientes tareas:_x000D_
 * Analizar la funcionalidad y nivel de detalle de la tabla_x000D_
 * Definir la relación con las demás estructuras._x000D_
 * Relación con las dimensiones actuales_x000D_
 * Asignación con la asociación de las otras secuencias._x000D_
 * Definición de la carga histórica e incremental_x000D_
 * ...</v>
      </c>
      <c r="J48" s="23">
        <v>6</v>
      </c>
    </row>
    <row r="49" spans="1:10" ht="189.75">
      <c r="A49" s="24" t="str">
        <v>095-202-RDIG</v>
      </c>
      <c r="B49" s="24" t="str">
        <v>PROYECTO DE IMPLEMENTACION - RECETA DIGITAL - NUEVO DECRETO</v>
      </c>
      <c r="C49" s="21" t="str">
        <v>2 - TAREAS DE DESARROLLO DE DASHBOARD</v>
      </c>
      <c r="D49" s="21" t="str">
        <v>3 - CONFIGURACIÓN</v>
      </c>
      <c r="E49" s="21" t="str">
        <v>Senior Software Architect</v>
      </c>
      <c r="F49" s="21" t="str">
        <v>victor</v>
      </c>
      <c r="G49" s="17" t="str">
        <v>VICTOR CHAVES MONTERO</v>
      </c>
      <c r="H49" s="25">
        <v>46121</v>
      </c>
      <c r="I49" s="22" t="str">
        <v>RD - Ajustar SQL para Evidencia del Cálculo de DDD._x000D_
_x000D_
Al tener una nueva tabla, se procede ajustar la validación para mostrar un nuevo detalle con la información de los datos procesados por Ingrediente._x000D_
_x000D_
Esto conlleva la ejecución del proceso de datos, la comparación de los Items de la Receta contra cada Ingrediente que tiene el Medicamento prescrito, junto con la evidencia de cada resultado en cada nivel._x000D_
_x000D_
Para los datos que no se ven correctos o que son diferentes entre niveles, se modifica el pro...</v>
      </c>
      <c r="J49" s="23">
        <v>8</v>
      </c>
    </row>
    <row r="50" spans="1:10" ht="172.5">
      <c r="A50" s="24" t="str">
        <v>095-202-RDIG</v>
      </c>
      <c r="B50" s="24" t="str">
        <v>PROYECTO DE IMPLEMENTACION - RECETA DIGITAL - NUEVO DECRETO</v>
      </c>
      <c r="C50" s="21" t="str">
        <v>2 - TAREAS DE DESARROLLO DE DASHBOARD</v>
      </c>
      <c r="D50" s="21" t="str">
        <v>3 - CONFIGURACIÓN</v>
      </c>
      <c r="E50" s="21" t="str">
        <v>Senior Software Architect</v>
      </c>
      <c r="F50" s="21" t="str">
        <v>victor</v>
      </c>
      <c r="G50" s="17" t="str">
        <v>VICTOR CHAVES MONTERO</v>
      </c>
      <c r="H50" s="25">
        <v>46125</v>
      </c>
      <c r="I50" s="22" t="str">
        <v>RD - Migración a Producción: Estructuras y Stored Procedures (SP)._x000D_
_x000D_
Se ha procedido con la Migración a Producción de los componentes relacionados con el modelo de Recetas con la información para la generación del dashboard._x000D_
_x000D_
El detalle de la implementación incluye:_x000D_
 1. Creación de Estructuras: Se desplegaron las tablas y campos necesarios en el ambiente productivo._x000D_
 2. Scripts de Programación: Se crearon y habilitaron los Stored Procedures (SP) requeridos para el procesamiento de los datos y cálcul...</v>
      </c>
      <c r="J50" s="23">
        <v>1</v>
      </c>
    </row>
    <row r="51" spans="1:10" ht="189.75">
      <c r="A51" s="24" t="str">
        <v>095-202-RDIG</v>
      </c>
      <c r="B51" s="24" t="str">
        <v>PROYECTO DE IMPLEMENTACION - RECETA DIGITAL - NUEVO DECRETO</v>
      </c>
      <c r="C51" s="21" t="str">
        <v>2 - TAREAS DE DESARROLLO DE DASHBOARD</v>
      </c>
      <c r="D51" s="21" t="str">
        <v>3 - CONFIGURACIÓN</v>
      </c>
      <c r="E51" s="21" t="str">
        <v>Senior Software Architect</v>
      </c>
      <c r="F51" s="21" t="str">
        <v>victor</v>
      </c>
      <c r="G51" s="17" t="str">
        <v>VICTOR CHAVES MONTERO</v>
      </c>
      <c r="H51" s="25">
        <v>46125</v>
      </c>
      <c r="I51" s="22" t="str">
        <v>RD - Actualización y Pruebas: Ajuste de OMS ATC por Unidad de Medida (UM)_x000D_
_x000D_
Se han realizado las tareas relacionadas con el ajuste de tabla con el Catálogo de Sustancias por Medicamento por UM dado por la OMS._x000D_
_x000D_
A continuación, el detalle de lo realizado:_x000D_
 1. Campo de Conversión: Se incluyó el campo de conversión para la UM estándar, asegurando la alineación de los datos._x000D_
 2. Actualización de Datos: Se procesó la actualización de la información en la estructura según los parámetros._x000D_
 3. Pruebas de C...</v>
      </c>
      <c r="J51" s="23">
        <v>1</v>
      </c>
    </row>
    <row r="52" spans="1:10" ht="189.75">
      <c r="A52" s="24" t="str">
        <v>095-202-RDIG</v>
      </c>
      <c r="B52" s="24" t="str">
        <v>PROYECTO DE IMPLEMENTACION - RECETA DIGITAL - NUEVO DECRETO</v>
      </c>
      <c r="C52" s="21" t="str">
        <v>2 - TAREAS DE DESARROLLO DE DASHBOARD</v>
      </c>
      <c r="D52" s="21" t="str">
        <v>3 - CONFIGURACIÓN</v>
      </c>
      <c r="E52" s="21" t="str">
        <v>Senior Software Architect</v>
      </c>
      <c r="F52" s="21" t="str">
        <v>victor</v>
      </c>
      <c r="G52" s="17" t="str">
        <v>VICTOR CHAVES MONTERO</v>
      </c>
      <c r="H52" s="25">
        <v>46128</v>
      </c>
      <c r="I52" s="22" t="str">
        <v>RD - Ajustar SQL de Evidencias con Nueva Información._x000D_
_x000D_
Para ajustar un SQL de evidencias con nueva información, generalmente se sigue un proceso de integración de datos y refinamiento de lógica. _x000D_
_x000D_
Mapeo de nuevos campos: Se identifican las nuevas columnas o tablas que contienen la información reciente y se determina cómo se relacionan con el esquema de "Evidencias" actual._x000D_
_x000D_
Actualización del SELECT: Se agregan los nuevos campos necesarios a la consulta para que la salida refleje la información adic...</v>
      </c>
      <c r="J52" s="23">
        <v>1</v>
      </c>
    </row>
    <row r="53" spans="1:10" ht="172.5">
      <c r="A53" s="24" t="str">
        <v>095-202-RDIG</v>
      </c>
      <c r="B53" s="24" t="str">
        <v>PROYECTO DE IMPLEMENTACION - RECETA DIGITAL - NUEVO DECRETO</v>
      </c>
      <c r="C53" s="21" t="str">
        <v>2 - TAREAS DE DESARROLLO DE DASHBOARD</v>
      </c>
      <c r="D53" s="21" t="str">
        <v>3 - CONFIGURACIÓN</v>
      </c>
      <c r="E53" s="21" t="str">
        <v>Senior Software Architect</v>
      </c>
      <c r="F53" s="21" t="str">
        <v>victor</v>
      </c>
      <c r="G53" s="17" t="str">
        <v>VICTOR CHAVES MONTERO</v>
      </c>
      <c r="H53" s="25">
        <v>46139</v>
      </c>
      <c r="I53" s="22" t="str">
        <v>RD - Estandarización del modelo de datos de Receta Digital._x000D_
_x000D_
Se realizaron ajustes en la estandarización del modelo de datos de Receta Digital, enfocándose en la homologación de nomenclatura de campos y Stored Procedures, así como en la validación de inconsistencias críticas en el cálculo de DDD relacionadas con unidades de medida y datos incompletos de referencia OMS (ATC). Esto permite mejorar la calidad, trazabilidad y confiabilidad del modelo analítico._x000D_
_x000D_
Actividades Realizadas:_x000D_
" Revisión y ajus...</v>
      </c>
      <c r="J53" s="23">
        <v>8</v>
      </c>
    </row>
    <row r="54" spans="1:10" ht="155.25">
      <c r="A54" s="24" t="str">
        <v>095-202-RDIG</v>
      </c>
      <c r="B54" s="24" t="str">
        <v>PROYECTO DE IMPLEMENTACION - RECETA DIGITAL - NUEVO DECRETO</v>
      </c>
      <c r="C54" s="21" t="str">
        <v>2 - TAREAS DE DESARROLLO DE DASHBOARD</v>
      </c>
      <c r="D54" s="21" t="str">
        <v>3 - CONFIGURACIÓN</v>
      </c>
      <c r="E54" s="21" t="str">
        <v>Senior Software Architect</v>
      </c>
      <c r="F54" s="21" t="str">
        <v>victor</v>
      </c>
      <c r="G54" s="17" t="str">
        <v>VICTOR CHAVES MONTERO</v>
      </c>
      <c r="H54" s="25">
        <v>46140</v>
      </c>
      <c r="I54" s="22" t="str">
        <v>RD - Administrar Historia para Cambios en Información de Pacientes._x000D_
_x000D_
Para implementar la tabla histórica de pacientes y asegurar que el proceso de carga gestione correctamente los cambios de Fecha de Nacimiento, Dirección y Ubicación, se realizaron las siguientes tareas:_x000D_
1. Diseño y Creación del Objeto Físico_x000D_
	Crear la tabla D_ENTIDAD_HIST: Si no existe, debe replicar los campos clave de D_ENTIDAD para almacenar los cambios, más campos de control de auditoría:_x000D_
	ENTIDAD_HIST_ID: Primary Key (Secuen...</v>
      </c>
      <c r="J54" s="23">
        <v>7</v>
      </c>
    </row>
    <row r="55" spans="1:10" ht="155.25">
      <c r="A55" s="24" t="str">
        <v>095-202-RDIG</v>
      </c>
      <c r="B55" s="24" t="str">
        <v>PROYECTO DE IMPLEMENTACION - RECETA DIGITAL - NUEVO DECRETO</v>
      </c>
      <c r="C55" s="21" t="str">
        <v>2 - TAREAS DE DESARROLLO DE DASHBOARD</v>
      </c>
      <c r="D55" s="21" t="str">
        <v>3 - CONFIGURACIÓN</v>
      </c>
      <c r="E55" s="21" t="str">
        <v>Senior Software Architect</v>
      </c>
      <c r="F55" s="21" t="str">
        <v>victor</v>
      </c>
      <c r="G55" s="17" t="str">
        <v>VICTOR CHAVES MONTERO</v>
      </c>
      <c r="H55" s="25">
        <v>46141</v>
      </c>
      <c r="I55" s="22" t="str">
        <v>RD - Revisión de Variables para Indicadores del Dashboard._x000D_
_x000D_
Se realizó la revisión y ajuste de variables utilizadas en indicadores del dashboard, junto con validaciones de calidad de datos en la dimensión de direcciones y pacientes. Adicionalmente, se optimizó la nomenclatura de campos en el nivel de ítem para facilitar la detección de errores y reducir la dependencia de JOINs en análisis operativos._x000D_
_x000D_
Actividades realizadas:_x000D_
" Revisión de variables utilizadas en la construcción de indicadores del da...</v>
      </c>
      <c r="J55" s="23">
        <v>8</v>
      </c>
    </row>
    <row r="56" spans="1:10" ht="207">
      <c r="A56" s="24" t="str">
        <v>095-202-RDIG</v>
      </c>
      <c r="B56" s="24" t="str">
        <v>PROYECTO DE IMPLEMENTACION - RECETA DIGITAL - NUEVO DECRETO</v>
      </c>
      <c r="C56" s="21" t="str">
        <v>2 - TAREAS DE DESARROLLO DE DASHBOARD</v>
      </c>
      <c r="D56" s="21" t="str">
        <v>4 - PRUEBAS</v>
      </c>
      <c r="E56" s="21" t="str">
        <v>Senior Software Architect</v>
      </c>
      <c r="F56" s="21" t="str">
        <v>victor</v>
      </c>
      <c r="G56" s="17" t="str">
        <v>VICTOR CHAVES MONTERO</v>
      </c>
      <c r="H56" s="25">
        <v>46113</v>
      </c>
      <c r="I56" s="22" t="str">
        <v>RD - Generar SQL para Evidencia del Cálculo de DDD._x000D_
_x000D_
Para entregar la evidencia de los datos poblados en el ambiente de Certificación, se procede a generar las sentencias que permitan entregar la información mínima para la generación de los indicadores de Receta._x000D_
_x000D_
Para esto, se revisan los datos que fueron procesados contra los datos de la fuente, para asegurar que la información está llegando de la forma correcta y se están aplicando las reglas._x000D_
_x000D_
Para este proceso, se genera lo siguiente:_x000D_
 1. Inf...</v>
      </c>
      <c r="J56" s="23">
        <v>2</v>
      </c>
    </row>
    <row r="57" spans="1:10" ht="69">
      <c r="A57" s="24" t="str">
        <v>095-202-RDIG</v>
      </c>
      <c r="B57" s="24" t="str">
        <v>PROYECTO DE IMPLEMENTACION - RECETA DIGITAL - NUEVO DECRETO</v>
      </c>
      <c r="C57" s="21" t="str">
        <v>2 - TAREAS DE DESARROLLO DE DASHBOARD</v>
      </c>
      <c r="D57" s="21" t="str">
        <v>4 - PRUEBAS</v>
      </c>
      <c r="E57" s="21" t="str">
        <v>Senior Software Architect</v>
      </c>
      <c r="F57" s="21" t="str">
        <v>victor</v>
      </c>
      <c r="G57" s="17" t="str">
        <v>VICTOR CHAVES MONTERO</v>
      </c>
      <c r="H57" s="25">
        <v>46120</v>
      </c>
      <c r="I57" s="22" t="str">
        <v>RD - Pruebas Llenado Tabla de Fact de Ingredientes._x000D_
_x000D_
Se realizan las pruebas de ejecución y la validación de Datos, en la totalidad de información.</v>
      </c>
      <c r="J57" s="23">
        <v>2</v>
      </c>
    </row>
    <row r="58" spans="1:10" ht="138">
      <c r="A58" s="24" t="str">
        <v>095-202-RDIG</v>
      </c>
      <c r="B58" s="24" t="str">
        <v>PROYECTO DE IMPLEMENTACION - RECETA DIGITAL - NUEVO DECRETO</v>
      </c>
      <c r="C58" s="21" t="str">
        <v>2 - TAREAS DE DESARROLLO DE DASHBOARD</v>
      </c>
      <c r="D58" s="21" t="str">
        <v>4 - PRUEBAS</v>
      </c>
      <c r="E58" s="21" t="str">
        <v>Senior Software Architect</v>
      </c>
      <c r="F58" s="21" t="str">
        <v>victor</v>
      </c>
      <c r="G58" s="17" t="str">
        <v>VICTOR CHAVES MONTERO</v>
      </c>
      <c r="H58" s="25">
        <v>46122</v>
      </c>
      <c r="I58" s="22" t="str">
        <v>RD - Generar Evidencia de Casos de Ejemplo del Cálculo de DDD._x000D_
_x000D_
Se procede a generar cuatro casos de uso con los cambios al modelo._x000D_
_x000D_
Se ejecuta el proceso para tener los datos actualizados._x000D_
_x000D_
Se obtiene la evidencia de cada una de las recetas y se da el formato para ser entregado como documento de certificación.</v>
      </c>
      <c r="J58" s="23">
        <v>2</v>
      </c>
    </row>
    <row r="59" spans="1:10" ht="207">
      <c r="A59" s="24" t="str">
        <v>095-202-RDIG</v>
      </c>
      <c r="B59" s="24" t="str">
        <v>PROYECTO DE IMPLEMENTACION - RECETA DIGITAL - NUEVO DECRETO</v>
      </c>
      <c r="C59" s="21" t="str">
        <v>2 - TAREAS DE DESARROLLO DE DASHBOARD</v>
      </c>
      <c r="D59" s="21" t="str">
        <v>4 - PRUEBAS</v>
      </c>
      <c r="E59" s="21" t="str">
        <v>Senior Software Architect</v>
      </c>
      <c r="F59" s="21" t="str">
        <v>victor</v>
      </c>
      <c r="G59" s="17" t="str">
        <v>VICTOR CHAVES MONTERO</v>
      </c>
      <c r="H59" s="25">
        <v>46122</v>
      </c>
      <c r="I59" s="22" t="str">
        <v>RD - Revisar Casos Tipo 3 Cálculo por Ingrediente en DDD._x000D_
_x000D_
Se solicita al encargo de Salud, la generación de recetas en Certificación para poder validar el proceso de carga y cálculo._x000D_
_x000D_
Al recibir dos nuevas recetas, se procede a validar los resultados._x000D_
_x000D_
Luego de correr el proceso de carga para tener las dos recetas, se detecta que el proceso las tiene identificadas como Tipo 0._x000D_
_x000D_
Se informa a Salud y se solicita el listado de Medicamentos que deberían ser Tipo 3, para buscar y encontrar la razón d...</v>
      </c>
      <c r="J59" s="23">
        <v>1</v>
      </c>
    </row>
    <row r="60" spans="1:10" ht="224.25">
      <c r="A60" s="24" t="str">
        <v>095-202-RDIG</v>
      </c>
      <c r="B60" s="24" t="str">
        <v>PROYECTO DE IMPLEMENTACION - RECETA DIGITAL - NUEVO DECRETO</v>
      </c>
      <c r="C60" s="21" t="str">
        <v>2 - TAREAS DE DESARROLLO DE DASHBOARD</v>
      </c>
      <c r="D60" s="21" t="str">
        <v>4 - PRUEBAS</v>
      </c>
      <c r="E60" s="21" t="str">
        <v>Senior Software Architect</v>
      </c>
      <c r="F60" s="21" t="str">
        <v>victor</v>
      </c>
      <c r="G60" s="17" t="str">
        <v>VICTOR CHAVES MONTERO</v>
      </c>
      <c r="H60" s="25">
        <v>46122</v>
      </c>
      <c r="I60" s="22" t="str">
        <v>RD - Revisar Catálogo de Medicamentos e Ingredientes en Producción y Certificación con Diferencias._x000D_
_x000D_
Al recibir el listado de los Medicamentos que aplican al Tipo 3, se procede a lo siguiente: _x000D_
 1. Revisar la Información en producción._x000D_
 2. Comparar los Datos en Certificación._x000D_
 3. Identificar las diferencias._x000D_
 4. Generar la Evidencia._x000D_
 5. Entregar el SQL para que sea arreglada la información en Certificación._x000D_
_x000D_
Como este proceso se tiene que hacer en diferentes ambientes, se generan los SQLs para ...</v>
      </c>
      <c r="J60" s="23">
        <v>4</v>
      </c>
    </row>
    <row r="61" spans="1:10" ht="207">
      <c r="A61" s="24" t="str">
        <v>095-202-RDIG</v>
      </c>
      <c r="B61" s="24" t="str">
        <v>PROYECTO DE IMPLEMENTACION - RECETA DIGITAL - NUEVO DECRETO</v>
      </c>
      <c r="C61" s="21" t="str">
        <v>2 - TAREAS DE DESARROLLO DE DASHBOARD</v>
      </c>
      <c r="D61" s="21" t="str">
        <v>4 - PRUEBAS</v>
      </c>
      <c r="E61" s="21" t="str">
        <v>Senior Software Architect</v>
      </c>
      <c r="F61" s="21" t="str">
        <v>victor</v>
      </c>
      <c r="G61" s="17" t="str">
        <v>VICTOR CHAVES MONTERO</v>
      </c>
      <c r="H61" s="25">
        <v>46122</v>
      </c>
      <c r="I61" s="22" t="str">
        <v>RD - Evidencia de las 2 Recetar Tipo 3._x000D_
_x000D_
Luego que el personal de Salud realizó la modificación de los datos en Certificación, se realiza la ejecución del proceso para actualizar los datos._x000D_
_x000D_
Se procede a generar la evidencia de las dos recetas._x000D_
_x000D_
Durante la validación de esas dos recetas, se identifica un problema con la conversión del valor de DDD que viene en diferente Unidad de Medida cuando se hace el cálculo del DDD._x000D_
_x000D_
Se revisa que los datos estén correctos y que se almacenen aplicando la reg...</v>
      </c>
      <c r="J61" s="23">
        <v>1</v>
      </c>
    </row>
    <row r="62" spans="1:10" ht="155.25">
      <c r="A62" s="24" t="str">
        <v>095-202-RDIG</v>
      </c>
      <c r="B62" s="24" t="str">
        <v>PROYECTO DE IMPLEMENTACION - RECETA DIGITAL - NUEVO DECRETO</v>
      </c>
      <c r="C62" s="21" t="str">
        <v>2 - TAREAS DE DESARROLLO DE DASHBOARD</v>
      </c>
      <c r="D62" s="21" t="str">
        <v>4 - PRUEBAS</v>
      </c>
      <c r="E62" s="21" t="str">
        <v>Senior Software Architect</v>
      </c>
      <c r="F62" s="21" t="str">
        <v>victor</v>
      </c>
      <c r="G62" s="17" t="str">
        <v>VICTOR CHAVES MONTERO</v>
      </c>
      <c r="H62" s="25">
        <v>46125</v>
      </c>
      <c r="I62" s="22" t="str">
        <v>RD - Resultado de Pruebas: Migración del Modelo de Datos a Producción._x000D_
_x000D_
Tras completar la migración, se realizaron las Pruebas de Validación en el ambiente de Producción mediante la ejecución manual del proceso de carga, con los siguientes resultados:_x000D_
 1. Dimensiones: Se ejecutó la carga de cada dimensión de manera exitosa._x000D_
 2. Tablas Temporales: Se completó el llenado de las estructuras temporales sin errores._x000D_
 3. Tablas Fact: Se validó el procesamiento y carga final de los datos en las tablas:_x000D_
		...</v>
      </c>
      <c r="J62" s="23">
        <v>4</v>
      </c>
    </row>
    <row r="63" spans="1:10" ht="189.75">
      <c r="A63" s="24" t="str">
        <v>095-202-RDIG</v>
      </c>
      <c r="B63" s="24" t="str">
        <v>PROYECTO DE IMPLEMENTACION - RECETA DIGITAL - NUEVO DECRETO</v>
      </c>
      <c r="C63" s="21" t="str">
        <v>2 - TAREAS DE DESARROLLO DE DASHBOARD</v>
      </c>
      <c r="D63" s="21" t="str">
        <v>4 - PRUEBAS</v>
      </c>
      <c r="E63" s="21" t="str">
        <v>Senior Software Architect</v>
      </c>
      <c r="F63" s="21" t="str">
        <v>victor</v>
      </c>
      <c r="G63" s="17" t="str">
        <v>VICTOR CHAVES MONTERO</v>
      </c>
      <c r="H63" s="25">
        <v>46125</v>
      </c>
      <c r="I63" s="22" t="str">
        <v>RD - Hallazgos y Resultados: Validación de UM Recetas vs. ATC._x000D_
_x000D_
Se completó el análisis de las unidades de medida (UM) de las Recetas frente al ATC, mediante la conversión definida en el DDD._x000D_
_x000D_
Con esto, se busca tener claro los casos de conversión que deba realizarse para unificar la salida y cálculos de DDD._x000D_
_x000D_
Estos son los puntos clave:_x000D_
 * Detección de Errores: Se generaron consultas SQL para identificar discrepancias. Se detectaron cálculos con resultados incorrectos tras la conversión y se vali...</v>
      </c>
      <c r="J63" s="23">
        <v>2</v>
      </c>
    </row>
    <row r="64" spans="1:10" ht="138">
      <c r="A64" s="24" t="str">
        <v>095-202-RDIG</v>
      </c>
      <c r="B64" s="24" t="str">
        <v>PROYECTO DE IMPLEMENTACION - RECETA DIGITAL - NUEVO DECRETO</v>
      </c>
      <c r="C64" s="21" t="str">
        <v>2 - TAREAS DE DESARROLLO DE DASHBOARD</v>
      </c>
      <c r="D64" s="21" t="str">
        <v>4 - PRUEBAS</v>
      </c>
      <c r="E64" s="21" t="str">
        <v>Senior Software Architect</v>
      </c>
      <c r="F64" s="21" t="str">
        <v>victor</v>
      </c>
      <c r="G64" s="17" t="str">
        <v>VICTOR CHAVES MONTERO</v>
      </c>
      <c r="H64" s="25">
        <v>46126</v>
      </c>
      <c r="I64" s="22" t="str">
        <v>RD - Incidencias en Producción: Error de Carga ATC y Espacio en Base de Datos._x000D_
_x000D_
Durante la carga de los Ingredientes en el ambiente de producción, se presentaron dos incidentes que requirieron intervención inmediata:_x000D_
 1. Error de Duplicados (ATC): Se detuvo la ejecución debido a un error de llave duplicada. Tras la revisión, se detectó que el archivo de OMS contenía un mismo código ATC asignado a dos códigos de sustancia distintos._x000D_
 2. Limitación de Almacenamiento: Se presentó un error por falta de e...</v>
      </c>
      <c r="J64" s="23">
        <v>1</v>
      </c>
    </row>
    <row r="65" spans="1:10" ht="138">
      <c r="A65" s="24" t="str">
        <v>095-202-RDIG</v>
      </c>
      <c r="B65" s="24" t="str">
        <v>PROYECTO DE IMPLEMENTACION - RECETA DIGITAL - NUEVO DECRETO</v>
      </c>
      <c r="C65" s="21" t="str">
        <v>2 - TAREAS DE DESARROLLO DE DASHBOARD</v>
      </c>
      <c r="D65" s="21" t="str">
        <v>4 - PRUEBAS</v>
      </c>
      <c r="E65" s="21" t="str">
        <v>Senior Software Architect</v>
      </c>
      <c r="F65" s="21" t="str">
        <v>victor</v>
      </c>
      <c r="G65" s="17" t="str">
        <v>VICTOR CHAVES MONTERO</v>
      </c>
      <c r="H65" s="25">
        <v>46126</v>
      </c>
      <c r="I65" s="22" t="str">
        <v>RD - Pruebas Funcionales y Gestión de Espacio en Producción._x000D_
_x000D_
Como parte de la fase final de Pruebas Funcionales tras la migración, informo sobre los avances en la estabilización del entorno y carga de datos:_x000D_
 1. Optimización de Almacenamiento: Se continuó con la administración del espacio en la base de datos, ejecutando el borrado preventivo de tablas no críticas. Esta acción permitió liberar el espacio necesario para procesar la Tabla de Ingredientes. De igual forma, se cargaron únicamente aquellas ...</v>
      </c>
      <c r="J65" s="23">
        <v>2</v>
      </c>
    </row>
    <row r="66" spans="1:10" ht="172.5">
      <c r="A66" s="24" t="str">
        <v>095-202-RDIG</v>
      </c>
      <c r="B66" s="24" t="str">
        <v>PROYECTO DE IMPLEMENTACION - RECETA DIGITAL - NUEVO DECRETO</v>
      </c>
      <c r="C66" s="21" t="str">
        <v>2 - TAREAS DE DESARROLLO DE DASHBOARD</v>
      </c>
      <c r="D66" s="21" t="str">
        <v>4 - PRUEBAS</v>
      </c>
      <c r="E66" s="21" t="str">
        <v>Senior Software Architect</v>
      </c>
      <c r="F66" s="21" t="str">
        <v>victor</v>
      </c>
      <c r="G66" s="17" t="str">
        <v>VICTOR CHAVES MONTERO</v>
      </c>
      <c r="H66" s="25">
        <v>46126</v>
      </c>
      <c r="I66" s="22" t="str">
        <v>RD - Validación de Calidad: UM Receta vs. Conversión DDD en Producción._x000D_
_x000D_
Se inicia con la validación del resultado del cálculo DDD en el entorno de Producción._x000D_
_x000D_
Para ello, se van desarrollado consultas SQL que extraen evidencias de registros sin cálculo, bajo las siguientes premisas:_x000D_
 1. Identificación de Errores: Se están documentando los casos que no generan cálculo para definir las reglas de ajuste inmediatas._x000D_
 2. Medicamentos sin relación ATC: Se están priorizando los casos donde:_x000D_
      2.1 Ex...</v>
      </c>
      <c r="J66" s="23">
        <v>5</v>
      </c>
    </row>
    <row r="67" spans="1:10" ht="155.25">
      <c r="A67" s="24" t="str">
        <v>095-202-RDIG</v>
      </c>
      <c r="B67" s="24" t="str">
        <v>PROYECTO DE IMPLEMENTACION - RECETA DIGITAL - NUEVO DECRETO</v>
      </c>
      <c r="C67" s="21" t="str">
        <v>2 - TAREAS DE DESARROLLO DE DASHBOARD</v>
      </c>
      <c r="D67" s="21" t="str">
        <v>4 - PRUEBAS</v>
      </c>
      <c r="E67" s="21" t="str">
        <v>Senior Software Architect</v>
      </c>
      <c r="F67" s="21" t="str">
        <v>victor</v>
      </c>
      <c r="G67" s="17" t="str">
        <v>VICTOR CHAVES MONTERO</v>
      </c>
      <c r="H67" s="25">
        <v>46127</v>
      </c>
      <c r="I67" s="22" t="str">
        <v>RD - Informe de Hallazgos: Análisis de Casos sin Cálculo DDD en Producción._x000D_
_x000D_
Se tiene el análisis detallado sobre el universo de casi cinco millones de recetas en producción para identificar las causas por las cuales no se está generando el cálculo de conversión DDD._x000D_
_x000D_
Tras la revisión de los datos, se han tipificado las incidencias en tres casos críticos:_x000D_
 * Caso 1 (Falta de parámetros básicos): Registros en ATC_INGREDIENTE que no cuentan con Vías de Administración para comparar, ni con el valor DDD...</v>
      </c>
      <c r="J67" s="23">
        <v>8</v>
      </c>
    </row>
    <row r="68" spans="1:10" ht="189.75">
      <c r="A68" s="24" t="str">
        <v>095-202-RDIG</v>
      </c>
      <c r="B68" s="24" t="str">
        <v>PROYECTO DE IMPLEMENTACION - RECETA DIGITAL - NUEVO DECRETO</v>
      </c>
      <c r="C68" s="21" t="str">
        <v>2 - TAREAS DE DESARROLLO DE DASHBOARD</v>
      </c>
      <c r="D68" s="21" t="str">
        <v>4 - PRUEBAS</v>
      </c>
      <c r="E68" s="21" t="str">
        <v>Senior Software Architect</v>
      </c>
      <c r="F68" s="21" t="str">
        <v>victor</v>
      </c>
      <c r="G68" s="17" t="str">
        <v>VICTOR CHAVES MONTERO</v>
      </c>
      <c r="H68" s="25">
        <v>46128</v>
      </c>
      <c r="I68" s="22" t="str">
        <v>RD - Validación de Integridad Referencial y Estructura._x000D_
_x000D_
Verificación de Claves Subrogadas: Asegurar que cada registro en la tabla de hechos tenga una clave única y que las relaciones con las dimensiones se hayan generado correctamente mediante el uso de claves subrogadas._x000D_
_x000D_
Integridad Referencial: Comprobar que no existan IDs sin relación con la dimensión; es decir, que cada ID_Medicamento o ID_Medico en la tabla de hechos exista previamente en su dimensión correspondiente._x000D_
_x000D_
Escenarios de Dimension...</v>
      </c>
      <c r="J68" s="23">
        <v>3</v>
      </c>
    </row>
    <row r="69" spans="1:10" ht="189.75">
      <c r="A69" s="24" t="str">
        <v>095-202-RDIG</v>
      </c>
      <c r="B69" s="24" t="str">
        <v>PROYECTO DE IMPLEMENTACION - RECETA DIGITAL - NUEVO DECRETO</v>
      </c>
      <c r="C69" s="21" t="str">
        <v>2 - TAREAS DE DESARROLLO DE DASHBOARD</v>
      </c>
      <c r="D69" s="21" t="str">
        <v>4 - PRUEBAS</v>
      </c>
      <c r="E69" s="21" t="str">
        <v>Senior Software Architect</v>
      </c>
      <c r="F69" s="21" t="str">
        <v>victor</v>
      </c>
      <c r="G69" s="17" t="str">
        <v>VICTOR CHAVES MONTERO</v>
      </c>
      <c r="H69" s="25">
        <v>46128</v>
      </c>
      <c r="I69" s="22" t="str">
        <v>RD - Validación de Reglas de Negocio Específicas._x000D_
_x000D_
Consistencia del Tratamiento: Verificar que el medicamento cargado coincida con el catálogo oficial y que las unidades de medida (mg, ml, tabletas) sean coherentes con la forma farmacéutica._x000D_
_x000D_
Vigencia de la Receta: Validar que la carga identifique correctamente recetas vencidas según la normativa local._x000D_
_x000D_
Cálculos Derivados: Para los cálculos de "DDD" o "dosis total", se deben recalcular manualmente en una muestra para asegurar que la lógica del pro...</v>
      </c>
      <c r="J69" s="23">
        <v>4</v>
      </c>
    </row>
    <row r="70" spans="1:10">
      <c r="A70" s="15" t="str">
        <v>095-202-RDIG</v>
      </c>
      <c r="B70" s="15" t="str">
        <v>PROYECTO DE IMPLEMENTACION - RECETA DIGITAL - NUEVO DECRETO</v>
      </c>
      <c r="C70" s="15" t="str">
        <v>2 - TAREAS DE DESARROLLO DE DASHBOARD</v>
      </c>
      <c r="D70" s="15" t="str">
        <v>4 - PRUEBAS</v>
      </c>
      <c r="E70" s="15" t="str">
        <v>Senior Software Architect</v>
      </c>
      <c r="F70" s="15" t="str">
        <v>victor</v>
      </c>
      <c r="G70" s="15" t="str">
        <v>VICTOR CHAVES MONTERO</v>
      </c>
      <c r="H70" s="15">
        <v>46129</v>
      </c>
      <c r="I70" s="15" t="str">
        <v>RD - Pruebas de Rendimiento y Volumen._x000D_
_x000D_
Carga de Estrés: Realizar pruebas con volúmenes de datos realistas para asegurar que los tiempos de carga no afecten la disponibilidad de los datos._x000D_
_x000D_
Verificación Continua: Se realzia un monitoreo para detectar fallos en la carga manual.</v>
      </c>
      <c r="J70" s="15">
        <v>2</v>
      </c>
    </row>
    <row r="71" spans="1:10">
      <c r="A71" s="15" t="str">
        <v>095-202-RDIG</v>
      </c>
      <c r="B71" s="15" t="str">
        <v>PROYECTO DE IMPLEMENTACION - RECETA DIGITAL - NUEVO DECRETO</v>
      </c>
      <c r="C71" s="15" t="str">
        <v>2 - TAREAS DE DESARROLLO DE DASHBOARD</v>
      </c>
      <c r="D71" s="15" t="str">
        <v>4 - PRUEBAS</v>
      </c>
      <c r="E71" s="15" t="str">
        <v>Senior Software Architect</v>
      </c>
      <c r="F71" s="15" t="str">
        <v>victor</v>
      </c>
      <c r="G71" s="15" t="str">
        <v>VICTOR CHAVES MONTERO</v>
      </c>
      <c r="H71" s="15">
        <v>46129</v>
      </c>
      <c r="I71" s="15" t="str">
        <v>RD - Calidad de Datos._x000D_
_x000D_
Se realizaron las siguientes tareas:_x000D_
1. Completitud: Validar que campos obligatorios como el nombre del profesional, paciente, ubicación geográfica, nombre del medicamento y dosis no contengan valores nulos._x000D_
2. Unicidad: Garantizar que no existan recetas duplicadas en la tabla de hechos por errores en el proceso de carga._x000D_
3. Validación de Rangos y Formatos:_x000D_
     3.1 Dosis: Verificar que las cantidades y frecuencias estén dentro de rangos clínicamente establecidos._x000D_
     3.2 ...</v>
      </c>
      <c r="J71" s="15">
        <v>4</v>
      </c>
    </row>
    <row r="72" spans="1:10">
      <c r="A72" s="15" t="str">
        <v>095-202-RDIG</v>
      </c>
      <c r="B72" s="15" t="str">
        <v>PROYECTO DE IMPLEMENTACION - RECETA DIGITAL - NUEVO DECRETO</v>
      </c>
      <c r="C72" s="15" t="str">
        <v>2 - TAREAS DE DESARROLLO DE DASHBOARD</v>
      </c>
      <c r="D72" s="15" t="str">
        <v>4 - PRUEBAS</v>
      </c>
      <c r="E72" s="15" t="str">
        <v>Senior Software Architect</v>
      </c>
      <c r="F72" s="15" t="str">
        <v>victor</v>
      </c>
      <c r="G72" s="15" t="str">
        <v>VICTOR CHAVES MONTERO</v>
      </c>
      <c r="H72" s="15">
        <v>46132</v>
      </c>
      <c r="I72" s="15" t="str">
        <v>RD - Proceso de Validación de los Datos del Modelo de BI._x000D_
_x000D_
El resumen de las tareas realizadas en el proceso de validación del modelo de Receta Digital:_x000D_
_x000D_
1. Validaciones de Dimensiones_x000D_
Se implementaron validaciones completas para las principales dimensiones:_x000D_
"	D_ENTIDAD (Pacientes y Médicos)_x000D_
o	Integridad entre fuente y DW (IDs y claves funcionales)_x000D_
o	Validación de género (transformación CASE)_x000D_
o	Validación de fecha de nacimiento y cálculo de edad_x000D_
o	Detección de registros sin dimensión o con como...</v>
      </c>
      <c r="J72" s="15">
        <v>8</v>
      </c>
    </row>
    <row r="73" spans="1:10">
      <c r="A73" s="15" t="str">
        <v>095-202-RDIG</v>
      </c>
      <c r="B73" s="15" t="str">
        <v>PROYECTO DE IMPLEMENTACION - RECETA DIGITAL - NUEVO DECRETO</v>
      </c>
      <c r="C73" s="15" t="str">
        <v>2 - TAREAS DE DESARROLLO DE DASHBOARD</v>
      </c>
      <c r="D73" s="15" t="str">
        <v>4 - PRUEBAS</v>
      </c>
      <c r="E73" s="15" t="str">
        <v>Senior Software Architect</v>
      </c>
      <c r="F73" s="15" t="str">
        <v>victor</v>
      </c>
      <c r="G73" s="15" t="str">
        <v>VICTOR CHAVES MONTERO</v>
      </c>
      <c r="H73" s="15">
        <v>46134</v>
      </c>
      <c r="I73" s="15" t="str">
        <v>RD - Control de Calidad y Auditoría de Datos._x000D_
_x000D_
Se realiza el Control de Calidad y Auditoría de Datos:_x000D_
"	Depuración de Datos Geográficos: Análisis exhaustivo de los JOINs en el motor de base de datos para identificar fallos en la asociación paciente-distrito._x000D_
"	Sincronización Transaccional-BI: Validación de que los cambios en el sistema operativo se reflejen correctamente en el modelo de Inteligencia de Negocios, detectando códigos de distrito inválidos o nulos._x000D_
"	Gestión de Correcciones: Documentaci...</v>
      </c>
      <c r="J73" s="15">
        <v>4</v>
      </c>
    </row>
    <row r="74" spans="1:10">
      <c r="A74" s="15" t="str">
        <v>095-202-RDIG</v>
      </c>
      <c r="B74" s="15" t="str">
        <v>PROYECTO DE IMPLEMENTACION - RECETA DIGITAL - NUEVO DECRETO</v>
      </c>
      <c r="C74" s="15" t="str">
        <v>2 - TAREAS DE DESARROLLO DE DASHBOARD</v>
      </c>
      <c r="D74" s="15" t="str">
        <v>4 - PRUEBAS</v>
      </c>
      <c r="E74" s="15" t="str">
        <v>Senior Software Architect</v>
      </c>
      <c r="F74" s="15" t="str">
        <v>victor</v>
      </c>
      <c r="G74" s="15" t="str">
        <v>VICTOR CHAVES MONTERO</v>
      </c>
      <c r="H74" s="15">
        <v>46142</v>
      </c>
      <c r="I74" s="15" t="str">
        <v>RD - Revisión de Cálculos de Ingredientes para Indicadores del Dashboard._x000D_
_x000D_
Se realizaron ajustes estructurales y funcionales en el modelo de Receta Digital, enfocados en la mejora de los cálculos a nivel de ingredientes y la validación de unidades de medida para el correcto cálculo de DDD. Asimismo, se actualizaron scripts de creación de tablas y Stored Procedures, asegurando coherencia en nomenclatura y lógica de procesamiento, seguido de pruebas de ejecución para validar los cambios implementados._x000D_
_x000D_...</v>
      </c>
      <c r="J74" s="15">
        <v>7</v>
      </c>
    </row>
    <row r="75" spans="1:10">
      <c r="A75" s="15" t="str">
        <v>095-202-RDIG</v>
      </c>
      <c r="B75" s="15" t="str">
        <v>PROYECTO DE IMPLEMENTACION - RECETA DIGITAL - NUEVO DECRETO</v>
      </c>
      <c r="C75" s="15" t="str">
        <v>176-MCD - MEJORAS AL CORE Y DASHBOARD DE RECETA DIGITAL</v>
      </c>
      <c r="D75" s="15" t="str">
        <v>4 - REUNIONES INTERNAS</v>
      </c>
      <c r="E75" s="15" t="str">
        <v>Senior Software Architect</v>
      </c>
      <c r="F75" s="15" t="str">
        <v>victor</v>
      </c>
      <c r="G75" s="15" t="str">
        <v>VICTOR CHAVES MONTERO</v>
      </c>
      <c r="H75" s="15">
        <v>46129</v>
      </c>
      <c r="I75" s="15" t="str">
        <v>RD - Reunión de Revisión de Casos de Evidencia y Corrección de la Información._x000D_
_x000D_
Esta reunión se centró en el control de calidad y la resolución de incidentes críticos mediante la colaboración directa entre los equipos. _x000D_
_x000D_
Lo realizado consiste en:_x000D_
 1. Auditoría de Evidencias: Se analiza caso por caso para asegurar que lo documentado coincide con la realidad operativa._x000D_
 2. Cruce con Receta Digital: Se valida que la información extraída del SQL sea coherente con lo que registra la aplicación de Receta...</v>
      </c>
      <c r="J75" s="15">
        <v>2</v>
      </c>
    </row>
    <row r="76" spans="1:10">
      <c r="A76" s="15" t="str">
        <v>095-202-RDIG</v>
      </c>
      <c r="B76" s="15" t="str">
        <v>PROYECTO DE IMPLEMENTACION - RECETA DIGITAL - NUEVO DECRETO</v>
      </c>
      <c r="C76" s="15" t="str">
        <v>176-MCD - MEJORAS AL CORE Y DASHBOARD DE RECETA DIGITAL</v>
      </c>
      <c r="D76" s="15" t="str">
        <v>4 - REUNIONES INTERNAS</v>
      </c>
      <c r="E76" s="15" t="str">
        <v>Senior Software Architect</v>
      </c>
      <c r="F76" s="15" t="str">
        <v>victor</v>
      </c>
      <c r="G76" s="15" t="str">
        <v>VICTOR CHAVES MONTERO</v>
      </c>
      <c r="H76" s="15">
        <v>46136</v>
      </c>
      <c r="I76" s="15" t="str">
        <v>RD - Reunión de Seguimiento del Dashboard de Receta._x000D_
_x000D_
Seguimiento de Indicadores y Modelado BI_x000D_
"	Análisis de Fórmulas Complejas: Explicación técnica de la conversión de unidades a millones y su impacto en el cálculo del DDD (Dosis Diaria Definida)._x000D_
"	Diseño de Tableros: Revisión de indicadores preliminares para el dashboard y definición de fuentes de datos para el modelo._x000D_
"	Planificación Demográfica: Definición de los parámetros necesarios (geografía, género y edad) para el cálculo futuro del DHD (D...</v>
      </c>
      <c r="J76" s="15">
        <v>2</v>
      </c>
    </row>
    <row r="77" spans="1:10">
      <c r="A77" s="15" t="str">
        <v>095-202-RDIG</v>
      </c>
      <c r="B77" s="15" t="str">
        <v>PROYECTO DE IMPLEMENTACION - RECETA DIGITAL - NUEVO DECRETO</v>
      </c>
      <c r="C77" s="15" t="str">
        <v>176-MCD - MEJORAS AL CORE Y DASHBOARD DE RECETA DIGITAL</v>
      </c>
      <c r="D77" s="15" t="str">
        <v>4 - REUNIONES INTERNAS</v>
      </c>
      <c r="E77" s="15" t="str">
        <v>Senior Software Architect</v>
      </c>
      <c r="F77" s="15" t="str">
        <v>victor</v>
      </c>
      <c r="G77" s="15" t="str">
        <v>VICTOR CHAVES MONTERO</v>
      </c>
      <c r="H77" s="15">
        <v>46142</v>
      </c>
      <c r="I77" s="15" t="str">
        <v>RD - Reunión de Seguiimiento para revisar Información de Población para Cálculo de DHD._x000D_
_x000D_
Se llevó a cabo una reunión de seguimiento con el equipo del Ministerio de Salud para validar la información de población requerida en el cálculo de DHD (Dosis Diaria por Habitante). Se revisaron las fuentes disponibles, específicamente el archivo consolidado en Excel con segmentaciones clave, y se evaluó su alineación con el modelo analítico de Receta Digital. Adicionalmente, se presentó el estado actual del dashb...</v>
      </c>
      <c r="J77" s="15">
        <v>0.5</v>
      </c>
    </row>
    <row r="78" spans="1:10">
      <c r="A78" s="15" t="str">
        <v>095-400-INS-REG</v>
      </c>
      <c r="B78" s="15" t="str">
        <v>DESARROLLO DE SOLUCION - APP INSPECCIONES REGISTRELO</v>
      </c>
      <c r="C78" s="15" t="str">
        <v>350-SWAT-INSPE - DESARROLLO DEL EQUIPO SWAT</v>
      </c>
      <c r="D78" s="15" t="str">
        <v>10 - DESARROLLO</v>
      </c>
      <c r="E78" s="15" t="str">
        <v>Senior Mobile Software Developer</v>
      </c>
      <c r="F78" s="15" t="str">
        <v>ngarcia</v>
      </c>
      <c r="G78" s="15" t="str">
        <v>NEIL JOSE GARCIA VARGAS</v>
      </c>
      <c r="H78" s="15">
        <v>46139</v>
      </c>
      <c r="I78" s="15" t="str">
        <v>Se desarrolla mejoras para el app de inspecciones</v>
      </c>
      <c r="J78" s="15">
        <v>8</v>
      </c>
    </row>
    <row r="79" spans="1:10">
      <c r="A79" s="15" t="str">
        <v>151-400-RGT2.0</v>
      </c>
      <c r="B79" s="15" t="str">
        <v>DESARROLLO DE SOLUCIÓN - REGISTRELO 2.0</v>
      </c>
      <c r="C79" s="15" t="str">
        <v>600-QA -  Tareas asociadas a Equipo QA Corporativo</v>
      </c>
      <c r="D79" s="15" t="str">
        <v>2 - Estimación de Ejecución de Pruebas</v>
      </c>
      <c r="E79" s="15" t="str">
        <v>Junior QA Tester</v>
      </c>
      <c r="F79" s="15" t="str">
        <v>mzuniga</v>
      </c>
      <c r="G79" s="15" t="str">
        <v>MEYLIN ALEJANDRA ZUÑIGA NUÑEZ</v>
      </c>
      <c r="H79" s="15">
        <v>46142</v>
      </c>
      <c r="I79" s="15" t="str">
        <v xml:space="preserve">"Estimación de Ejecución de Pruebas - 4.00 de: Reg2.0 en el ambiente de: preQA. Nombre de protocolo ejecutado: REG2-055. Defectos revisados: REG2-5930. Descripción de la tarea: Estimación de las pruebas de los requerimientos Requerimiento_2026_CD-03 Leyenda Rechazo.docx_x000D_
QA-P1-R1. SOLICITUD DE QA REG2-055 Leyenda de rechazo.pdf.  "	_x000D_
</v>
      </c>
      <c r="J79" s="15">
        <v>4</v>
      </c>
    </row>
    <row r="80" spans="1:10">
      <c r="A80" s="15" t="str">
        <v>151-400-RGT2.0</v>
      </c>
      <c r="B80" s="15" t="str">
        <v>DESARROLLO DE SOLUCIÓN - REGISTRELO 2.0</v>
      </c>
      <c r="C80" s="15" t="str">
        <v>600-QA -  Tareas asociadas a Equipo QA Corporativo</v>
      </c>
      <c r="D80" s="15" t="str">
        <v>4 - Ejecución de Protocolo de Pruebas</v>
      </c>
      <c r="E80" s="15" t="str">
        <v>Junior QA Tester</v>
      </c>
      <c r="F80" s="15" t="str">
        <v>mzuniga</v>
      </c>
      <c r="G80" s="15" t="str">
        <v>MEYLIN ALEJANDRA ZUÑIGA NUÑEZ</v>
      </c>
      <c r="H80" s="15">
        <v>46119</v>
      </c>
      <c r="I80" s="15" t="str">
        <v xml:space="preserve">Ejecución de Protocolo de Pruebas - 2.00 de: Reg2.0 en el ambiente de: CERT. Nombre de protocolo ejecutado: Reg2.0.INPREQA-MIGRATORY-PROCESSES-SERVER-FEATURE-UI_19.20260407. Descripción de la tarea: Pruebas del antes y después de la incidencia.  	_x000D_
</v>
      </c>
      <c r="J80" s="15">
        <v>2</v>
      </c>
    </row>
    <row r="81" spans="1:10">
      <c r="A81" s="15" t="str">
        <v>151-400-RGT2.0</v>
      </c>
      <c r="B81" s="15" t="str">
        <v>DESARROLLO DE SOLUCIÓN - REGISTRELO 2.0</v>
      </c>
      <c r="C81" s="15" t="str">
        <v>500.1-RM - ACTIVIDADES DEL EQUIPO DE RELEASE MANAGMENT</v>
      </c>
      <c r="D81" s="15" t="str">
        <v>1 - LIBERACIÓN DE SOFTWARE Y DEPLOYMENTS</v>
      </c>
      <c r="E81" s="15" t="str">
        <v>Especialista Desarrollador/Configurador</v>
      </c>
      <c r="F81" s="15" t="str">
        <v>cmatarrita</v>
      </c>
      <c r="G81" s="15" t="str">
        <v>CESAR MATARRITA MATARRITA</v>
      </c>
      <c r="H81" s="15">
        <v>46120</v>
      </c>
      <c r="I81" s="15" t="str">
        <v>Instalacion de releases y ejecucion de scripts para Registrelo</v>
      </c>
      <c r="J81" s="15">
        <v>2</v>
      </c>
    </row>
    <row r="82" spans="1:10">
      <c r="A82" s="15" t="str">
        <v>151-400-RGT2.0</v>
      </c>
      <c r="B82" s="15" t="str">
        <v>DESARROLLO DE SOLUCIÓN - REGISTRELO 2.0</v>
      </c>
      <c r="C82" s="15" t="str">
        <v>500.1-RM - ACTIVIDADES DEL EQUIPO DE RELEASE MANAGMENT</v>
      </c>
      <c r="D82" s="15" t="str">
        <v>1 - LIBERACIÓN DE SOFTWARE Y DEPLOYMENTS</v>
      </c>
      <c r="E82" s="15" t="str">
        <v>Especialista Desarrollador/Configurador</v>
      </c>
      <c r="F82" s="15" t="str">
        <v>cmatarrita</v>
      </c>
      <c r="G82" s="15" t="str">
        <v>CESAR MATARRITA MATARRITA</v>
      </c>
      <c r="H82" s="15">
        <v>46120</v>
      </c>
      <c r="I82" s="15" t="str">
        <v>Instalación de releases para registrelo en ambientes bajos</v>
      </c>
      <c r="J82" s="15">
        <v>1</v>
      </c>
    </row>
    <row r="83" spans="1:10">
      <c r="A83" s="15" t="str">
        <v>151-400-RGT2.0</v>
      </c>
      <c r="B83" s="15" t="str">
        <v>DESARROLLO DE SOLUCIÓN - REGISTRELO 2.0</v>
      </c>
      <c r="C83" s="15" t="str">
        <v>500.1-RM - ACTIVIDADES DEL EQUIPO DE RELEASE MANAGMENT</v>
      </c>
      <c r="D83" s="15" t="str">
        <v>1 - LIBERACIÓN DE SOFTWARE Y DEPLOYMENTS</v>
      </c>
      <c r="E83" s="15" t="str">
        <v>Especialista Desarrollador/Configurador</v>
      </c>
      <c r="F83" s="15" t="str">
        <v>jchinchilla</v>
      </c>
      <c r="G83" s="15" t="str">
        <v>JOSE DANIEL CHINCHILLA CERDAS</v>
      </c>
      <c r="H83" s="15">
        <v>46118</v>
      </c>
      <c r="I83" s="15" t="str">
        <v>RM LIB Id.Inst_release_li:_x000D_
Instalacion de 1 releases en QA</v>
      </c>
      <c r="J83" s="15">
        <v>0.5</v>
      </c>
    </row>
    <row r="84" spans="1:10">
      <c r="A84" s="15" t="str">
        <v>151-400-RGT2.0</v>
      </c>
      <c r="B84" s="15" t="str">
        <v>DESARROLLO DE SOLUCIÓN - REGISTRELO 2.0</v>
      </c>
      <c r="C84" s="15" t="str">
        <v>500.1-RM - ACTIVIDADES DEL EQUIPO DE RELEASE MANAGMENT</v>
      </c>
      <c r="D84" s="15" t="str">
        <v>1 - LIBERACIÓN DE SOFTWARE Y DEPLOYMENTS</v>
      </c>
      <c r="E84" s="15" t="str">
        <v>Especialista Desarrollador/Configurador</v>
      </c>
      <c r="F84" s="15" t="str">
        <v>jchinchilla</v>
      </c>
      <c r="G84" s="15" t="str">
        <v>JOSE DANIEL CHINCHILLA CERDAS</v>
      </c>
      <c r="H84" s="15">
        <v>46119</v>
      </c>
      <c r="I84" s="15" t="str">
        <v>RM LIB Id.Inst_release_li:_x000D_
Instalacion de 1 releases en ambientes de pruebas</v>
      </c>
      <c r="J84" s="15">
        <v>0.5</v>
      </c>
    </row>
    <row r="85" spans="1:10">
      <c r="A85" s="15" t="str">
        <v>151-400-RGT2.0</v>
      </c>
      <c r="B85" s="15" t="str">
        <v>DESARROLLO DE SOLUCIÓN - REGISTRELO 2.0</v>
      </c>
      <c r="C85" s="15" t="str">
        <v>500.1-RM - ACTIVIDADES DEL EQUIPO DE RELEASE MANAGMENT</v>
      </c>
      <c r="D85" s="15" t="str">
        <v>1 - LIBERACIÓN DE SOFTWARE Y DEPLOYMENTS</v>
      </c>
      <c r="E85" s="15" t="str">
        <v>Especialista Desarrollador/Configurador</v>
      </c>
      <c r="F85" s="15" t="str">
        <v>jchinchilla</v>
      </c>
      <c r="G85" s="15" t="str">
        <v>JOSE DANIEL CHINCHILLA CERDAS</v>
      </c>
      <c r="H85" s="15">
        <v>46121</v>
      </c>
      <c r="I85" s="15" t="str">
        <v>RM LIB Id.Inst_release_li:_x000D_
Instalacion de releases en CERT</v>
      </c>
      <c r="J85" s="15">
        <v>1</v>
      </c>
    </row>
    <row r="86" spans="1:10">
      <c r="A86" s="15" t="str">
        <v>151-400-RGT2.0</v>
      </c>
      <c r="B86" s="15" t="str">
        <v>DESARROLLO DE SOLUCIÓN - REGISTRELO 2.0</v>
      </c>
      <c r="C86" s="15" t="str">
        <v>500.1-RM - ACTIVIDADES DEL EQUIPO DE RELEASE MANAGMENT</v>
      </c>
      <c r="D86" s="15" t="str">
        <v>1 - LIBERACIÓN DE SOFTWARE Y DEPLOYMENTS</v>
      </c>
      <c r="E86" s="15" t="str">
        <v>Especialista Desarrollador/Configurador</v>
      </c>
      <c r="F86" s="15" t="str">
        <v>jchinchilla</v>
      </c>
      <c r="G86" s="15" t="str">
        <v>JOSE DANIEL CHINCHILLA CERDAS</v>
      </c>
      <c r="H86" s="15">
        <v>46125</v>
      </c>
      <c r="I86" s="15" t="str">
        <v>RM LIB Id.Inst_rfc_lib:_x000D_
Instalacion del RFC_151-400-RGT2.0_REG2.0_SC_686_20260413</v>
      </c>
      <c r="J86" s="15">
        <v>0.5</v>
      </c>
    </row>
    <row r="87" spans="1:10">
      <c r="A87" s="15" t="str">
        <v>151-400-RGT2.0</v>
      </c>
      <c r="B87" s="15" t="str">
        <v>DESARROLLO DE SOLUCIÓN - REGISTRELO 2.0</v>
      </c>
      <c r="C87" s="15" t="str">
        <v>500.1-RM - ACTIVIDADES DEL EQUIPO DE RELEASE MANAGMENT</v>
      </c>
      <c r="D87" s="15" t="str">
        <v>1 - LIBERACIÓN DE SOFTWARE Y DEPLOYMENTS</v>
      </c>
      <c r="E87" s="15" t="str">
        <v>Especialista Desarrollador/Configurador</v>
      </c>
      <c r="F87" s="15" t="str">
        <v>jchinchilla</v>
      </c>
      <c r="G87" s="15" t="str">
        <v>JOSE DANIEL CHINCHILLA CERDAS</v>
      </c>
      <c r="H87" s="15">
        <v>46127</v>
      </c>
      <c r="I87" s="15" t="str">
        <v>RM LIB Id.Inst_rfc_lib:_x000D_
Atencion del RFC_151-400-RGT2.0_REG2.0_SC_689_20260415</v>
      </c>
      <c r="J87" s="15">
        <v>1.5</v>
      </c>
    </row>
    <row r="88" spans="1:10">
      <c r="A88" s="15" t="str">
        <v>151-400-RGT2.0</v>
      </c>
      <c r="B88" s="15" t="str">
        <v>DESARROLLO DE SOLUCIÓN - REGISTRELO 2.0</v>
      </c>
      <c r="C88" s="15" t="str">
        <v>500.1-RM - ACTIVIDADES DEL EQUIPO DE RELEASE MANAGMENT</v>
      </c>
      <c r="D88" s="15" t="str">
        <v>1 - LIBERACIÓN DE SOFTWARE Y DEPLOYMENTS</v>
      </c>
      <c r="E88" s="15" t="str">
        <v>Especialista Desarrollador/Configurador</v>
      </c>
      <c r="F88" s="15" t="str">
        <v>jchinchilla</v>
      </c>
      <c r="G88" s="15" t="str">
        <v>JOSE DANIEL CHINCHILLA CERDAS</v>
      </c>
      <c r="H88" s="15">
        <v>46128</v>
      </c>
      <c r="I88" s="15" t="str">
        <v>RM LIB Id.Inst_release_li:_x000D_
Instalacion de 2 releases en ambientes de pruebas</v>
      </c>
      <c r="J88" s="15">
        <v>1</v>
      </c>
    </row>
    <row r="89" spans="1:10">
      <c r="A89" s="15" t="str">
        <v>151-400-RGT2.0</v>
      </c>
      <c r="B89" s="15" t="str">
        <v>DESARROLLO DE SOLUCIÓN - REGISTRELO 2.0</v>
      </c>
      <c r="C89" s="15" t="str">
        <v>500.1-RM - ACTIVIDADES DEL EQUIPO DE RELEASE MANAGMENT</v>
      </c>
      <c r="D89" s="15" t="str">
        <v>1 - LIBERACIÓN DE SOFTWARE Y DEPLOYMENTS</v>
      </c>
      <c r="E89" s="15" t="str">
        <v>Especialista Desarrollador/Configurador</v>
      </c>
      <c r="F89" s="15" t="str">
        <v>jchinchilla</v>
      </c>
      <c r="G89" s="15" t="str">
        <v>JOSE DANIEL CHINCHILLA CERDAS</v>
      </c>
      <c r="H89" s="15">
        <v>46128</v>
      </c>
      <c r="I89" s="15" t="str">
        <v>RM LIB Id.Sop_Liberacione:_x000D_
Revision de jobs en RegistreloPRD a solicitud de Greivin.</v>
      </c>
      <c r="J89" s="15">
        <v>0.5</v>
      </c>
    </row>
    <row r="90" spans="1:10">
      <c r="A90" s="15" t="str">
        <v>151-400-RGT2.0</v>
      </c>
      <c r="B90" s="15" t="str">
        <v>DESARROLLO DE SOLUCIÓN - REGISTRELO 2.0</v>
      </c>
      <c r="C90" s="15" t="str">
        <v>500.1-RM - ACTIVIDADES DEL EQUIPO DE RELEASE MANAGMENT</v>
      </c>
      <c r="D90" s="15" t="str">
        <v>1 - LIBERACIÓN DE SOFTWARE Y DEPLOYMENTS</v>
      </c>
      <c r="E90" s="15" t="str">
        <v>Especialista Desarrollador/Configurador</v>
      </c>
      <c r="F90" s="15" t="str">
        <v>jchinchilla</v>
      </c>
      <c r="G90" s="15" t="str">
        <v>JOSE DANIEL CHINCHILLA CERDAS</v>
      </c>
      <c r="H90" s="15">
        <v>46129</v>
      </c>
      <c r="I90" s="15" t="str">
        <v>RM LIB Id.Inst_rfc_lib:_x000D_
Instalacion de 1 RFC en PRD</v>
      </c>
      <c r="J90" s="15">
        <v>0.5</v>
      </c>
    </row>
    <row r="91" spans="1:10">
      <c r="A91" s="15" t="str">
        <v>151-400-RGT2.0</v>
      </c>
      <c r="B91" s="15" t="str">
        <v>DESARROLLO DE SOLUCIÓN - REGISTRELO 2.0</v>
      </c>
      <c r="C91" s="15" t="str">
        <v>500.1-RM - ACTIVIDADES DEL EQUIPO DE RELEASE MANAGMENT</v>
      </c>
      <c r="D91" s="15" t="str">
        <v>1 - LIBERACIÓN DE SOFTWARE Y DEPLOYMENTS</v>
      </c>
      <c r="E91" s="15" t="str">
        <v>Especialista Desarrollador/Configurador</v>
      </c>
      <c r="F91" s="15" t="str">
        <v>jchinchilla</v>
      </c>
      <c r="G91" s="15" t="str">
        <v>JOSE DANIEL CHINCHILLA CERDAS</v>
      </c>
      <c r="H91" s="15">
        <v>46133</v>
      </c>
      <c r="I91" s="15" t="str">
        <v>RM LIB Id.Inst_release_li:_x000D_
Instalacion de 2 releases de subida de archivos al S3</v>
      </c>
      <c r="J91" s="15">
        <v>0.75</v>
      </c>
    </row>
    <row r="92" spans="1:10">
      <c r="A92" s="15" t="str">
        <v>151-400-RGT2.0</v>
      </c>
      <c r="B92" s="15" t="str">
        <v>DESARROLLO DE SOLUCIÓN - REGISTRELO 2.0</v>
      </c>
      <c r="C92" s="15" t="str">
        <v>500.1-RM - ACTIVIDADES DEL EQUIPO DE RELEASE MANAGMENT</v>
      </c>
      <c r="D92" s="15" t="str">
        <v>1 - LIBERACIÓN DE SOFTWARE Y DEPLOYMENTS</v>
      </c>
      <c r="E92" s="15" t="str">
        <v>Especialista Desarrollador/Configurador</v>
      </c>
      <c r="F92" s="15" t="str">
        <v>jchinchilla</v>
      </c>
      <c r="G92" s="15" t="str">
        <v>JOSE DANIEL CHINCHILLA CERDAS</v>
      </c>
      <c r="H92" s="15">
        <v>46134</v>
      </c>
      <c r="I92" s="15" t="str">
        <v>Revision y subida de jobs CERT a solicitud de Greivin, por pruebas de cliente</v>
      </c>
      <c r="J92" s="15">
        <v>0.5</v>
      </c>
    </row>
    <row r="93" spans="1:10">
      <c r="A93" s="15" t="str">
        <v>151-400-RGT2.0</v>
      </c>
      <c r="B93" s="15" t="str">
        <v>DESARROLLO DE SOLUCIÓN - REGISTRELO 2.0</v>
      </c>
      <c r="C93" s="15" t="str">
        <v>500.1-RM - ACTIVIDADES DEL EQUIPO DE RELEASE MANAGMENT</v>
      </c>
      <c r="D93" s="15" t="str">
        <v>1 - LIBERACIÓN DE SOFTWARE Y DEPLOYMENTS</v>
      </c>
      <c r="E93" s="15" t="str">
        <v>Especialista Desarrollador/Configurador</v>
      </c>
      <c r="F93" s="15" t="str">
        <v>jchinchilla</v>
      </c>
      <c r="G93" s="15" t="str">
        <v>JOSE DANIEL CHINCHILLA CERDAS</v>
      </c>
      <c r="H93" s="15">
        <v>46139</v>
      </c>
      <c r="I93" s="15" t="str">
        <v>RM LIB Id.Inst_release_li:_x000D_
Instalacion de 2 releases en CERT  (uno contaba con pat y bd)</v>
      </c>
      <c r="J93" s="15">
        <v>1.5</v>
      </c>
    </row>
    <row r="94" spans="1:10">
      <c r="A94" s="15" t="str">
        <v>151-400-RGT2.0</v>
      </c>
      <c r="B94" s="15" t="str">
        <v>DESARROLLO DE SOLUCIÓN - REGISTRELO 2.0</v>
      </c>
      <c r="C94" s="15" t="str">
        <v>500.1-RM - ACTIVIDADES DEL EQUIPO DE RELEASE MANAGMENT</v>
      </c>
      <c r="D94" s="15" t="str">
        <v>1 - LIBERACIÓN DE SOFTWARE Y DEPLOYMENTS</v>
      </c>
      <c r="E94" s="15" t="str">
        <v>Especialista Desarrollador/Configurador</v>
      </c>
      <c r="F94" s="15" t="str">
        <v>jchinchilla</v>
      </c>
      <c r="G94" s="15" t="str">
        <v>JOSE DANIEL CHINCHILLA CERDAS</v>
      </c>
      <c r="H94" s="15">
        <v>46142</v>
      </c>
      <c r="I94" s="15" t="str">
        <v>RM LIB Id.Inst_release_li:_x000D_
Instalación de 1 releases en CERT</v>
      </c>
      <c r="J94" s="15">
        <v>0.5</v>
      </c>
    </row>
    <row r="95" spans="1:10">
      <c r="A95" s="15" t="str">
        <v>151-400-RGT2.0</v>
      </c>
      <c r="B95" s="15" t="str">
        <v>DESARROLLO DE SOLUCIÓN - REGISTRELO 2.0</v>
      </c>
      <c r="C95" s="15" t="str">
        <v>500.1-RM - ACTIVIDADES DEL EQUIPO DE RELEASE MANAGMENT</v>
      </c>
      <c r="D95" s="15" t="str">
        <v>1 - LIBERACIÓN DE SOFTWARE Y DEPLOYMENTS</v>
      </c>
      <c r="E95" s="15" t="str">
        <v>Especialista Desarrollador/Configurador</v>
      </c>
      <c r="F95" s="15" t="str">
        <v>marce</v>
      </c>
      <c r="G95" s="15" t="str">
        <v>MARIELA ARCE GARCIA</v>
      </c>
      <c r="H95" s="15">
        <v>46113</v>
      </c>
      <c r="I95" s="15" t="str">
        <v>RM LIB Id.Inst_release_li:_x000D_
Instalación del Reg2.0.INCERT-MIGRATORY-PROCESSES-SERVER-FEATURE-APIUI_87.20260401</v>
      </c>
      <c r="J95" s="15">
        <v>0.5</v>
      </c>
    </row>
    <row r="96" spans="1:10">
      <c r="A96" s="15" t="str">
        <v>151-400-RGT2.0</v>
      </c>
      <c r="B96" s="15" t="str">
        <v>DESARROLLO DE SOLUCIÓN - REGISTRELO 2.0</v>
      </c>
      <c r="C96" s="15" t="str">
        <v>500.1-RM - ACTIVIDADES DEL EQUIPO DE RELEASE MANAGMENT</v>
      </c>
      <c r="D96" s="15" t="str">
        <v>1 - LIBERACIÓN DE SOFTWARE Y DEPLOYMENTS</v>
      </c>
      <c r="E96" s="15" t="str">
        <v>Especialista Desarrollador/Configurador</v>
      </c>
      <c r="F96" s="15" t="str">
        <v>marce</v>
      </c>
      <c r="G96" s="15" t="str">
        <v>MARIELA ARCE GARCIA</v>
      </c>
      <c r="H96" s="15">
        <v>46113</v>
      </c>
      <c r="I96" s="15" t="str">
        <v>RM LIB Id.Inst_rfc_lib:_x000D_
Instalación de los RFCs_x000D_
RFC_151-400-RGT2.0_REG2.0_SC_676_20260401_x000D_
RFC_151-400-RGT2.0_REG2.0_SC_678_20260401_x000D_
RFC_151-400-RGT2.0_REG2.0_SC_677_20260401</v>
      </c>
      <c r="J96" s="15">
        <v>1.5</v>
      </c>
    </row>
    <row r="97" spans="1:10">
      <c r="A97" s="15" t="str">
        <v>151-400-RGT2.0</v>
      </c>
      <c r="B97" s="15" t="str">
        <v>DESARROLLO DE SOLUCIÓN - REGISTRELO 2.0</v>
      </c>
      <c r="C97" s="15" t="str">
        <v>500.1-RM - ACTIVIDADES DEL EQUIPO DE RELEASE MANAGMENT</v>
      </c>
      <c r="D97" s="15" t="str">
        <v>1 - LIBERACIÓN DE SOFTWARE Y DEPLOYMENTS</v>
      </c>
      <c r="E97" s="15" t="str">
        <v>Especialista Desarrollador/Configurador</v>
      </c>
      <c r="F97" s="15" t="str">
        <v>marce</v>
      </c>
      <c r="G97" s="15" t="str">
        <v>MARIELA ARCE GARCIA</v>
      </c>
      <c r="H97" s="15">
        <v>46118</v>
      </c>
      <c r="I97" s="15" t="str">
        <v>RM LIB Id.Inst_release_li:_x000D_
Instalación del release Reg2.0.INPREQA-MIGRATORY-PROCESSES-SERVER-FEATURE-API_202.20260401</v>
      </c>
      <c r="J97" s="15">
        <v>1</v>
      </c>
    </row>
    <row r="98" spans="1:10">
      <c r="A98" s="15" t="str">
        <v>151-400-RGT2.0</v>
      </c>
      <c r="B98" s="15" t="str">
        <v>DESARROLLO DE SOLUCIÓN - REGISTRELO 2.0</v>
      </c>
      <c r="C98" s="15" t="str">
        <v>500.1-RM - ACTIVIDADES DEL EQUIPO DE RELEASE MANAGMENT</v>
      </c>
      <c r="D98" s="15" t="str">
        <v>1 - LIBERACIÓN DE SOFTWARE Y DEPLOYMENTS</v>
      </c>
      <c r="E98" s="15" t="str">
        <v>Especialista Desarrollador/Configurador</v>
      </c>
      <c r="F98" s="15" t="str">
        <v>marce</v>
      </c>
      <c r="G98" s="15" t="str">
        <v>MARIELA ARCE GARCIA</v>
      </c>
      <c r="H98" s="15">
        <v>46118</v>
      </c>
      <c r="I98" s="15" t="str">
        <v>RM LIB Id.Inst_rfc_lib:_x000D_
Instalación de los siguientes RFCs_x000D_
RFC_151-400-RGT2.0_REG2.0_SC_679_20260406_x000D_
RFC_151-400-RGT2.0_REG2.0_SC_680_20260406</v>
      </c>
      <c r="J98" s="15">
        <v>1</v>
      </c>
    </row>
    <row r="99" spans="1:10">
      <c r="A99" s="15" t="str">
        <v>151-400-RGT2.0</v>
      </c>
      <c r="B99" s="15" t="str">
        <v>DESARROLLO DE SOLUCIÓN - REGISTRELO 2.0</v>
      </c>
      <c r="C99" s="15" t="str">
        <v>500.1-RM - ACTIVIDADES DEL EQUIPO DE RELEASE MANAGMENT</v>
      </c>
      <c r="D99" s="15" t="str">
        <v>1 - LIBERACIÓN DE SOFTWARE Y DEPLOYMENTS</v>
      </c>
      <c r="E99" s="15" t="str">
        <v>Especialista Desarrollador/Configurador</v>
      </c>
      <c r="F99" s="15" t="str">
        <v>marce</v>
      </c>
      <c r="G99" s="15" t="str">
        <v>MARIELA ARCE GARCIA</v>
      </c>
      <c r="H99" s="15">
        <v>46119</v>
      </c>
      <c r="I99" s="15" t="str">
        <v>RM LIB Id.Inst_release_li:_x000D_
Instalación del release Reg2.0.INPREQA-MIGRATORY-PROCESSES-SERVER-FEATURE-UI_19.20260407</v>
      </c>
      <c r="J99" s="15">
        <v>0.5</v>
      </c>
    </row>
    <row r="100" spans="1:10">
      <c r="A100" s="15" t="str">
        <v>151-400-RGT2.0</v>
      </c>
      <c r="B100" s="15" t="str">
        <v>DESARROLLO DE SOLUCIÓN - REGISTRELO 2.0</v>
      </c>
      <c r="C100" s="15" t="str">
        <v>500.1-RM - ACTIVIDADES DEL EQUIPO DE RELEASE MANAGMENT</v>
      </c>
      <c r="D100" s="15" t="str">
        <v>1 - LIBERACIÓN DE SOFTWARE Y DEPLOYMENTS</v>
      </c>
      <c r="E100" s="15" t="str">
        <v>Especialista Desarrollador/Configurador</v>
      </c>
      <c r="F100" s="15" t="str">
        <v>marce</v>
      </c>
      <c r="G100" s="15" t="str">
        <v>MARIELA ARCE GARCIA</v>
      </c>
      <c r="H100" s="15">
        <v>46119</v>
      </c>
      <c r="I100" s="15" t="str">
        <v>RM LIB Id.Inst_rfc_lib:_x000D_
Instalación del RFC_151-400-RGT2.0_REG2.0_SC_681_20260407</v>
      </c>
      <c r="J100" s="15">
        <v>1</v>
      </c>
    </row>
    <row r="101" spans="1:10">
      <c r="A101" s="15" t="str">
        <v>151-400-RGT2.0</v>
      </c>
      <c r="B101" s="15" t="str">
        <v>DESARROLLO DE SOLUCIÓN - REGISTRELO 2.0</v>
      </c>
      <c r="C101" s="15" t="str">
        <v>500.1-RM - ACTIVIDADES DEL EQUIPO DE RELEASE MANAGMENT</v>
      </c>
      <c r="D101" s="15" t="str">
        <v>1 - LIBERACIÓN DE SOFTWARE Y DEPLOYMENTS</v>
      </c>
      <c r="E101" s="15" t="str">
        <v>Especialista Desarrollador/Configurador</v>
      </c>
      <c r="F101" s="15" t="str">
        <v>marce</v>
      </c>
      <c r="G101" s="15" t="str">
        <v>MARIELA ARCE GARCIA</v>
      </c>
      <c r="H101" s="15">
        <v>46120</v>
      </c>
      <c r="I101" s="15" t="str">
        <v>RM LIB Id.Inst_rfc_lib:_x000D_
Instalación de homologaciones</v>
      </c>
      <c r="J101" s="15">
        <v>1</v>
      </c>
    </row>
    <row r="102" spans="1:10">
      <c r="A102" s="15" t="str">
        <v>151-400-RGT2.0</v>
      </c>
      <c r="B102" s="15" t="str">
        <v>DESARROLLO DE SOLUCIÓN - REGISTRELO 2.0</v>
      </c>
      <c r="C102" s="15" t="str">
        <v>500.1-RM - ACTIVIDADES DEL EQUIPO DE RELEASE MANAGMENT</v>
      </c>
      <c r="D102" s="15" t="str">
        <v>1 - LIBERACIÓN DE SOFTWARE Y DEPLOYMENTS</v>
      </c>
      <c r="E102" s="15" t="str">
        <v>Especialista Desarrollador/Configurador</v>
      </c>
      <c r="F102" s="15" t="str">
        <v>marce</v>
      </c>
      <c r="G102" s="15" t="str">
        <v>MARIELA ARCE GARCIA</v>
      </c>
      <c r="H102" s="15">
        <v>46120</v>
      </c>
      <c r="I102" s="15" t="str">
        <v>RM LIB Id.Inst_rfc_lib:_x000D_
Instalación del Reg2.0.INQA-MIGRATORY-PROCESSES-SERVER-FEATURE-UI_23.20260408</v>
      </c>
      <c r="J102" s="15">
        <v>0.5</v>
      </c>
    </row>
    <row r="103" spans="1:10">
      <c r="A103" s="15" t="str">
        <v>151-400-RGT2.0</v>
      </c>
      <c r="B103" s="15" t="str">
        <v>DESARROLLO DE SOLUCIÓN - REGISTRELO 2.0</v>
      </c>
      <c r="C103" s="15" t="str">
        <v>500.1-RM - ACTIVIDADES DEL EQUIPO DE RELEASE MANAGMENT</v>
      </c>
      <c r="D103" s="15" t="str">
        <v>1 - LIBERACIÓN DE SOFTWARE Y DEPLOYMENTS</v>
      </c>
      <c r="E103" s="15" t="str">
        <v>Especialista Desarrollador/Configurador</v>
      </c>
      <c r="F103" s="15" t="str">
        <v>marce</v>
      </c>
      <c r="G103" s="15" t="str">
        <v>MARIELA ARCE GARCIA</v>
      </c>
      <c r="H103" s="15">
        <v>46121</v>
      </c>
      <c r="I103" s="15" t="str">
        <v>RM LIB Id.Inst_rfc_lib:_x000D_
Instalación RFC_151-400-RGT2.0_REG2.0_SC_682_20260409</v>
      </c>
      <c r="J103" s="15">
        <v>0.5</v>
      </c>
    </row>
    <row r="104" spans="1:10">
      <c r="A104" s="15" t="str">
        <v>151-400-RGT2.0</v>
      </c>
      <c r="B104" s="15" t="str">
        <v>DESARROLLO DE SOLUCIÓN - REGISTRELO 2.0</v>
      </c>
      <c r="C104" s="15" t="str">
        <v>500.1-RM - ACTIVIDADES DEL EQUIPO DE RELEASE MANAGMENT</v>
      </c>
      <c r="D104" s="15" t="str">
        <v>1 - LIBERACIÓN DE SOFTWARE Y DEPLOYMENTS</v>
      </c>
      <c r="E104" s="15" t="str">
        <v>Especialista Desarrollador/Configurador</v>
      </c>
      <c r="F104" s="15" t="str">
        <v>marce</v>
      </c>
      <c r="G104" s="15" t="str">
        <v>MARIELA ARCE GARCIA</v>
      </c>
      <c r="H104" s="15">
        <v>46121</v>
      </c>
      <c r="I104" s="15" t="str">
        <v>RM LIB Id.Sop_Liberacione:_x000D_
Se brindan documentos del cdn de producción solicitado por desarrollo</v>
      </c>
      <c r="J104" s="15">
        <v>0.5</v>
      </c>
    </row>
    <row r="105" spans="1:10">
      <c r="A105" s="15" t="str">
        <v>151-400-RGT2.0</v>
      </c>
      <c r="B105" s="15" t="str">
        <v>DESARROLLO DE SOLUCIÓN - REGISTRELO 2.0</v>
      </c>
      <c r="C105" s="15" t="str">
        <v>500.1-RM - ACTIVIDADES DEL EQUIPO DE RELEASE MANAGMENT</v>
      </c>
      <c r="D105" s="15" t="str">
        <v>1 - LIBERACIÓN DE SOFTWARE Y DEPLOYMENTS</v>
      </c>
      <c r="E105" s="15" t="str">
        <v>Especialista Desarrollador/Configurador</v>
      </c>
      <c r="F105" s="15" t="str">
        <v>marce</v>
      </c>
      <c r="G105" s="15" t="str">
        <v>MARIELA ARCE GARCIA</v>
      </c>
      <c r="H105" s="15">
        <v>46122</v>
      </c>
      <c r="I105" s="15" t="str">
        <v>RM LIB Id.Sop_Liberacione:_x000D_
Revisión de la tarea de notificaciones de Producción de Regístrelo</v>
      </c>
      <c r="J105" s="15">
        <v>0.5</v>
      </c>
    </row>
    <row r="106" spans="1:10">
      <c r="A106" s="15" t="str">
        <v>151-400-RGT2.0</v>
      </c>
      <c r="B106" s="15" t="str">
        <v>DESARROLLO DE SOLUCIÓN - REGISTRELO 2.0</v>
      </c>
      <c r="C106" s="15" t="str">
        <v>500.1-RM - ACTIVIDADES DEL EQUIPO DE RELEASE MANAGMENT</v>
      </c>
      <c r="D106" s="15" t="str">
        <v>1 - LIBERACIÓN DE SOFTWARE Y DEPLOYMENTS</v>
      </c>
      <c r="E106" s="15" t="str">
        <v>Especialista Desarrollador/Configurador</v>
      </c>
      <c r="F106" s="15" t="str">
        <v>marce</v>
      </c>
      <c r="G106" s="15" t="str">
        <v>MARIELA ARCE GARCIA</v>
      </c>
      <c r="H106" s="15">
        <v>46125</v>
      </c>
      <c r="I106" s="15" t="str">
        <v>RM LIB Id.Inst_rfc_lib:_x000D_
Instalación de RFC_151-400-RGT2.0_REG2.0_SC_685_20260413</v>
      </c>
      <c r="J106" s="15">
        <v>0.5</v>
      </c>
    </row>
    <row r="107" spans="1:10">
      <c r="A107" s="15" t="str">
        <v>151-400-RGT2.0</v>
      </c>
      <c r="B107" s="15" t="str">
        <v>DESARROLLO DE SOLUCIÓN - REGISTRELO 2.0</v>
      </c>
      <c r="C107" s="15" t="str">
        <v>500.1-RM - ACTIVIDADES DEL EQUIPO DE RELEASE MANAGMENT</v>
      </c>
      <c r="D107" s="15" t="str">
        <v>1 - LIBERACIÓN DE SOFTWARE Y DEPLOYMENTS</v>
      </c>
      <c r="E107" s="15" t="str">
        <v>Especialista Desarrollador/Configurador</v>
      </c>
      <c r="F107" s="15" t="str">
        <v>marce</v>
      </c>
      <c r="G107" s="15" t="str">
        <v>MARIELA ARCE GARCIA</v>
      </c>
      <c r="H107" s="15">
        <v>46133</v>
      </c>
      <c r="I107" s="15" t="str">
        <v>RM LIB Id.Inst_rfc_lib:_x000D_
Instalación de los siguientes RFCs_x000D_
RFC_151-400-RGT2.0_REG2.0_SC_692_20260421_x000D_
RFC_151-400-RGT2.0_REG2.0_SC_693_20260421</v>
      </c>
      <c r="J107" s="15">
        <v>1</v>
      </c>
    </row>
    <row r="108" spans="1:10">
      <c r="A108" s="15" t="str">
        <v>151-400-RGT2.0</v>
      </c>
      <c r="B108" s="15" t="str">
        <v>DESARROLLO DE SOLUCIÓN - REGISTRELO 2.0</v>
      </c>
      <c r="C108" s="15" t="str">
        <v>500.1-RM - ACTIVIDADES DEL EQUIPO DE RELEASE MANAGMENT</v>
      </c>
      <c r="D108" s="15" t="str">
        <v>1 - LIBERACIÓN DE SOFTWARE Y DEPLOYMENTS</v>
      </c>
      <c r="E108" s="15" t="str">
        <v>Especialista Desarrollador/Configurador</v>
      </c>
      <c r="F108" s="15" t="str">
        <v>marce</v>
      </c>
      <c r="G108" s="15" t="str">
        <v>MARIELA ARCE GARCIA</v>
      </c>
      <c r="H108" s="15">
        <v>46134</v>
      </c>
      <c r="I108" s="15" t="str">
        <v>RM LIB Id.Inst_rfc_lib:_x000D_
Instalación de los siguientes RFCs_x000D_
RFC_151-400-RGT2.0_REG2.0_SC_694_20260422_x000D_
RFC_151-400-RGT2.0_REG2.0_SC_695_20260422</v>
      </c>
      <c r="J108" s="15">
        <v>1</v>
      </c>
    </row>
    <row r="109" spans="1:10">
      <c r="A109" s="15" t="str">
        <v>151-400-RGT2.0</v>
      </c>
      <c r="B109" s="15" t="str">
        <v>DESARROLLO DE SOLUCIÓN - REGISTRELO 2.0</v>
      </c>
      <c r="C109" s="15" t="str">
        <v>500.1-RM - ACTIVIDADES DEL EQUIPO DE RELEASE MANAGMENT</v>
      </c>
      <c r="D109" s="15" t="str">
        <v>1 - LIBERACIÓN DE SOFTWARE Y DEPLOYMENTS</v>
      </c>
      <c r="E109" s="15" t="str">
        <v>Especialista Desarrollador/Configurador</v>
      </c>
      <c r="F109" s="15" t="str">
        <v>marce</v>
      </c>
      <c r="G109" s="15" t="str">
        <v>MARIELA ARCE GARCIA</v>
      </c>
      <c r="H109" s="15">
        <v>46139</v>
      </c>
      <c r="I109" s="15" t="str">
        <v>RM LIB Id.Inst_release_li:_x000D_
Instalación del release Reg2.0.DOCUMENTOS._21.20260427</v>
      </c>
      <c r="J109" s="15">
        <v>0.5</v>
      </c>
    </row>
    <row r="110" spans="1:10">
      <c r="A110" s="15" t="str">
        <v>151-400-RGT2.0</v>
      </c>
      <c r="B110" s="15" t="str">
        <v>DESARROLLO DE SOLUCIÓN - REGISTRELO 2.0</v>
      </c>
      <c r="C110" s="15" t="str">
        <v>500.1-RM - ACTIVIDADES DEL EQUIPO DE RELEASE MANAGMENT</v>
      </c>
      <c r="D110" s="15" t="str">
        <v>1 - LIBERACIÓN DE SOFTWARE Y DEPLOYMENTS</v>
      </c>
      <c r="E110" s="15" t="str">
        <v>Especialista Desarrollador/Configurador</v>
      </c>
      <c r="F110" s="15" t="str">
        <v>marce</v>
      </c>
      <c r="G110" s="15" t="str">
        <v>MARIELA ARCE GARCIA</v>
      </c>
      <c r="H110" s="15">
        <v>46140</v>
      </c>
      <c r="I110" s="15" t="str">
        <v>RM LIB Id.Inst_release_li:_x000D_
Instalación del release Reg2.0.DOCUMENTOS._22.20260428</v>
      </c>
      <c r="J110" s="15">
        <v>0.5</v>
      </c>
    </row>
    <row r="111" spans="1:10">
      <c r="A111" s="15" t="str">
        <v>151-400-RGT2.0</v>
      </c>
      <c r="B111" s="15" t="str">
        <v>DESARROLLO DE SOLUCIÓN - REGISTRELO 2.0</v>
      </c>
      <c r="C111" s="15" t="str">
        <v>500.1-RM - ACTIVIDADES DEL EQUIPO DE RELEASE MANAGMENT</v>
      </c>
      <c r="D111" s="15" t="str">
        <v>1 - LIBERACIÓN DE SOFTWARE Y DEPLOYMENTS</v>
      </c>
      <c r="E111" s="15" t="str">
        <v>Especialista Desarrollador/Configurador</v>
      </c>
      <c r="F111" s="15" t="str">
        <v>marce</v>
      </c>
      <c r="G111" s="15" t="str">
        <v>MARIELA ARCE GARCIA</v>
      </c>
      <c r="H111" s="15">
        <v>46142</v>
      </c>
      <c r="I111" s="15" t="str">
        <v>RM LIB Id.Inst_release_li:_x000D_
Instalación del release Reg2.0.INCERT-MIGRATORY-PROCESSES-SERVER-FEATURE-API_128.20260429</v>
      </c>
      <c r="J111" s="15">
        <v>0.5</v>
      </c>
    </row>
    <row r="112" spans="1:10">
      <c r="A112" s="15" t="str">
        <v>151-400-RGT2.0</v>
      </c>
      <c r="B112" s="15" t="str">
        <v>DESARROLLO DE SOLUCIÓN - REGISTRELO 2.0</v>
      </c>
      <c r="C112" s="15" t="str">
        <v>500.1-RM - ACTIVIDADES DEL EQUIPO DE RELEASE MANAGMENT</v>
      </c>
      <c r="D112" s="15" t="str">
        <v>1 - LIBERACIÓN DE SOFTWARE Y DEPLOYMENTS</v>
      </c>
      <c r="E112" s="15" t="str">
        <v>ENTRY LEVEL RELEASE MANAGER</v>
      </c>
      <c r="F112" s="15" t="str">
        <v>aalvarezn</v>
      </c>
      <c r="G112" s="15" t="str">
        <v>ANTHONY ALVAREZ NAVARRO</v>
      </c>
      <c r="H112" s="15">
        <v>46122</v>
      </c>
      <c r="I112" s="15" t="str">
        <v>RM LIB Id.Inst_rfc_lib:_x000D_
Instalacion del RFC_151-400-RGT2.0_REG2.0_SC_684_20260410</v>
      </c>
      <c r="J112" s="15">
        <v>1</v>
      </c>
    </row>
    <row r="113" spans="1:10">
      <c r="A113" s="15" t="str">
        <v>151-400-RGT2.0</v>
      </c>
      <c r="B113" s="15" t="str">
        <v>DESARROLLO DE SOLUCIÓN - REGISTRELO 2.0</v>
      </c>
      <c r="C113" s="15" t="str">
        <v>500.1-RM - ACTIVIDADES DEL EQUIPO DE RELEASE MANAGMENT</v>
      </c>
      <c r="D113" s="15" t="str">
        <v>1 - LIBERACIÓN DE SOFTWARE Y DEPLOYMENTS</v>
      </c>
      <c r="E113" s="15" t="str">
        <v>Junior Release Management</v>
      </c>
      <c r="F113" s="15" t="str">
        <v>cmatarrita</v>
      </c>
      <c r="G113" s="15" t="str">
        <v>CESAR MATARRITA MATARRITA</v>
      </c>
      <c r="H113" s="15">
        <v>46113</v>
      </c>
      <c r="I113" s="15" t="str">
        <v>RM LIB Id.Inst_release_li:_x000D_
Instalación de reléase  para registrelo se revisa el pr se instala dentro del servidor los cambios se valida que la instalación haya quedado satisfactoria</v>
      </c>
      <c r="J113" s="15">
        <v>1</v>
      </c>
    </row>
    <row r="114" spans="1:10">
      <c r="A114" s="15" t="str">
        <v>151-400-RGT2.0</v>
      </c>
      <c r="B114" s="15" t="str">
        <v>DESARROLLO DE SOLUCIÓN - REGISTRELO 2.0</v>
      </c>
      <c r="C114" s="15" t="str">
        <v>500.1-RM - ACTIVIDADES DEL EQUIPO DE RELEASE MANAGMENT</v>
      </c>
      <c r="D114" s="15" t="str">
        <v>1 - LIBERACIÓN DE SOFTWARE Y DEPLOYMENTS</v>
      </c>
      <c r="E114" s="15" t="str">
        <v>Junior Release Management</v>
      </c>
      <c r="F114" s="15" t="str">
        <v>cmatarrita</v>
      </c>
      <c r="G114" s="15" t="str">
        <v>CESAR MATARRITA MATARRITA</v>
      </c>
      <c r="H114" s="15">
        <v>46113</v>
      </c>
      <c r="I114" s="15" t="str">
        <v xml:space="preserve">RM LIB Id.Inst_release_li:_x000D_
Instalación de reléase  para registrelo se revisa el pr se instala dentro del servidor los cambios se valida que la instalación haya quedado satisfactoria_x000D_
</v>
      </c>
      <c r="J114" s="15">
        <v>1</v>
      </c>
    </row>
    <row r="115" spans="1:10">
      <c r="A115" s="15" t="str">
        <v>151-400-RGT2.0</v>
      </c>
      <c r="B115" s="15" t="str">
        <v>DESARROLLO DE SOLUCIÓN - REGISTRELO 2.0</v>
      </c>
      <c r="C115" s="15" t="str">
        <v>500.1-RM - ACTIVIDADES DEL EQUIPO DE RELEASE MANAGMENT</v>
      </c>
      <c r="D115" s="15" t="str">
        <v>1 - LIBERACIÓN DE SOFTWARE Y DEPLOYMENTS</v>
      </c>
      <c r="E115" s="15" t="str">
        <v>Junior Release Management</v>
      </c>
      <c r="F115" s="15" t="str">
        <v>cmatarrita</v>
      </c>
      <c r="G115" s="15" t="str">
        <v>CESAR MATARRITA MATARRITA</v>
      </c>
      <c r="H115" s="15">
        <v>46118</v>
      </c>
      <c r="I115" s="15" t="str">
        <v>RM LIB Id.Inst_release_li:_x000D_
Instalación de releases para Registrelo y ejecución de scripts todo esto en ambientes bajos</v>
      </c>
      <c r="J115" s="15">
        <v>2</v>
      </c>
    </row>
    <row r="116" spans="1:10">
      <c r="A116" s="15" t="str">
        <v>151-400-RGT2.0</v>
      </c>
      <c r="B116" s="15" t="str">
        <v>DESARROLLO DE SOLUCIÓN - REGISTRELO 2.0</v>
      </c>
      <c r="C116" s="15" t="str">
        <v>500.1-RM - ACTIVIDADES DEL EQUIPO DE RELEASE MANAGMENT</v>
      </c>
      <c r="D116" s="15" t="str">
        <v>1 - LIBERACIÓN DE SOFTWARE Y DEPLOYMENTS</v>
      </c>
      <c r="E116" s="15" t="str">
        <v>Junior Release Management</v>
      </c>
      <c r="F116" s="15" t="str">
        <v>cmatarrita</v>
      </c>
      <c r="G116" s="15" t="str">
        <v>CESAR MATARRITA MATARRITA</v>
      </c>
      <c r="H116" s="15">
        <v>46119</v>
      </c>
      <c r="I116" s="15" t="str">
        <v>RM LIB Id.Inst_release_li:_x000D_
Instalación de reléase  para registrelo se revisa el pr se instala dentro del servidor los cambios se valida que la instalación haya quedado satisfactoria</v>
      </c>
      <c r="J116" s="15">
        <v>1</v>
      </c>
    </row>
    <row r="117" spans="1:10">
      <c r="A117" s="15" t="str">
        <v>151-400-RGT2.0</v>
      </c>
      <c r="B117" s="15" t="str">
        <v>DESARROLLO DE SOLUCIÓN - REGISTRELO 2.0</v>
      </c>
      <c r="C117" s="15" t="str">
        <v>500.1-RM - ACTIVIDADES DEL EQUIPO DE RELEASE MANAGMENT</v>
      </c>
      <c r="D117" s="15" t="str">
        <v>1 - LIBERACIÓN DE SOFTWARE Y DEPLOYMENTS</v>
      </c>
      <c r="E117" s="15" t="str">
        <v>Junior Release Management</v>
      </c>
      <c r="F117" s="15" t="str">
        <v>cmatarrita</v>
      </c>
      <c r="G117" s="15" t="str">
        <v>CESAR MATARRITA MATARRITA</v>
      </c>
      <c r="H117" s="15">
        <v>46121</v>
      </c>
      <c r="I117" s="15" t="str">
        <v>RM LIB Id.Inst_rfc_lib:_x000D_
Instalación de RFC para registrelo ejecución de scripts en la base de datos de producción y después se carga archivo a cdn de aws finalizando con la creación de documento de evidencia adjuntado al RFC</v>
      </c>
      <c r="J117" s="15">
        <v>1</v>
      </c>
    </row>
    <row r="118" spans="1:10">
      <c r="A118" s="15" t="str">
        <v>151-400-RGT2.0</v>
      </c>
      <c r="B118" s="15" t="str">
        <v>DESARROLLO DE SOLUCIÓN - REGISTRELO 2.0</v>
      </c>
      <c r="C118" s="15" t="str">
        <v>500.1-RM - ACTIVIDADES DEL EQUIPO DE RELEASE MANAGMENT</v>
      </c>
      <c r="D118" s="15" t="str">
        <v>1 - LIBERACIÓN DE SOFTWARE Y DEPLOYMENTS</v>
      </c>
      <c r="E118" s="15" t="str">
        <v>Junior Release Management</v>
      </c>
      <c r="F118" s="15" t="str">
        <v>cmatarrita</v>
      </c>
      <c r="G118" s="15" t="str">
        <v>CESAR MATARRITA MATARRITA</v>
      </c>
      <c r="H118" s="15">
        <v>46121</v>
      </c>
      <c r="I118" s="15" t="str">
        <v>RM LIB Id.Inst_release_li:_x000D_
Instalación de reléase para regístrelo revisión de fuentes tanto en sgrm con en pull request ejecución de scripts y creación de documento de evidencia de ejecución del script el cial se adjunta al link de evidencia de instalacion del release</v>
      </c>
      <c r="J118" s="15">
        <v>1</v>
      </c>
    </row>
    <row r="119" spans="1:10">
      <c r="A119" s="15" t="str">
        <v>151-400-RGT2.0</v>
      </c>
      <c r="B119" s="15" t="str">
        <v>DESARROLLO DE SOLUCIÓN - REGISTRELO 2.0</v>
      </c>
      <c r="C119" s="15" t="str">
        <v>500.1-RM - ACTIVIDADES DEL EQUIPO DE RELEASE MANAGMENT</v>
      </c>
      <c r="D119" s="15" t="str">
        <v>1 - LIBERACIÓN DE SOFTWARE Y DEPLOYMENTS</v>
      </c>
      <c r="E119" s="15" t="str">
        <v>Junior Release Management</v>
      </c>
      <c r="F119" s="15" t="str">
        <v>cmatarrita</v>
      </c>
      <c r="G119" s="15" t="str">
        <v>CESAR MATARRITA MATARRITA</v>
      </c>
      <c r="H119" s="15">
        <v>46122</v>
      </c>
      <c r="I119" s="15" t="str">
        <v>RM LIB Id.Inst_release_li:_x000D_
Instalación de releases para registrelo</v>
      </c>
      <c r="J119" s="15">
        <v>1</v>
      </c>
    </row>
    <row r="120" spans="1:10">
      <c r="A120" s="15" t="str">
        <v>151-400-RGT2.0</v>
      </c>
      <c r="B120" s="15" t="str">
        <v>DESARROLLO DE SOLUCIÓN - REGISTRELO 2.0</v>
      </c>
      <c r="C120" s="15" t="str">
        <v>500.1-RM - ACTIVIDADES DEL EQUIPO DE RELEASE MANAGMENT</v>
      </c>
      <c r="D120" s="15" t="str">
        <v>1 - LIBERACIÓN DE SOFTWARE Y DEPLOYMENTS</v>
      </c>
      <c r="E120" s="15" t="str">
        <v>Junior Release Management</v>
      </c>
      <c r="F120" s="15" t="str">
        <v>cmatarrita</v>
      </c>
      <c r="G120" s="15" t="str">
        <v>CESAR MATARRITA MATARRITA</v>
      </c>
      <c r="H120" s="15">
        <v>46126</v>
      </c>
      <c r="I120" s="15" t="str">
        <v>RM LIB Id.Inst_release_li:_x000D_
Instalación de release para regístrelo se valida el pr y se instala el rfc se revisa que la instalación haya sido satisfactoria</v>
      </c>
      <c r="J120" s="15">
        <v>1</v>
      </c>
    </row>
    <row r="121" spans="1:10">
      <c r="A121" s="15" t="str">
        <v>151-400-RGT2.0</v>
      </c>
      <c r="B121" s="15" t="str">
        <v>DESARROLLO DE SOLUCIÓN - REGISTRELO 2.0</v>
      </c>
      <c r="C121" s="15" t="str">
        <v>500.1-RM - ACTIVIDADES DEL EQUIPO DE RELEASE MANAGMENT</v>
      </c>
      <c r="D121" s="15" t="str">
        <v>1 - LIBERACIÓN DE SOFTWARE Y DEPLOYMENTS</v>
      </c>
      <c r="E121" s="15" t="str">
        <v>Junior Release Management</v>
      </c>
      <c r="F121" s="15" t="str">
        <v>cmatarrita</v>
      </c>
      <c r="G121" s="15" t="str">
        <v>CESAR MATARRITA MATARRITA</v>
      </c>
      <c r="H121" s="15">
        <v>46128</v>
      </c>
      <c r="I121" s="15" t="str">
        <v>RM LIB Id.Inst_release_li:_x000D_
instalacion de release para registrelo se revisa el pr contra los objetos del release se instala el release y se verifica que la instalación sea satisfactoria</v>
      </c>
      <c r="J121" s="15">
        <v>1</v>
      </c>
    </row>
    <row r="122" spans="1:10">
      <c r="A122" s="15" t="str">
        <v>151-400-RGT2.0</v>
      </c>
      <c r="B122" s="15" t="str">
        <v>DESARROLLO DE SOLUCIÓN - REGISTRELO 2.0</v>
      </c>
      <c r="C122" s="15" t="str">
        <v>500.1-RM - ACTIVIDADES DEL EQUIPO DE RELEASE MANAGMENT</v>
      </c>
      <c r="D122" s="15" t="str">
        <v>1 - LIBERACIÓN DE SOFTWARE Y DEPLOYMENTS</v>
      </c>
      <c r="E122" s="15" t="str">
        <v>Junior Release Management</v>
      </c>
      <c r="F122" s="15" t="str">
        <v>cmatarrita</v>
      </c>
      <c r="G122" s="15" t="str">
        <v>CESAR MATARRITA MATARRITA</v>
      </c>
      <c r="H122" s="15">
        <v>46139</v>
      </c>
      <c r="I122" s="15" t="str">
        <v>RM LIB Id.Inst_release_li:_x000D_
Instalacion de varios releases para registrelo en el ambiente de preqa y qa  se valida que  los objetos  del pull request se instala dentro del servidor y se revisa de que la instalación sea satisfactoria, y se cargan archivos .hbs dentro del el bucket s3</v>
      </c>
      <c r="J122" s="15">
        <v>1.5</v>
      </c>
    </row>
    <row r="123" spans="1:10">
      <c r="A123" s="15" t="str">
        <v>151-400-RGT2.0</v>
      </c>
      <c r="B123" s="15" t="str">
        <v>DESARROLLO DE SOLUCIÓN - REGISTRELO 2.0</v>
      </c>
      <c r="C123" s="15" t="str">
        <v>500.1-RM - ACTIVIDADES DEL EQUIPO DE RELEASE MANAGMENT</v>
      </c>
      <c r="D123" s="15" t="str">
        <v>1 - LIBERACIÓN DE SOFTWARE Y DEPLOYMENTS</v>
      </c>
      <c r="E123" s="15" t="str">
        <v>Junior Release Management</v>
      </c>
      <c r="F123" s="15" t="str">
        <v>cmatarrita</v>
      </c>
      <c r="G123" s="15" t="str">
        <v>CESAR MATARRITA MATARRITA</v>
      </c>
      <c r="H123" s="15">
        <v>46141</v>
      </c>
      <c r="I123" s="15" t="str">
        <v>RM LIB Id.Inst_release_li:_x000D_
Instalación de reléase  para registrelo se revisa el pr y se suben los archivos hbs al cdn productivo después de esto se instala dentro del servidor los cambios y se realiza el documento de evidencias el cual se sube a drive</v>
      </c>
      <c r="J123" s="15">
        <v>1</v>
      </c>
    </row>
    <row r="124" spans="1:10">
      <c r="A124" s="15" t="str">
        <v>151-400-RGT2.0</v>
      </c>
      <c r="B124" s="15" t="str">
        <v>DESARROLLO DE SOLUCIÓN - REGISTRELO 2.0</v>
      </c>
      <c r="C124" s="15" t="str">
        <v>500.1-RM - ACTIVIDADES DEL EQUIPO DE RELEASE MANAGMENT</v>
      </c>
      <c r="D124" s="15" t="str">
        <v>2 - ADMINISTRACIÓN Y MANTENIMIENTO DE INFRAESTRUCTURA</v>
      </c>
      <c r="E124" s="15" t="str">
        <v>Entry Level Software Developer</v>
      </c>
      <c r="F124" s="15" t="str">
        <v>gvargas</v>
      </c>
      <c r="G124" s="15" t="str">
        <v>GERARDO BOLIVAR VARGAS FERNANDEZ</v>
      </c>
      <c r="H124" s="15">
        <v>46113</v>
      </c>
      <c r="I124" s="15" t="str">
        <v>Se trabaja en tareas de mantenimiento de infraestructura. Se desregistra instancia tanto del ASG como del TG debido a que está dando errores. Se que se debe realizar update del LT del ASG y eliminación de la instancia en cuestión por cambios en el cron de ejecución de tarea de reinicio. Esto se le indica al líder técnico Esli Gonzalez.</v>
      </c>
      <c r="J124" s="15">
        <v>0.75</v>
      </c>
    </row>
    <row r="125" spans="1:10">
      <c r="A125" s="15" t="str">
        <v>151-400-RGT2.0</v>
      </c>
      <c r="B125" s="15" t="str">
        <v>DESARROLLO DE SOLUCIÓN - REGISTRELO 2.0</v>
      </c>
      <c r="C125" s="15" t="str">
        <v>500.1-RM - ACTIVIDADES DEL EQUIPO DE RELEASE MANAGMENT</v>
      </c>
      <c r="D125" s="15" t="str">
        <v>2 - ADMINISTRACIÓN Y MANTENIMIENTO DE INFRAESTRUCTURA</v>
      </c>
      <c r="E125" s="15" t="str">
        <v>Entry Level Software Developer</v>
      </c>
      <c r="F125" s="15" t="str">
        <v>gvargas</v>
      </c>
      <c r="G125" s="15" t="str">
        <v>GERARDO BOLIVAR VARGAS FERNANDEZ</v>
      </c>
      <c r="H125" s="15">
        <v>46118</v>
      </c>
      <c r="I125" s="15" t="str">
        <v>Se trabaja en tareas de mantenimiento de infraestructura. Se solicita reactivación de tareas de apagado y encendido de la infraestructura de Desarrollo y Quality Assurance</v>
      </c>
      <c r="J125" s="15">
        <v>0.25</v>
      </c>
    </row>
    <row r="126" spans="1:10">
      <c r="A126" s="15" t="str">
        <v>151-400-RGT2.0</v>
      </c>
      <c r="B126" s="15" t="str">
        <v>DESARROLLO DE SOLUCIÓN - REGISTRELO 2.0</v>
      </c>
      <c r="C126" s="15" t="str">
        <v>500.1-RM - ACTIVIDADES DEL EQUIPO DE RELEASE MANAGMENT</v>
      </c>
      <c r="D126" s="15" t="str">
        <v>2 - ADMINISTRACIÓN Y MANTENIMIENTO DE INFRAESTRUCTURA</v>
      </c>
      <c r="E126" s="15" t="str">
        <v>Entry Level Software Developer</v>
      </c>
      <c r="F126" s="15" t="str">
        <v>gvargas</v>
      </c>
      <c r="G126" s="15" t="str">
        <v>GERARDO BOLIVAR VARGAS FERNANDEZ</v>
      </c>
      <c r="H126" s="15">
        <v>46118</v>
      </c>
      <c r="I126" s="15" t="str">
        <v>Se trabaja en tareas de soporte. Debido a que los cambios del shell no estaban siendo guardados el líder técnico Esli solicita una reunión para trabajar en conjunto con los compañeros de RACSA la creación de un AMI y update del LT en la cuenta de registrelo 2 Producción.</v>
      </c>
      <c r="J126" s="15">
        <v>0.5</v>
      </c>
    </row>
    <row r="127" spans="1:10">
      <c r="A127" s="15" t="str">
        <v>151-400-RGT2.0</v>
      </c>
      <c r="B127" s="15" t="str">
        <v>DESARROLLO DE SOLUCIÓN - REGISTRELO 2.0</v>
      </c>
      <c r="C127" s="15" t="str">
        <v>500.1-RM - ACTIVIDADES DEL EQUIPO DE RELEASE MANAGMENT</v>
      </c>
      <c r="D127" s="15" t="str">
        <v>2 - ADMINISTRACIÓN Y MANTENIMIENTO DE INFRAESTRUCTURA</v>
      </c>
      <c r="E127" s="15" t="str">
        <v>Entry Level Software Developer</v>
      </c>
      <c r="F127" s="15" t="str">
        <v>gvargas</v>
      </c>
      <c r="G127" s="15" t="str">
        <v>GERARDO BOLIVAR VARGAS FERNANDEZ</v>
      </c>
      <c r="H127" s="15">
        <v>46118</v>
      </c>
      <c r="I127" s="15" t="str">
        <v>"Se trabaja en tareas de mantenimiento de infraestructura. Se reporta que el script de reincio de api no se ejecutó a la hora indica. Se valida que el AMI no contiene las correcciones realizadas para su correcto funcionamiento.
Se corrigen los errores y se ejecuta manualmente en las 3 instancias solicitadas. Se valida que las APIs se hayan reinciado correctamente en las 3 instancias. Se informa al líder técnico los detalles para coodirnar la creación de AMI y update del Lunch template."</v>
      </c>
      <c r="J127" s="15">
        <v>1</v>
      </c>
    </row>
    <row r="128" spans="1:10">
      <c r="A128" s="15" t="str">
        <v>151-400-RGT2.0</v>
      </c>
      <c r="B128" s="15" t="str">
        <v>DESARROLLO DE SOLUCIÓN - REGISTRELO 2.0</v>
      </c>
      <c r="C128" s="15" t="str">
        <v>500.1-RM - ACTIVIDADES DEL EQUIPO DE RELEASE MANAGMENT</v>
      </c>
      <c r="D128" s="15" t="str">
        <v>2 - ADMINISTRACIÓN Y MANTENIMIENTO DE INFRAESTRUCTURA</v>
      </c>
      <c r="E128" s="15" t="str">
        <v>Entry Level Software Developer</v>
      </c>
      <c r="F128" s="15" t="str">
        <v>gvargas</v>
      </c>
      <c r="G128" s="15" t="str">
        <v>GERARDO BOLIVAR VARGAS FERNANDEZ</v>
      </c>
      <c r="H128" s="15">
        <v>46119</v>
      </c>
      <c r="I128" s="15" t="str">
        <v>Se trabaja en tareas de mantenimiento de infraestructura. Se lleva  a cabo seguimiento de la ejecución del script para el reinicio de la API solicitada. Se ingresa a los servidores para validar y revisar correcta ejecución del cron en las 3 instancias de correspondientes.</v>
      </c>
      <c r="J128" s="15">
        <v>0.5</v>
      </c>
    </row>
    <row r="129" spans="1:10">
      <c r="A129" s="15" t="str">
        <v>151-400-RGT2.0</v>
      </c>
      <c r="B129" s="15" t="str">
        <v>DESARROLLO DE SOLUCIÓN - REGISTRELO 2.0</v>
      </c>
      <c r="C129" s="15" t="str">
        <v>500.1-RM - ACTIVIDADES DEL EQUIPO DE RELEASE MANAGMENT</v>
      </c>
      <c r="D129" s="15" t="str">
        <v>2 - ADMINISTRACIÓN Y MANTENIMIENTO DE INFRAESTRUCTURA</v>
      </c>
      <c r="E129" s="15" t="str">
        <v>Entry Level Software Developer</v>
      </c>
      <c r="F129" s="15" t="str">
        <v>gvargas</v>
      </c>
      <c r="G129" s="15" t="str">
        <v>GERARDO BOLIVAR VARGAS FERNANDEZ</v>
      </c>
      <c r="H129" s="15">
        <v>46120</v>
      </c>
      <c r="I129" s="15" t="str">
        <v>Se trabaja en tareas de mantenimiento de infraestructura. Se trabaja en la creación del documento para solicitud de tráfico de monitoreo de REG2. Se realizan las correcciones solicitadas en el documento compartido.</v>
      </c>
      <c r="J129" s="15">
        <v>0.25</v>
      </c>
    </row>
    <row r="130" spans="1:10">
      <c r="A130" s="15" t="str">
        <v>151-400-RGT2.0</v>
      </c>
      <c r="B130" s="15" t="str">
        <v>DESARROLLO DE SOLUCIÓN - REGISTRELO 2.0</v>
      </c>
      <c r="C130" s="15" t="str">
        <v>500.1-RM - ACTIVIDADES DEL EQUIPO DE RELEASE MANAGMENT</v>
      </c>
      <c r="D130" s="15" t="str">
        <v>2 - ADMINISTRACIÓN Y MANTENIMIENTO DE INFRAESTRUCTURA</v>
      </c>
      <c r="E130" s="15" t="str">
        <v>Entry Level Software Developer</v>
      </c>
      <c r="F130" s="15" t="str">
        <v>gvargas</v>
      </c>
      <c r="G130" s="15" t="str">
        <v>GERARDO BOLIVAR VARGAS FERNANDEZ</v>
      </c>
      <c r="H130" s="15">
        <v>46120</v>
      </c>
      <c r="I130" s="15" t="str">
        <v>Se trabaja en tareas de mantenimiento de infraestructura. Se trabaja en la creación del documento para solicitud de tráfico de monitoreo de REG2. Se validan los permisos del usuario existente de rm. Se crea inventario de instancias en documento de Excel con la información de ip origen y destino, puertos, nombre,arn.</v>
      </c>
      <c r="J130" s="15">
        <v>1</v>
      </c>
    </row>
    <row r="131" spans="1:10">
      <c r="A131" s="15" t="str">
        <v>151-400-RGT2.0</v>
      </c>
      <c r="B131" s="15" t="str">
        <v>DESARROLLO DE SOLUCIÓN - REGISTRELO 2.0</v>
      </c>
      <c r="C131" s="15" t="str">
        <v>500.1-RM - ACTIVIDADES DEL EQUIPO DE RELEASE MANAGMENT</v>
      </c>
      <c r="D131" s="15" t="str">
        <v>2 - ADMINISTRACIÓN Y MANTENIMIENTO DE INFRAESTRUCTURA</v>
      </c>
      <c r="E131" s="15" t="str">
        <v>Entry Level Software Developer</v>
      </c>
      <c r="F131" s="15" t="str">
        <v>gvargas</v>
      </c>
      <c r="G131" s="15" t="str">
        <v>GERARDO BOLIVAR VARGAS FERNANDEZ</v>
      </c>
      <c r="H131" s="15">
        <v>46129</v>
      </c>
      <c r="I131" s="15" t="str">
        <v>Se trabaja en tareas de monitoreo de infraestructura.  Se valida información requerida acerca de las instancias ASG de aplicación de QA. Se valida estádisticas disponible en la nube y se brinda la información indicada.</v>
      </c>
      <c r="J131" s="15">
        <v>0.5</v>
      </c>
    </row>
    <row r="132" spans="1:10">
      <c r="A132" s="15" t="str">
        <v>151-400-RGT2.0</v>
      </c>
      <c r="B132" s="15" t="str">
        <v>DESARROLLO DE SOLUCIÓN - REGISTRELO 2.0</v>
      </c>
      <c r="C132" s="15" t="str">
        <v>500.1-RM - ACTIVIDADES DEL EQUIPO DE RELEASE MANAGMENT</v>
      </c>
      <c r="D132" s="15" t="str">
        <v>2 - ADMINISTRACIÓN Y MANTENIMIENTO DE INFRAESTRUCTURA</v>
      </c>
      <c r="E132" s="15" t="str">
        <v>Entry Level Software Developer</v>
      </c>
      <c r="F132" s="15" t="str">
        <v>gvargas</v>
      </c>
      <c r="G132" s="15" t="str">
        <v>GERARDO BOLIVAR VARGAS FERNANDEZ</v>
      </c>
      <c r="H132" s="15">
        <v>46140</v>
      </c>
      <c r="I132" s="15" t="str">
        <v>Tareas de mantenimiento de infraestructura. Se trabaja en el envío de la corrección de la solicitud de tráfico de monitore para Registrelo Producción. Se valida que faltan cambios necesarios para habilitar el tráfico de monitoreo en la cuenta de Producción por lo que se envía nuevamente la solicitud indicando los elementos faltantes y correcciones necesarias.</v>
      </c>
      <c r="J132" s="15">
        <v>2.25</v>
      </c>
    </row>
    <row r="133" spans="1:10">
      <c r="A133" s="15" t="str">
        <v>151-400-RGT2.0</v>
      </c>
      <c r="B133" s="15" t="str">
        <v>DESARROLLO DE SOLUCIÓN - REGISTRELO 2.0</v>
      </c>
      <c r="C133" s="15" t="str">
        <v>500.1-RM - ACTIVIDADES DEL EQUIPO DE RELEASE MANAGMENT</v>
      </c>
      <c r="D133" s="15" t="str">
        <v>2 - ADMINISTRACIÓN Y MANTENIMIENTO DE INFRAESTRUCTURA</v>
      </c>
      <c r="E133" s="15" t="str">
        <v>Entry Level Software Developer</v>
      </c>
      <c r="F133" s="15" t="str">
        <v>lcordoba</v>
      </c>
      <c r="G133" s="15" t="str">
        <v>LAURA REBECA CORDOBA FERNANDEZ</v>
      </c>
      <c r="H133" s="15">
        <v>46121</v>
      </c>
      <c r="I133" s="15" t="str">
        <v>RM INF Id.Imp_cambio_inf:_x000D_
Revisión de puertos y políticas para cuenta de AWS en Regístrelo producción para monitoreo del ambiente con Grafana.</v>
      </c>
      <c r="J133" s="15">
        <v>2</v>
      </c>
    </row>
    <row r="134" spans="1:10">
      <c r="A134" s="15" t="str">
        <v>151-400-RGT2.0</v>
      </c>
      <c r="B134" s="15" t="str">
        <v>DESARROLLO DE SOLUCIÓN - REGISTRELO 2.0</v>
      </c>
      <c r="C134" s="15" t="str">
        <v>500.1-RM - ACTIVIDADES DEL EQUIPO DE RELEASE MANAGMENT</v>
      </c>
      <c r="D134" s="15" t="str">
        <v>2 - ADMINISTRACIÓN Y MANTENIMIENTO DE INFRAESTRUCTURA</v>
      </c>
      <c r="E134" s="15" t="str">
        <v>Entry Level Software Developer</v>
      </c>
      <c r="F134" s="15" t="str">
        <v>lcordoba</v>
      </c>
      <c r="G134" s="15" t="str">
        <v>LAURA REBECA CORDOBA FERNANDEZ</v>
      </c>
      <c r="H134" s="15">
        <v>46121</v>
      </c>
      <c r="I134" s="15" t="str">
        <v>RM INF Id.Imp_cambio_inf:_x000D_
Corrección de solicitud enviada con anterioridad para monitoreo con Grafana.</v>
      </c>
      <c r="J134" s="15">
        <v>1</v>
      </c>
    </row>
    <row r="135" spans="1:10">
      <c r="A135" s="15" t="str">
        <v>151-400-RGT2.0</v>
      </c>
      <c r="B135" s="15" t="str">
        <v>DESARROLLO DE SOLUCIÓN - REGISTRELO 2.0</v>
      </c>
      <c r="C135" s="15" t="str">
        <v>500.1-RM - ACTIVIDADES DEL EQUIPO DE RELEASE MANAGMENT</v>
      </c>
      <c r="D135" s="15" t="str">
        <v>2 - ADMINISTRACIÓN Y MANTENIMIENTO DE INFRAESTRUCTURA</v>
      </c>
      <c r="E135" s="15" t="str">
        <v>JUNIOR DEVOPS SOFTWARE DEVELOPER</v>
      </c>
      <c r="F135" s="15" t="str">
        <v>ecortes</v>
      </c>
      <c r="G135" s="15" t="str">
        <v>ELIER CORTES BALTODANO</v>
      </c>
      <c r="H135" s="15">
        <v>46132</v>
      </c>
      <c r="I135" s="15" t="str">
        <v>RM INF Id.Sop_Infraestruc:_x000D_
Se apoya en la siguiente tarea:_x000D_
Proyecto: Registrelo2 PROD_x000D_
Validaciones de problemas con el sitio_x000D_
Validación de base de datos_x000D_
Reinicio de las APIs</v>
      </c>
      <c r="J135" s="15">
        <v>0.75</v>
      </c>
    </row>
    <row r="136" spans="1:10">
      <c r="A136" s="15" t="str">
        <v>151-400-RGT2.0</v>
      </c>
      <c r="B136" s="15" t="str">
        <v>DESARROLLO DE SOLUCIÓN - REGISTRELO 2.0</v>
      </c>
      <c r="C136" s="15" t="str">
        <v>500.1-RM - ACTIVIDADES DEL EQUIPO DE RELEASE MANAGMENT</v>
      </c>
      <c r="D136" s="15" t="str">
        <v>2 - ADMINISTRACIÓN Y MANTENIMIENTO DE INFRAESTRUCTURA</v>
      </c>
      <c r="E136" s="15" t="str">
        <v>JUNIOR DEVOPS SOFTWARE DEVELOPER</v>
      </c>
      <c r="F136" s="15" t="str">
        <v>ecortes</v>
      </c>
      <c r="G136" s="15" t="str">
        <v>ELIER CORTES BALTODANO</v>
      </c>
      <c r="H136" s="15">
        <v>46140</v>
      </c>
      <c r="I136" s="15" t="str">
        <v>RM INF Id.Sop_Infraestruc:_x000D_
Se apoya en la siguiente tarea:_x000D_
Proyecto: Registrelo2 PROD_x000D_
Validaciones referentes a etiquetas en los ASG</v>
      </c>
      <c r="J136" s="15">
        <v>0.25</v>
      </c>
    </row>
    <row r="137" spans="1:10">
      <c r="A137" s="15" t="str">
        <v>151-400-RGT2.0</v>
      </c>
      <c r="B137" s="15" t="str">
        <v>DESARROLLO DE SOLUCIÓN - REGISTRELO 2.0</v>
      </c>
      <c r="C137" s="15" t="str">
        <v>500.1-RM - ACTIVIDADES DEL EQUIPO DE RELEASE MANAGMENT</v>
      </c>
      <c r="D137" s="15" t="str">
        <v>3 - GESTIÓN DE BASES DE DATOS</v>
      </c>
      <c r="E137" s="15" t="str">
        <v>Especialista Desarrollador/Configurador</v>
      </c>
      <c r="F137" s="15" t="str">
        <v>jchinchilla</v>
      </c>
      <c r="G137" s="15" t="str">
        <v>JOSE DANIEL CHINCHILLA CERDAS</v>
      </c>
      <c r="H137" s="15">
        <v>46125</v>
      </c>
      <c r="I137" s="15" t="str">
        <v>RM BDS Id.Imp_cambio_BD:_x000D_
Atencion de solicitud RM-P1-R5_151-400-RGT2.0_REG2.0_SC_59_20260413</v>
      </c>
      <c r="J137" s="15">
        <v>1</v>
      </c>
    </row>
    <row r="138" spans="1:10">
      <c r="A138" s="15" t="str">
        <v>151-400-RGT2.0</v>
      </c>
      <c r="B138" s="15" t="str">
        <v>DESARROLLO DE SOLUCIÓN - REGISTRELO 2.0</v>
      </c>
      <c r="C138" s="15" t="str">
        <v>500.1-RM - ACTIVIDADES DEL EQUIPO DE RELEASE MANAGMENT</v>
      </c>
      <c r="D138" s="15" t="str">
        <v>3 - GESTIÓN DE BASES DE DATOS</v>
      </c>
      <c r="E138" s="15" t="str">
        <v>Especialista Desarrollador/Configurador</v>
      </c>
      <c r="F138" s="15" t="str">
        <v>jchinchilla</v>
      </c>
      <c r="G138" s="15" t="str">
        <v>JOSE DANIEL CHINCHILLA CERDAS</v>
      </c>
      <c r="H138" s="15">
        <v>46132</v>
      </c>
      <c r="I138" s="15" t="str">
        <v>RM BDS Id.Sop_BaseDatos:_x000D_
Revisión de error en BD y liberación de bloqueos en PRD a solicitud de Greivin por lentitud presentada en aplicativo de PRD</v>
      </c>
      <c r="J138" s="15">
        <v>0.75</v>
      </c>
    </row>
    <row r="139" spans="1:10">
      <c r="A139" s="15" t="str">
        <v>151-400-RGT2.0</v>
      </c>
      <c r="B139" s="15" t="str">
        <v>DESARROLLO DE SOLUCIÓN - REGISTRELO 2.0</v>
      </c>
      <c r="C139" s="15" t="str">
        <v>500.1-RM - ACTIVIDADES DEL EQUIPO DE RELEASE MANAGMENT</v>
      </c>
      <c r="D139" s="15" t="str">
        <v>3 - GESTIÓN DE BASES DE DATOS</v>
      </c>
      <c r="E139" s="15" t="str">
        <v>Junior Release Management</v>
      </c>
      <c r="F139" s="15" t="str">
        <v>cmatarrita</v>
      </c>
      <c r="G139" s="15" t="str">
        <v>CESAR MATARRITA MATARRITA</v>
      </c>
      <c r="H139" s="15">
        <v>46132</v>
      </c>
      <c r="I139" s="15" t="str">
        <v>RM BDS Id.Monit_BD:_x000D_
Revisión de la base de datos de Regístrelo producción ya que un script la estaba pegando en cpu se revisa la infraestructura y se valida el script que esta generando el problema se le manda capturas del esta de la bd a los compañeros de desarrollo para su respectivo análisis</v>
      </c>
      <c r="J139" s="15">
        <v>0.5</v>
      </c>
    </row>
    <row r="140" spans="1:10">
      <c r="A140" s="15" t="str">
        <v>151-400-RGT2.0</v>
      </c>
      <c r="B140" s="15" t="str">
        <v>DESARROLLO DE SOLUCIÓN - REGISTRELO 2.0</v>
      </c>
      <c r="C140" s="15" t="str">
        <v>500.1-RM - ACTIVIDADES DEL EQUIPO DE RELEASE MANAGMENT</v>
      </c>
      <c r="D140" s="15" t="str">
        <v>4 - SEGURIDAD</v>
      </c>
      <c r="E140" s="15" t="str">
        <v>JUNIOR DEVOPS SOFTWARE DEVELOPER</v>
      </c>
      <c r="F140" s="15" t="str">
        <v>ecortes</v>
      </c>
      <c r="G140" s="15" t="str">
        <v>ELIER CORTES BALTODANO</v>
      </c>
      <c r="H140" s="15">
        <v>46121</v>
      </c>
      <c r="I140" s="15" t="str">
        <v>RM SEG Id.Monit_seg:_x000D_
Se apoya en la siguiente tarea:_x000D_
Proyecto: Registrelo2 PROD_x000D_
Validaciones referentes a permisos</v>
      </c>
      <c r="J140" s="15">
        <v>0.25</v>
      </c>
    </row>
    <row r="141" spans="1:10">
      <c r="A141" s="15" t="str">
        <v>151-400-RGT2.0</v>
      </c>
      <c r="B141" s="15" t="str">
        <v>DESARROLLO DE SOLUCIÓN - REGISTRELO 2.0</v>
      </c>
      <c r="C141" s="15" t="str">
        <v>500.1-RM - ACTIVIDADES DEL EQUIPO DE RELEASE MANAGMENT</v>
      </c>
      <c r="D141" s="15" t="str">
        <v>6 - ATENCION DE INCIDENCIAS</v>
      </c>
      <c r="E141" s="15" t="str">
        <v>Junior Release Management</v>
      </c>
      <c r="F141" s="15" t="str">
        <v>cmatarrita</v>
      </c>
      <c r="G141" s="15" t="str">
        <v>CESAR MATARRITA MATARRITA</v>
      </c>
      <c r="H141" s="15">
        <v>46128</v>
      </c>
      <c r="I141" s="15" t="str">
        <v>RM INC Id.Ana_incidente:_x000D_
se revisa una api de regístrelo de receta que se encuentra en errored se levanta a solicitud del desarrollador se validan los logs de la misma se llega a la conclusión de que un proceso esta apagando el servicio los compañeros de desarrollo realizan un cambio a solicitud de ellos se vuelve a iniciar el api y queda funcionando con normalidad, se queda en revisión por cierto tiempo para validar de que el api no se vuelva a apagar ya que era requerido que se quede funcionando duran...</v>
      </c>
      <c r="J141" s="15">
        <v>1.5</v>
      </c>
    </row>
    <row r="142" spans="1:10">
      <c r="A142" s="15" t="str">
        <v>151-400-RGT2.0</v>
      </c>
      <c r="B142" s="15" t="str">
        <v>DESARROLLO DE SOLUCIÓN - REGISTRELO 2.0</v>
      </c>
      <c r="C142" s="15" t="str">
        <v>500.1-RM - ACTIVIDADES DEL EQUIPO DE RELEASE MANAGMENT</v>
      </c>
      <c r="D142" s="15" t="str">
        <v>6 - ATENCION DE INCIDENCIAS</v>
      </c>
      <c r="E142" s="15" t="str">
        <v>Junior Release Management</v>
      </c>
      <c r="F142" s="15" t="str">
        <v>cmatarrita</v>
      </c>
      <c r="G142" s="15" t="str">
        <v>CESAR MATARRITA MATARRITA</v>
      </c>
      <c r="H142" s="15">
        <v>46129</v>
      </c>
      <c r="I142" s="15" t="str">
        <v>RM INC Id.Corr_incidentes:_x000D_
meter console logs dentro de servicio de notificaciones para registrelo se hacen correcciones dentro del codigo fuente y se levantan los servicios que estaban dando error se verifica que no presenten un nuevo error y se le indica al desarrollador que tiene que mandar los cambios por medio de un rfc queda pendiente para el dia lunes</v>
      </c>
      <c r="J142" s="15">
        <v>2</v>
      </c>
    </row>
    <row r="143" spans="1:10">
      <c r="A143" s="15" t="str">
        <v>151-400-RGT2.0</v>
      </c>
      <c r="B143" s="15" t="str">
        <v>DESARROLLO DE SOLUCIÓN - REGISTRELO 2.0</v>
      </c>
      <c r="C143" s="15" t="str">
        <v>500.1-RM - ACTIVIDADES DEL EQUIPO DE RELEASE MANAGMENT</v>
      </c>
      <c r="D143" s="15" t="str">
        <v>6 - ATENCION DE INCIDENCIAS</v>
      </c>
      <c r="E143" s="15" t="str">
        <v>Junior Release Management</v>
      </c>
      <c r="F143" s="15" t="str">
        <v>cmatarrita</v>
      </c>
      <c r="G143" s="15" t="str">
        <v>CESAR MATARRITA MATARRITA</v>
      </c>
      <c r="H143" s="15">
        <v>46132</v>
      </c>
      <c r="I143" s="15" t="str">
        <v>RM INC Id.Ana_incidente:_x000D_
Revisión de servidor de tareas para regístrelo produccion</v>
      </c>
      <c r="J143" s="15">
        <v>0.5</v>
      </c>
    </row>
    <row r="144" spans="1:10">
      <c r="A144" s="15" t="str">
        <v>151-400-RGT2.0</v>
      </c>
      <c r="B144" s="15" t="str">
        <v>DESARROLLO DE SOLUCIÓN - REGISTRELO 2.0</v>
      </c>
      <c r="C144" s="15" t="str">
        <v>500.1-RM - ACTIVIDADES DEL EQUIPO DE RELEASE MANAGMENT</v>
      </c>
      <c r="D144" s="15" t="str">
        <v>6 - ATENCION DE INCIDENCIAS</v>
      </c>
      <c r="E144" s="15" t="str">
        <v>Junior Release Management</v>
      </c>
      <c r="F144" s="15" t="str">
        <v>cmatarrita</v>
      </c>
      <c r="G144" s="15" t="str">
        <v>CESAR MATARRITA MATARRITA</v>
      </c>
      <c r="H144" s="15">
        <v>46133</v>
      </c>
      <c r="I144" s="15" t="str">
        <v>RM INC Id.Ana_incidente:_x000D_
revisión de tarea de regístrelo de notificaciones en producción esta estaba dando un error el cual se le adjunta por medio de captura a los compañeros de registrelo los cuales indican de si se puede reiniciar el servicio se procede a reiniciar y se queda en revisión para validar de que el servicio no presente errores post reinicio</v>
      </c>
      <c r="J144" s="15">
        <v>0.5</v>
      </c>
    </row>
    <row r="145" spans="1:10">
      <c r="A145" s="15" t="str">
        <v>151-400-RGT2.0</v>
      </c>
      <c r="B145" s="15" t="str">
        <v>DESARROLLO DE SOLUCIÓN - REGISTRELO 2.0</v>
      </c>
      <c r="C145" s="15" t="str">
        <v>500.1-RM - ACTIVIDADES DEL EQUIPO DE RELEASE MANAGMENT</v>
      </c>
      <c r="D145" s="15" t="str">
        <v>7 - SOPORTE VARIO</v>
      </c>
      <c r="E145" s="15" t="str">
        <v>Junior Release Management</v>
      </c>
      <c r="F145" s="15" t="str">
        <v>cmatarrita</v>
      </c>
      <c r="G145" s="15" t="str">
        <v>CESAR MATARRITA MATARRITA</v>
      </c>
      <c r="H145" s="15">
        <v>46122</v>
      </c>
      <c r="I145" s="15" t="str">
        <v>RM SOP Id.Sop_Lib:_x000D_
&lt;horas&gt;De 03:00 a 04:00&lt;/horas&gt; _x000D_
 se revisa y se valida que el job de notifications para registrelo este encendido y funcionando, se informa de que hay un error y se queda monitoreando el servicio se llega a concluir que el error era  un error viejo ya que el servicio mostraba logs actuales y recibiendo solicitudes en tiempo real</v>
      </c>
      <c r="J145" s="15">
        <v>1</v>
      </c>
    </row>
    <row r="146" spans="1:10">
      <c r="A146" s="15" t="str">
        <v>151-400-RGT2.0</v>
      </c>
      <c r="B146" s="15" t="str">
        <v>DESARROLLO DE SOLUCIÓN - REGISTRELO 2.0</v>
      </c>
      <c r="C146" s="15" t="str">
        <v>500.1-RM - ACTIVIDADES DEL EQUIPO DE RELEASE MANAGMENT</v>
      </c>
      <c r="D146" s="15" t="str">
        <v>8 - DOCUMENTACIÓN Y REUNIONES</v>
      </c>
      <c r="E146" s="15" t="str">
        <v>Entry Level Software Developer</v>
      </c>
      <c r="F146" s="15" t="str">
        <v>lcordoba</v>
      </c>
      <c r="G146" s="15" t="str">
        <v>LAURA REBECA CORDOBA FERNANDEZ</v>
      </c>
      <c r="H146" s="15">
        <v>46140</v>
      </c>
      <c r="I146" s="15" t="str">
        <v>RM DOC Id.Reu_Equipo:_x000D_
Se realiza una reunión para editar documentación sobre la solicitud de puertos y usuario para comenzar el monitoreo con Grafana debido a que no se cumplieron en la totalidad los requerimientos de la solicitud hecha con anterioridad a RACSA.</v>
      </c>
      <c r="J146" s="15">
        <v>2</v>
      </c>
    </row>
    <row r="147" spans="1:10">
      <c r="A147" s="15" t="str">
        <v>151-400-RGT2.0</v>
      </c>
      <c r="B147" s="15" t="str">
        <v>DESARROLLO DE SOLUCIÓN - REGISTRELO 2.0</v>
      </c>
      <c r="C147" s="15" t="str">
        <v>500.1-RM - ACTIVIDADES DEL EQUIPO DE RELEASE MANAGMENT</v>
      </c>
      <c r="D147" s="15" t="str">
        <v>8 - DOCUMENTACIÓN Y REUNIONES</v>
      </c>
      <c r="E147" s="15" t="str">
        <v>Especialista Desarrollador/Configurador</v>
      </c>
      <c r="F147" s="15" t="str">
        <v>jchinchilla</v>
      </c>
      <c r="G147" s="15" t="str">
        <v>JOSE DANIEL CHINCHILLA CERDAS</v>
      </c>
      <c r="H147" s="15">
        <v>46132</v>
      </c>
      <c r="I147" s="15" t="str">
        <v>RM DOC Id.Reu_Equipo:_x000D_
Revisión de error y reinicios de apps múltiples veces, por errores de latencia en PRD y bloqueos causados por latencia, llamada atendida junto con Raquel y Greivin.</v>
      </c>
      <c r="J147" s="15">
        <v>1.25</v>
      </c>
    </row>
    <row r="148" spans="1:10">
      <c r="A148" s="15" t="str">
        <v>579-203-REDIMED</v>
      </c>
      <c r="B148" s="15" t="str">
        <v>REDIMED</v>
      </c>
      <c r="C148" s="15" t="str">
        <v>IMP.SER - IMPLEMENTACIÓN DEL SERVICIO</v>
      </c>
      <c r="D148" s="15" t="str">
        <v>11 - SEGUIMIENTO AL CAMBIO Y ACOMPAÑAMIENTO</v>
      </c>
      <c r="E148" s="15" t="str">
        <v>Senior Software Architect</v>
      </c>
      <c r="F148" s="15" t="str">
        <v>victor</v>
      </c>
      <c r="G148" s="15" t="str">
        <v>VICTOR CHAVES MONTERO</v>
      </c>
      <c r="H148" s="15">
        <v>46113</v>
      </c>
      <c r="I148" s="15" t="str">
        <v>REDIMED - Ticket#2026031027000127 - Agregar nueva columna a Reporte._x000D_
_x000D_
Para optimizar el proceso de validación en el reporte "REPORTE INTERNO AJUSTES EN RIS", se ha procedido con el ajuste solicitado, para facilitar el proceso de validación._x000D_
El cambio solicitado era: agregar la columna de Paciente en la pestaña "Duplicados Acc Number"._x000D_
Al respecto, se realizaron las siguientes tareas para el ajuste, ya han sido completadas siguiendo este proceso:_x000D_
	Desarrollo: Se modificó la constitución del reporte ...</v>
      </c>
      <c r="J148" s="15">
        <v>1</v>
      </c>
    </row>
    <row r="149" spans="1:10">
      <c r="A149" s="15" t="str">
        <v>579-203-REDIMED</v>
      </c>
      <c r="B149" s="15" t="str">
        <v>REDIMED</v>
      </c>
      <c r="C149" s="15" t="str">
        <v>IMP.SER - IMPLEMENTACIÓN DEL SERVICIO</v>
      </c>
      <c r="D149" s="15" t="str">
        <v>11 - SEGUIMIENTO AL CAMBIO Y ACOMPAÑAMIENTO</v>
      </c>
      <c r="E149" s="15" t="str">
        <v>Senior Software Architect</v>
      </c>
      <c r="F149" s="15" t="str">
        <v>victor</v>
      </c>
      <c r="G149" s="15" t="str">
        <v>VICTOR CHAVES MONTERO</v>
      </c>
      <c r="H149" s="15">
        <v>46113</v>
      </c>
      <c r="I149" s="15" t="str">
        <v>REDIMED - Ticket#2026031627000214 - Crear un usuario para el Hospital La Anexion._x000D_
_x000D_
De acuerdo a lo solicitado en la creación de un nuevo usuario, se tiene lo siguiente:_x000D_
_x000D_
1.	Acceso para usuario del Hospital La Anexión_x000D_
1.	Este sólo podrá ver la información de dicho hospital._x000D_
2.	La restricción se da por el Centro de Salud Dueño del Estudio, haciendo referencia a quién se le facturó._x000D_
3.	Se tiene acceso a sólo carpetas específicas de REDIMED._x000D_
2.	Credenciales:_x000D_
1.	Se tiene un usuario estándar, lo cual ...</v>
      </c>
      <c r="J149" s="15">
        <v>1</v>
      </c>
    </row>
    <row r="150" spans="1:10">
      <c r="A150" s="15" t="str">
        <v>579-203-REDIMED</v>
      </c>
      <c r="B150" s="15" t="str">
        <v>REDIMED</v>
      </c>
      <c r="C150" s="15" t="str">
        <v>IMP.SER - IMPLEMENTACIÓN DEL SERVICIO</v>
      </c>
      <c r="D150" s="15" t="str">
        <v>11 - SEGUIMIENTO AL CAMBIO Y ACOMPAÑAMIENTO</v>
      </c>
      <c r="E150" s="15" t="str">
        <v>Senior Software Architect</v>
      </c>
      <c r="F150" s="15" t="str">
        <v>victor</v>
      </c>
      <c r="G150" s="15" t="str">
        <v>VICTOR CHAVES MONTERO</v>
      </c>
      <c r="H150" s="15">
        <v>46113</v>
      </c>
      <c r="I150" s="15" t="str">
        <v>REDIMED - Ticket#2026031027000387 - Variables clinicas - creacion de tablas._x000D_
_x000D_
Recibido el requerimiento para la creación de la tabla de variables clínicas destinada al consumo de BI, se analiza la solicitud para entendimiento._x000D_
_x000D_
Tras analizar la estructura propuesta, se han identificado puntos de mejora críticos para garantizar la integridad de los datos, la trazabilidad clínica y la utilidad de los reportes finales._x000D_
_x000D_
Por tal motivo, se responde el correo con lo detectado, para definir los pasos sig...</v>
      </c>
      <c r="J150" s="15">
        <v>2</v>
      </c>
    </row>
    <row r="151" spans="1:10">
      <c r="A151" s="15" t="str">
        <v>579-203-REDIMED</v>
      </c>
      <c r="B151" s="15" t="str">
        <v>REDIMED</v>
      </c>
      <c r="C151" s="15" t="str">
        <v>IMP.SER - IMPLEMENTACIÓN DEL SERVICIO</v>
      </c>
      <c r="D151" s="15" t="str">
        <v>11 - SEGUIMIENTO AL CAMBIO Y ACOMPAÑAMIENTO</v>
      </c>
      <c r="E151" s="15" t="str">
        <v>Senior Software Architect</v>
      </c>
      <c r="F151" s="15" t="str">
        <v>victor</v>
      </c>
      <c r="G151" s="15" t="str">
        <v>VICTOR CHAVES MONTERO</v>
      </c>
      <c r="H151" s="15">
        <v>46113</v>
      </c>
      <c r="I151" s="15" t="str">
        <v>REDIMED - Ticket#2026032427000146 - Nuevo reporte._x000D_
_x000D_
Para este requerimiento, se tiene un ajuste dado a la solicitud original:_x000D_
 * Detectar Pacientes con diferente Nombre para el mismo ID en VNA._x000D_
 * Generar lo mismo para RIS, PACS y PP, también._x000D_
_x000D_
Se realiza un análisis rápido de la información, para tener un % de error que cumplen esta regla. Al no encontrar ningún caso, mucho por el proceso de validación que se realiza de limpieza o asociación del ID Paciente de RIS, se procede a validar VNA, que fu...</v>
      </c>
      <c r="J151" s="15">
        <v>2</v>
      </c>
    </row>
    <row r="152" spans="1:10">
      <c r="A152" s="15" t="str">
        <v>579-203-REDIMED</v>
      </c>
      <c r="B152" s="15" t="str">
        <v>REDIMED</v>
      </c>
      <c r="C152" s="15" t="str">
        <v>IMP.SER - IMPLEMENTACIÓN DEL SERVICIO</v>
      </c>
      <c r="D152" s="15" t="str">
        <v>11 - SEGUIMIENTO AL CAMBIO Y ACOMPAÑAMIENTO</v>
      </c>
      <c r="E152" s="15" t="str">
        <v>Senior Software Architect</v>
      </c>
      <c r="F152" s="15" t="str">
        <v>victor</v>
      </c>
      <c r="G152" s="15" t="str">
        <v>VICTOR CHAVES MONTERO</v>
      </c>
      <c r="H152" s="15">
        <v>46118</v>
      </c>
      <c r="I152" s="15" t="str">
        <v>REDIMED - Generación de la Facturación Maro 2026._x000D_
_x000D_
El personal de Salud solicita la ejecución del proceso de facturación._x000D_
_x000D_
Se valida la información y se ejecuta el proceso._x000D_
_x000D_
En el proceso de validación se detecta un faltante de dos estudios de RIS que no fueron facturados. Se procede a validar la razón de la exclusión del proceso. Se detecta el error por faltante de IDs de Períodos en la Dimensión para estudios de 2030._x000D_
_x000D_
Para poder realizar la carga de datos, se construye un SQL para llenar los d...</v>
      </c>
      <c r="J152" s="15">
        <v>4</v>
      </c>
    </row>
    <row r="153" spans="1:10">
      <c r="A153" s="15" t="str">
        <v>579-203-REDIMED</v>
      </c>
      <c r="B153" s="15" t="str">
        <v>REDIMED</v>
      </c>
      <c r="C153" s="15" t="str">
        <v>IMP.SER - IMPLEMENTACIÓN DEL SERVICIO</v>
      </c>
      <c r="D153" s="15" t="str">
        <v>11 - SEGUIMIENTO AL CAMBIO Y ACOMPAÑAMIENTO</v>
      </c>
      <c r="E153" s="15" t="str">
        <v>Senior Software Architect</v>
      </c>
      <c r="F153" s="15" t="str">
        <v>victor</v>
      </c>
      <c r="G153" s="15" t="str">
        <v>VICTOR CHAVES MONTERO</v>
      </c>
      <c r="H153" s="15">
        <v>46119</v>
      </c>
      <c r="I153" s="15" t="str">
        <v>REDIMED - Generación de la Facturación Maro 2026._x000D_
_x000D_
Se continúa con la ejecución de la facturación. _x000D_
_x000D_
Para los nuevos estudios RIS ingresados como faltantes para la facturación, se quedaron 321 estudios sin facturar de los más de 1000 estudios nuevos._x000D_
_x000D_
Se revisa el motivo de la exclusión. Se detecta un problema con el rollback que no estaba apagando la totalidad de estudios a facturar para el período. Por tal motivo, no los tomaba en cuenta para el proceso._x000D_
_x000D_
Se actualiza el flag de dichos estudios...</v>
      </c>
      <c r="J153" s="15">
        <v>4</v>
      </c>
    </row>
    <row r="154" spans="1:10">
      <c r="A154" s="15" t="str">
        <v>579-203-REDIMED</v>
      </c>
      <c r="B154" s="15" t="str">
        <v>REDIMED</v>
      </c>
      <c r="C154" s="15" t="str">
        <v>IMP.SER - IMPLEMENTACIÓN DEL SERVICIO</v>
      </c>
      <c r="D154" s="15" t="str">
        <v>11 - SEGUIMIENTO AL CAMBIO Y ACOMPAÑAMIENTO</v>
      </c>
      <c r="E154" s="15" t="str">
        <v>Senior Software Architect</v>
      </c>
      <c r="F154" s="15" t="str">
        <v>victor</v>
      </c>
      <c r="G154" s="15" t="str">
        <v>VICTOR CHAVES MONTERO</v>
      </c>
      <c r="H154" s="15">
        <v>46134</v>
      </c>
      <c r="I154" s="15" t="str">
        <v>REDIMED - Gestión y Resolución de Tiquetes REDIMED._x000D_
_x000D_
Análisis de Incidencias: Revisión técnica de tiquetes complejos. _x000D_
_x000D_
En el tiquete de "Nuevo Reporte", se gestionó una reunión para destrabar dudas funcionales; en el de "Producción de Modalidades", se realizó un análisis de contra-respuesta para ajustar discrepancias en los datos reportados.</v>
      </c>
      <c r="J154" s="15">
        <v>2</v>
      </c>
    </row>
    <row r="155" spans="1:10">
      <c r="A155" s="15" t="str">
        <v>579-203-REDIMED</v>
      </c>
      <c r="B155" s="15" t="str">
        <v>REDIMED</v>
      </c>
      <c r="C155" s="15" t="str">
        <v>IMP.SER - IMPLEMENTACIÓN DEL SERVICIO</v>
      </c>
      <c r="D155" s="15" t="str">
        <v>11 - SEGUIMIENTO AL CAMBIO Y ACOMPAÑAMIENTO</v>
      </c>
      <c r="E155" s="15" t="str">
        <v>Senior Software Architect</v>
      </c>
      <c r="F155" s="15" t="str">
        <v>victor</v>
      </c>
      <c r="G155" s="15" t="str">
        <v>VICTOR CHAVES MONTERO</v>
      </c>
      <c r="H155" s="15">
        <v>46140</v>
      </c>
      <c r="I155" s="15" t="str">
        <v>REDIMED - Reunión de Ticket 2026031027000387 - Variables clinicas._x000D_
_x000D_
A continuación, se detalla el desglose de actividades definidas para la construcción de la tabla de estudios clínicos:_x000D_
1. Definición y Estructuración de la Tabla_x000D_
Andrey procederá con el diseño técnico de la base de datos, asegurando que los campos requeridos cumplan con los estándares necesarios para interoperabilidad clínica._x000D_
	Campos a incluir:_x000D_
	Acc# (Número de acceso/identificador del estudio)._x000D_
	Paciente (Nombre o ID del paci...</v>
      </c>
      <c r="J155" s="15">
        <v>1</v>
      </c>
    </row>
    <row r="156" spans="1:10">
      <c r="A156" s="15" t="str">
        <v>579-203-REDIMED</v>
      </c>
      <c r="B156" s="15" t="str">
        <v>REDIMED</v>
      </c>
      <c r="C156" s="15" t="str">
        <v>500.1-RM - ACTIVIDADES DEL EQUIPO DE RELEASE MANAGMENT</v>
      </c>
      <c r="D156" s="15" t="str">
        <v>2 - ADMINISTRACIÓN Y MANTENIMIENTO DE INFRAESTRUCTURA</v>
      </c>
      <c r="E156" s="15" t="str">
        <v>Especialista Configuración / Desarrollador B.O.</v>
      </c>
      <c r="F156" s="15" t="str">
        <v>rafael</v>
      </c>
      <c r="G156" s="15" t="str">
        <v>RAFAEL VEGA ALVAREZ</v>
      </c>
      <c r="H156" s="15">
        <v>46113</v>
      </c>
      <c r="I156" s="15" t="str">
        <v>RM INF Id.Sop_Infraestruc:_x000D_
1. Revisión de respaldos en servidor BARMAN_x000D_
2. Chequeo de estado de conexiones de EDB en ambiente de Producción en los servidores dba1, dba2 y dba3._x000D_
3. Revisión de log's de EDB y PGPool en los servidores dba1, dba2 y dba3._x000D_
4. Chequeo del estado del EBD's y PGPool._x000D_
5. Tabulación de consumo de espacio de archivos WAL. _x000D_
6. Tabulación de consumo de espacio de la BD estadísticas y images_workflow.</v>
      </c>
      <c r="J156" s="15">
        <v>0.75</v>
      </c>
    </row>
    <row r="157" spans="1:10">
      <c r="A157" s="15" t="str">
        <v>579-203-REDIMED</v>
      </c>
      <c r="B157" s="15" t="str">
        <v>REDIMED</v>
      </c>
      <c r="C157" s="15" t="str">
        <v>500.1-RM - ACTIVIDADES DEL EQUIPO DE RELEASE MANAGMENT</v>
      </c>
      <c r="D157" s="15" t="str">
        <v>2 - ADMINISTRACIÓN Y MANTENIMIENTO DE INFRAESTRUCTURA</v>
      </c>
      <c r="E157" s="15" t="str">
        <v>Especialista Configuración / Desarrollador B.O.</v>
      </c>
      <c r="F157" s="15" t="str">
        <v>rafael</v>
      </c>
      <c r="G157" s="15" t="str">
        <v>RAFAEL VEGA ALVAREZ</v>
      </c>
      <c r="H157" s="15">
        <v>46113</v>
      </c>
      <c r="I157" s="15" t="str">
        <v>RM INF Id.Sop_Infraestruc:_x000D_
Se atiende solicitud de César Matarrita para apoyo con un servidor en REDIMED. Al final no se recibe la llamada, pero si se estuvo al pendiente y se realizó la conexión al VPN de la CCSS.</v>
      </c>
      <c r="J157" s="15">
        <v>0.25</v>
      </c>
    </row>
    <row r="158" spans="1:10">
      <c r="A158" s="15" t="str">
        <v>579-203-REDIMED</v>
      </c>
      <c r="B158" s="15" t="str">
        <v>REDIMED</v>
      </c>
      <c r="C158" s="15" t="str">
        <v>500.1-RM - ACTIVIDADES DEL EQUIPO DE RELEASE MANAGMENT</v>
      </c>
      <c r="D158" s="15" t="str">
        <v>2 - ADMINISTRACIÓN Y MANTENIMIENTO DE INFRAESTRUCTURA</v>
      </c>
      <c r="E158" s="15" t="str">
        <v>Especialista Configuración / Desarrollador B.O.</v>
      </c>
      <c r="F158" s="15" t="str">
        <v>rafael</v>
      </c>
      <c r="G158" s="15" t="str">
        <v>RAFAEL VEGA ALVAREZ</v>
      </c>
      <c r="H158" s="15">
        <v>46118</v>
      </c>
      <c r="I158" s="15" t="str">
        <v>RM INF Id.Monit_inf:_x000D_
1. Revisión de respaldos en servidor BARMAN. _x000D_
2. Chequeo de estado de conexiones de EDB en ambiente de _x000D_
3. Revisión de log's de EDB y PGPool en los servidores dba1, dba2 y dba3._x000D_
4. Chequeo del estado del EBD's y PGPool._x000D_
5. Tabulación de consumo de espacio de archivos WAL. _x000D_
6. Tabulación de consumo de espacio de la BD estadísticas y images_workflow.</v>
      </c>
      <c r="J158" s="15">
        <v>1</v>
      </c>
    </row>
    <row r="159" spans="1:10">
      <c r="A159" s="15" t="str">
        <v>579-203-REDIMED</v>
      </c>
      <c r="B159" s="15" t="str">
        <v>REDIMED</v>
      </c>
      <c r="C159" s="15" t="str">
        <v>500.1-RM - ACTIVIDADES DEL EQUIPO DE RELEASE MANAGMENT</v>
      </c>
      <c r="D159" s="15" t="str">
        <v>2 - ADMINISTRACIÓN Y MANTENIMIENTO DE INFRAESTRUCTURA</v>
      </c>
      <c r="E159" s="15" t="str">
        <v>Especialista Configuración / Desarrollador B.O.</v>
      </c>
      <c r="F159" s="15" t="str">
        <v>rafael</v>
      </c>
      <c r="G159" s="15" t="str">
        <v>RAFAEL VEGA ALVAREZ</v>
      </c>
      <c r="H159" s="15">
        <v>46119</v>
      </c>
      <c r="I159" s="15" t="str">
        <v>RM INF Id.Monit_inf:_x000D_
1. Revisión de respaldos en servidor BARMAN_x000D_
2. Chequeo de estado de conexiones de EDB en ambiente de Producción en los servidores dba1, dba2 y dba3._x000D_
3. Revisión de log's de EDB y PGPool en los servidores dba1, dba2 y dba3._x000D_
4. Chequeo del estado del EBD's y PGPool._x000D_
5. Tabulación de consumo de espacio de archivos WAL. _x000D_
6. Tabulación de consumo de espacio de la BD estadísticas y images_workflow.</v>
      </c>
      <c r="J159" s="15">
        <v>0.5</v>
      </c>
    </row>
    <row r="160" spans="1:10">
      <c r="A160" s="15" t="str">
        <v>579-203-REDIMED</v>
      </c>
      <c r="B160" s="15" t="str">
        <v>REDIMED</v>
      </c>
      <c r="C160" s="15" t="str">
        <v>500.1-RM - ACTIVIDADES DEL EQUIPO DE RELEASE MANAGMENT</v>
      </c>
      <c r="D160" s="15" t="str">
        <v>2 - ADMINISTRACIÓN Y MANTENIMIENTO DE INFRAESTRUCTURA</v>
      </c>
      <c r="E160" s="15" t="str">
        <v>Especialista Configuración / Desarrollador B.O.</v>
      </c>
      <c r="F160" s="15" t="str">
        <v>rafael</v>
      </c>
      <c r="G160" s="15" t="str">
        <v>RAFAEL VEGA ALVAREZ</v>
      </c>
      <c r="H160" s="15">
        <v>46120</v>
      </c>
      <c r="I160" s="15" t="str">
        <v>RM INF Id.Monit_inf:_x000D_
1. Revisión de respaldos en servidor BARMAN_x000D_
2. Chequeo de estado de conexiones de EDB en ambiente de Producción en los servidores dba1, dba2 y dba3._x000D_
3. Revisión de log's de EDB y PGPool en los servidores dba1, dba2 y dba3._x000D_
4. Chequeo del estado del EBD's y PGPool._x000D_
5. Tabulación de consumo de espacio de archivos WAL. _x000D_
6. Tabulación de consumo de espacio de la BD estadísticas y images_workflow._x000D_
_x000D_
7. Se generan respaldos de las BD's SQLAnywhere del BO y el DS.</v>
      </c>
      <c r="J160" s="15">
        <v>0.75</v>
      </c>
    </row>
    <row r="161" spans="1:10">
      <c r="A161" s="15" t="str">
        <v>579-203-REDIMED</v>
      </c>
      <c r="B161" s="15" t="str">
        <v>REDIMED</v>
      </c>
      <c r="C161" s="15" t="str">
        <v>500.1-RM - ACTIVIDADES DEL EQUIPO DE RELEASE MANAGMENT</v>
      </c>
      <c r="D161" s="15" t="str">
        <v>2 - ADMINISTRACIÓN Y MANTENIMIENTO DE INFRAESTRUCTURA</v>
      </c>
      <c r="E161" s="15" t="str">
        <v>Especialista Configuración / Desarrollador B.O.</v>
      </c>
      <c r="F161" s="15" t="str">
        <v>rafael</v>
      </c>
      <c r="G161" s="15" t="str">
        <v>RAFAEL VEGA ALVAREZ</v>
      </c>
      <c r="H161" s="15">
        <v>46121</v>
      </c>
      <c r="I161" s="15" t="str">
        <v>RM INF Id.Monit_inf:_x000D_
1. Revisión de respaldos en servidor BARMAN_x000D_
2. Chequeo de estado de conexiones de EDB en ambiente de Producción en los servidores dba1, dba2 y dba3. _x000D_
3. Revisión de log's de EDB y PGPool en los servidores dba1, dba2 y dba3._x000D_
4. Chequeo del estado del EBD's y PGPool._x000D_
5. Tabulación de consumo de espacio de archivos WAL. _x000D_
6. Tabulación de consumo de espacio de la BD estadísticas y images_workflow.</v>
      </c>
      <c r="J161" s="15">
        <v>0.5</v>
      </c>
    </row>
    <row r="162" spans="1:10">
      <c r="A162" s="15" t="str">
        <v>579-203-REDIMED</v>
      </c>
      <c r="B162" s="15" t="str">
        <v>REDIMED</v>
      </c>
      <c r="C162" s="15" t="str">
        <v>500.1-RM - ACTIVIDADES DEL EQUIPO DE RELEASE MANAGMENT</v>
      </c>
      <c r="D162" s="15" t="str">
        <v>2 - ADMINISTRACIÓN Y MANTENIMIENTO DE INFRAESTRUCTURA</v>
      </c>
      <c r="E162" s="15" t="str">
        <v>Especialista Configuración / Desarrollador B.O.</v>
      </c>
      <c r="F162" s="15" t="str">
        <v>rafael</v>
      </c>
      <c r="G162" s="15" t="str">
        <v>RAFAEL VEGA ALVAREZ</v>
      </c>
      <c r="H162" s="15">
        <v>46122</v>
      </c>
      <c r="I162" s="15" t="str">
        <v>RM INF Id.Monit_inf:_x000D_
1. Revisión de respaldos en servidor BARMAN_x000D_
2. Chequeo de estado de conexiones de EDB en ambiente de Producción en los servidores dba1, dba2 y dba3. _x000D_
3. Revisión de log's de EDB y PGPool en los servidores dba1, dba2 y dba3._x000D_
4. Chequeo del estado del EBD's y PGPool._x000D_
5. Tabulación de consumo de espacio de archivos WAL. _x000D_
6. Tabulación de consumo de espacio de la BD estadísticas y images_workflow.</v>
      </c>
      <c r="J162" s="15">
        <v>0.5</v>
      </c>
    </row>
    <row r="163" spans="1:10">
      <c r="A163" s="15" t="str">
        <v>579-203-REDIMED</v>
      </c>
      <c r="B163" s="15" t="str">
        <v>REDIMED</v>
      </c>
      <c r="C163" s="15" t="str">
        <v>500.1-RM - ACTIVIDADES DEL EQUIPO DE RELEASE MANAGMENT</v>
      </c>
      <c r="D163" s="15" t="str">
        <v>2 - ADMINISTRACIÓN Y MANTENIMIENTO DE INFRAESTRUCTURA</v>
      </c>
      <c r="E163" s="15" t="str">
        <v>Especialista Configuración / Desarrollador B.O.</v>
      </c>
      <c r="F163" s="15" t="str">
        <v>rafael</v>
      </c>
      <c r="G163" s="15" t="str">
        <v>RAFAEL VEGA ALVAREZ</v>
      </c>
      <c r="H163" s="15">
        <v>46125</v>
      </c>
      <c r="I163" s="15" t="str">
        <v>RM INF Id.Monit_inf:_x000D_
1. Revisión de respaldos en servidor BARMAN. _x000D_
2. Chequeo de estado de conexiones de EDB en ambiente de _x000D_
3. Revisión de log's de EDB y PGPool en los servidores dba1, dba2 y dba3._x000D_
4. Chequeo del estado del EBD's y PGPool._x000D_
5. Tabulación de consumo de espacio de archivos WAL. _x000D_
6. Tabulación de consumo de espacio de la BD estadísticas y images_workflow.</v>
      </c>
      <c r="J163" s="15">
        <v>0.75</v>
      </c>
    </row>
    <row r="164" spans="1:10">
      <c r="A164" s="15" t="str">
        <v>579-203-REDIMED</v>
      </c>
      <c r="B164" s="15" t="str">
        <v>REDIMED</v>
      </c>
      <c r="C164" s="15" t="str">
        <v>500.1-RM - ACTIVIDADES DEL EQUIPO DE RELEASE MANAGMENT</v>
      </c>
      <c r="D164" s="15" t="str">
        <v>2 - ADMINISTRACIÓN Y MANTENIMIENTO DE INFRAESTRUCTURA</v>
      </c>
      <c r="E164" s="15" t="str">
        <v>Especialista Configuración / Desarrollador B.O.</v>
      </c>
      <c r="F164" s="15" t="str">
        <v>rafael</v>
      </c>
      <c r="G164" s="15" t="str">
        <v>RAFAEL VEGA ALVAREZ</v>
      </c>
      <c r="H164" s="15">
        <v>46126</v>
      </c>
      <c r="I164" s="15" t="str">
        <v>RM INF Id.Monit_inf:_x000D_
1. Revisión de respaldos en servidor BARMAN_x000D_
2. Chequeo de estado de conexiones de EDB en ambiente de Producción en los servidores dba1, dba2 y dba3._x000D_
3. Revisión de log's de EDB y PGPool en los servidores dba1, dba2 y dba3._x000D_
4. Chequeo del estado del EBD's y PGPool._x000D_
5. Tabulación de consumo de espacio de archivos WAL. _x000D_
6. Tabulación de consumo de espacio de la BD estadísticas y images_workflow._x000D_
_x000D_
7. Se generan respaldos de las BD's SQLAnywhere del BO y el DS.</v>
      </c>
      <c r="J164" s="15">
        <v>0.75</v>
      </c>
    </row>
    <row r="165" spans="1:10">
      <c r="A165" s="15" t="str">
        <v>579-203-REDIMED</v>
      </c>
      <c r="B165" s="15" t="str">
        <v>REDIMED</v>
      </c>
      <c r="C165" s="15" t="str">
        <v>500.1-RM - ACTIVIDADES DEL EQUIPO DE RELEASE MANAGMENT</v>
      </c>
      <c r="D165" s="15" t="str">
        <v>2 - ADMINISTRACIÓN Y MANTENIMIENTO DE INFRAESTRUCTURA</v>
      </c>
      <c r="E165" s="15" t="str">
        <v>Especialista Configuración / Desarrollador B.O.</v>
      </c>
      <c r="F165" s="15" t="str">
        <v>rafael</v>
      </c>
      <c r="G165" s="15" t="str">
        <v>RAFAEL VEGA ALVAREZ</v>
      </c>
      <c r="H165" s="15">
        <v>46127</v>
      </c>
      <c r="I165" s="15" t="str">
        <v>RM INF Id.Monit_inf:_x000D_
1. Revisión de respaldos en servidorsrv03soinresp. _x000D_
2. Desmontado de disco USB. _x000D_
3. Solicitar cambio del disco._x000D_
a.  Se cambia disco de LUNES por MARTES._x000D_
b. Se cambia disco de MARTES por MIERCOLES._x000D_
4. Montado del disco USB. _x000D_
5. Revisión de copiado de respaldos para subida a bucket._x000D_
6. Revisión del proceso de copiado de archivos al bucket en OCI._x000D_
7. Llenado de registro</v>
      </c>
      <c r="J165" s="15">
        <v>0.5</v>
      </c>
    </row>
    <row r="166" spans="1:10">
      <c r="A166" s="15" t="str">
        <v>579-203-REDIMED</v>
      </c>
      <c r="B166" s="15" t="str">
        <v>REDIMED</v>
      </c>
      <c r="C166" s="15" t="str">
        <v>500.1-RM - ACTIVIDADES DEL EQUIPO DE RELEASE MANAGMENT</v>
      </c>
      <c r="D166" s="15" t="str">
        <v>2 - ADMINISTRACIÓN Y MANTENIMIENTO DE INFRAESTRUCTURA</v>
      </c>
      <c r="E166" s="15" t="str">
        <v>Especialista Configuración / Desarrollador B.O.</v>
      </c>
      <c r="F166" s="15" t="str">
        <v>rafael</v>
      </c>
      <c r="G166" s="15" t="str">
        <v>RAFAEL VEGA ALVAREZ</v>
      </c>
      <c r="H166" s="15">
        <v>46128</v>
      </c>
      <c r="I166" s="15" t="str">
        <v>RM INF Id.Monit_inf:_x000D_
1. Revisión de respaldos en servidor BARMAN_x000D_
2. Chequeo de estado de conexiones de EDB en ambiente de Producción en los servidores dba1, dba2 y dba3. _x000D_
3. Revisión de log's de EDB y PGPool en los servidores dba1, dba2 y dba3._x000D_
4. Chequeo del estado del EBD's y PGPool._x000D_
5. Tabulación de consumo de espacio de archivos WAL. _x000D_
6. Tabulación de consumo de espacio de la BD estadísticas y images_workflow.</v>
      </c>
      <c r="J166" s="15">
        <v>0.5</v>
      </c>
    </row>
    <row r="167" spans="1:10">
      <c r="A167" s="15" t="str">
        <v>579-203-REDIMED</v>
      </c>
      <c r="B167" s="15" t="str">
        <v>REDIMED</v>
      </c>
      <c r="C167" s="15" t="str">
        <v>500.1-RM - ACTIVIDADES DEL EQUIPO DE RELEASE MANAGMENT</v>
      </c>
      <c r="D167" s="15" t="str">
        <v>2 - ADMINISTRACIÓN Y MANTENIMIENTO DE INFRAESTRUCTURA</v>
      </c>
      <c r="E167" s="15" t="str">
        <v>Especialista Configuración / Desarrollador B.O.</v>
      </c>
      <c r="F167" s="15" t="str">
        <v>rafael</v>
      </c>
      <c r="G167" s="15" t="str">
        <v>RAFAEL VEGA ALVAREZ</v>
      </c>
      <c r="H167" s="15">
        <v>46129</v>
      </c>
      <c r="I167" s="15" t="str">
        <v>RM INF Id.Monit_inf:_x000D_
1. Revisión de respaldos en servidor BARMAN_x000D_
2. Chequeo de estado de conexiones de EDB en ambiente de Producción en los servidores dba1, dba2 y dba3. _x000D_
3. Revisión de log's de EDB y PGPool en los servidores dba1, dba2 y dba3._x000D_
4. Chequeo del estado del EBD's y PGPool._x000D_
5. Tabulación de consumo de espacio de archivos WAL. _x000D_
6. Tabulación de consumo de espacio de la BD estadísticas y images_workflow.</v>
      </c>
      <c r="J167" s="15">
        <v>0.75</v>
      </c>
    </row>
    <row r="168" spans="1:10">
      <c r="A168" s="15" t="str">
        <v>579-203-REDIMED</v>
      </c>
      <c r="B168" s="15" t="str">
        <v>REDIMED</v>
      </c>
      <c r="C168" s="15" t="str">
        <v>500.1-RM - ACTIVIDADES DEL EQUIPO DE RELEASE MANAGMENT</v>
      </c>
      <c r="D168" s="15" t="str">
        <v>2 - ADMINISTRACIÓN Y MANTENIMIENTO DE INFRAESTRUCTURA</v>
      </c>
      <c r="E168" s="15" t="str">
        <v>Especialista Configuración / Desarrollador B.O.</v>
      </c>
      <c r="F168" s="15" t="str">
        <v>rafael</v>
      </c>
      <c r="G168" s="15" t="str">
        <v>RAFAEL VEGA ALVAREZ</v>
      </c>
      <c r="H168" s="15">
        <v>46132</v>
      </c>
      <c r="I168" s="15" t="str">
        <v>RM INF Id.Monit_inf:_x000D_
1. Revisión de respaldos en servidor BARMAN. _x000D_
2. Chequeo de estado de conexiones de EDB en ambiente de _x000D_
3. Revisión de log's de EDB y PGPool en los servidores dba1, dba2 y dba3._x000D_
4. Chequeo del estado del EBD's y PGPool._x000D_
5. Tabulación de consumo de espacio de archivos WAL. _x000D_
6. Tabulación de consumo de espacio de la BD estadísticas y images_workflow.</v>
      </c>
      <c r="J168" s="15">
        <v>0.75</v>
      </c>
    </row>
    <row r="169" spans="1:10">
      <c r="A169" s="15" t="str">
        <v>579-203-REDIMED</v>
      </c>
      <c r="B169" s="15" t="str">
        <v>REDIMED</v>
      </c>
      <c r="C169" s="15" t="str">
        <v>500.1-RM - ACTIVIDADES DEL EQUIPO DE RELEASE MANAGMENT</v>
      </c>
      <c r="D169" s="15" t="str">
        <v>2 - ADMINISTRACIÓN Y MANTENIMIENTO DE INFRAESTRUCTURA</v>
      </c>
      <c r="E169" s="15" t="str">
        <v>Especialista Configuración / Desarrollador B.O.</v>
      </c>
      <c r="F169" s="15" t="str">
        <v>rafael</v>
      </c>
      <c r="G169" s="15" t="str">
        <v>RAFAEL VEGA ALVAREZ</v>
      </c>
      <c r="H169" s="15">
        <v>46133</v>
      </c>
      <c r="I169" s="15" t="str">
        <v xml:space="preserve">RM INF Id.Monit_inf:_x000D_
1. Revisión de respaldos en servidor BARMAN_x000D_
2. Chequeo de estado de conexiones de EDB en ambiente de Producción en los servidores dba1, dba2 y dba3._x000D_
3. Revisión de log's de EDB y PGPool en los servidores dba1, dba2 y dba3._x000D_
4. Chequeo del estado del EBD's y PGPool._x000D_
5. Tabulación de consumo de espacio de archivos WAL. _x000D_
6. Tabulación de consumo de espacio de la BD estadísticas y images_workflow._x000D_
_x000D_
7. Se generan respaldos de las BD's SQLAnywhere del BO y el DS._x000D_
</v>
      </c>
      <c r="J169" s="15">
        <v>0.75</v>
      </c>
    </row>
    <row r="170" spans="1:10">
      <c r="A170" s="15" t="str">
        <v>579-203-REDIMED</v>
      </c>
      <c r="B170" s="15" t="str">
        <v>REDIMED</v>
      </c>
      <c r="C170" s="15" t="str">
        <v>500.1-RM - ACTIVIDADES DEL EQUIPO DE RELEASE MANAGMENT</v>
      </c>
      <c r="D170" s="15" t="str">
        <v>2 - ADMINISTRACIÓN Y MANTENIMIENTO DE INFRAESTRUCTURA</v>
      </c>
      <c r="E170" s="15" t="str">
        <v>Especialista Configuración / Desarrollador B.O.</v>
      </c>
      <c r="F170" s="15" t="str">
        <v>rafael</v>
      </c>
      <c r="G170" s="15" t="str">
        <v>RAFAEL VEGA ALVAREZ</v>
      </c>
      <c r="H170" s="15">
        <v>46134</v>
      </c>
      <c r="I170" s="15" t="str">
        <v xml:space="preserve">RM INF Id.Monit_inf:_x000D_
1. Revisión de respaldos en servidor BARMAN_x000D_
2. Chequeo de estado de conexiones de EDB en ambiente de Producción en los servidores dba1, dba2 y dba3._x000D_
3. Revisión de log's de EDB y PGPool en los servidores dba1, dba2 y dba3._x000D_
4. Chequeo del estado del EBD's y PGPool._x000D_
5. Tabulación de consumo de espacio de archivos WAL. _x000D_
6. Tabulación de consumo de espacio de la BD estadísticas y images_workflow._x000D_
</v>
      </c>
      <c r="J170" s="15">
        <v>0.5</v>
      </c>
    </row>
    <row r="171" spans="1:10">
      <c r="A171" s="15" t="str">
        <v>579-203-REDIMED</v>
      </c>
      <c r="B171" s="15" t="str">
        <v>REDIMED</v>
      </c>
      <c r="C171" s="15" t="str">
        <v>500.1-RM - ACTIVIDADES DEL EQUIPO DE RELEASE MANAGMENT</v>
      </c>
      <c r="D171" s="15" t="str">
        <v>2 - ADMINISTRACIÓN Y MANTENIMIENTO DE INFRAESTRUCTURA</v>
      </c>
      <c r="E171" s="15" t="str">
        <v>Especialista Configuración / Desarrollador B.O.</v>
      </c>
      <c r="F171" s="15" t="str">
        <v>rafael</v>
      </c>
      <c r="G171" s="15" t="str">
        <v>RAFAEL VEGA ALVAREZ</v>
      </c>
      <c r="H171" s="15">
        <v>46135</v>
      </c>
      <c r="I171" s="15" t="str">
        <v>RM INF Id.Monit_inf:_x000D_
1. Revisión de respaldos en servidor BARMAN_x000D_
2. Chequeo de estado de conexiones de EDB en ambiente de Producción en los servidores dba1, dba2 y dba3. _x000D_
3. Revisión de log's de EDB y PGPool en los servidores dba1, dba2 y dba3._x000D_
4. Chequeo del estado del EBD's y PGPool._x000D_
5. Tabulación de consumo de espacio de archivos WAL. _x000D_
6. Tabulación de consumo de espacio de la BD estadísticas y images_workflow.</v>
      </c>
      <c r="J171" s="15">
        <v>0.75</v>
      </c>
    </row>
    <row r="172" spans="1:10">
      <c r="A172" s="15" t="str">
        <v>579-203-REDIMED</v>
      </c>
      <c r="B172" s="15" t="str">
        <v>REDIMED</v>
      </c>
      <c r="C172" s="15" t="str">
        <v>500.1-RM - ACTIVIDADES DEL EQUIPO DE RELEASE MANAGMENT</v>
      </c>
      <c r="D172" s="15" t="str">
        <v>2 - ADMINISTRACIÓN Y MANTENIMIENTO DE INFRAESTRUCTURA</v>
      </c>
      <c r="E172" s="15" t="str">
        <v>Especialista Configuración / Desarrollador B.O.</v>
      </c>
      <c r="F172" s="15" t="str">
        <v>rafael</v>
      </c>
      <c r="G172" s="15" t="str">
        <v>RAFAEL VEGA ALVAREZ</v>
      </c>
      <c r="H172" s="15">
        <v>46136</v>
      </c>
      <c r="I172" s="15" t="str">
        <v>RM INF Id.Monit_inf:_x000D_
1. Revisión de respaldos en servidor BARMAN_x000D_
2. Chequeo de estado de conexiones de EDB en ambiente de Producción en los servidores dba1, dba2 y dba3. _x000D_
3. Revisión de log's de EDB y PGPool en los servidores dba1, dba2 y dba3._x000D_
4. Chequeo del estado del EBD's y PGPool._x000D_
5. Tabulación de consumo de espacio de archivos WAL. _x000D_
6. Tabulación de consumo de espacio de la BD estadísticas y images_workflow.</v>
      </c>
      <c r="J172" s="15">
        <v>0.5</v>
      </c>
    </row>
    <row r="173" spans="1:10">
      <c r="A173" s="15" t="str">
        <v>579-203-REDIMED</v>
      </c>
      <c r="B173" s="15" t="str">
        <v>REDIMED</v>
      </c>
      <c r="C173" s="15" t="str">
        <v>500.1-RM - ACTIVIDADES DEL EQUIPO DE RELEASE MANAGMENT</v>
      </c>
      <c r="D173" s="15" t="str">
        <v>2 - ADMINISTRACIÓN Y MANTENIMIENTO DE INFRAESTRUCTURA</v>
      </c>
      <c r="E173" s="15" t="str">
        <v>Especialista Configuración / Desarrollador B.O.</v>
      </c>
      <c r="F173" s="15" t="str">
        <v>rafael</v>
      </c>
      <c r="G173" s="15" t="str">
        <v>RAFAEL VEGA ALVAREZ</v>
      </c>
      <c r="H173" s="15">
        <v>46139</v>
      </c>
      <c r="I173" s="15" t="str">
        <v>RM INF Id.Monit_inf:_x000D_
1. Revisión de respaldos en servidor BARMAN. _x000D_
2. Chequeo de estado de conexiones de EDB en ambiente de _x000D_
3. Revisión de log's de EDB y PGPool en los servidores dba1, dba2 y dba3._x000D_
4. Chequeo del estado del EBD's y PGPool._x000D_
5. Tabulación de consumo de espacio de archivos WAL. _x000D_
6. Tabulación de consumo de espacio de la BD estadísticas y images_workflow.</v>
      </c>
      <c r="J173" s="15">
        <v>0.5</v>
      </c>
    </row>
    <row r="174" spans="1:10">
      <c r="A174" s="15" t="str">
        <v>579-203-REDIMED</v>
      </c>
      <c r="B174" s="15" t="str">
        <v>REDIMED</v>
      </c>
      <c r="C174" s="15" t="str">
        <v>500.1-RM - ACTIVIDADES DEL EQUIPO DE RELEASE MANAGMENT</v>
      </c>
      <c r="D174" s="15" t="str">
        <v>2 - ADMINISTRACIÓN Y MANTENIMIENTO DE INFRAESTRUCTURA</v>
      </c>
      <c r="E174" s="15" t="str">
        <v>Especialista Configuración / Desarrollador B.O.</v>
      </c>
      <c r="F174" s="15" t="str">
        <v>rafael</v>
      </c>
      <c r="G174" s="15" t="str">
        <v>RAFAEL VEGA ALVAREZ</v>
      </c>
      <c r="H174" s="15">
        <v>46140</v>
      </c>
      <c r="I174" s="15" t="str">
        <v>RM INF Id.Monit_inf:_x000D_
1. Revisión de respaldos en servidor BARMAN_x000D_
2. Chequeo de estado de conexiones de EDB en ambiente de Producción en los servidores dba1, dba2 y dba3._x000D_
3. Revisión de log's de EDB y PGPool en los servidores dba1, dba2 y dba3._x000D_
4. Chequeo del estado del EBD's y PGPool._x000D_
5. Tabulación de consumo de espacio de archivos WAL. _x000D_
6. Tabulación de consumo de espacio de la BD estadísticas y images_workflow.</v>
      </c>
      <c r="J174" s="15">
        <v>0.5</v>
      </c>
    </row>
    <row r="175" spans="1:10">
      <c r="A175" s="15" t="str">
        <v>579-203-REDIMED</v>
      </c>
      <c r="B175" s="15" t="str">
        <v>REDIMED</v>
      </c>
      <c r="C175" s="15" t="str">
        <v>500.1-RM - ACTIVIDADES DEL EQUIPO DE RELEASE MANAGMENT</v>
      </c>
      <c r="D175" s="15" t="str">
        <v>2 - ADMINISTRACIÓN Y MANTENIMIENTO DE INFRAESTRUCTURA</v>
      </c>
      <c r="E175" s="15" t="str">
        <v>Especialista Configuración / Desarrollador B.O.</v>
      </c>
      <c r="F175" s="15" t="str">
        <v>rafael</v>
      </c>
      <c r="G175" s="15" t="str">
        <v>RAFAEL VEGA ALVAREZ</v>
      </c>
      <c r="H175" s="15">
        <v>46141</v>
      </c>
      <c r="I175" s="15" t="str">
        <v xml:space="preserve">RM INF Id.Monit_inf:_x000D_
1. Revisión de respaldos en servidor BARMAN_x000D_
2. Chequeo de estado de conexiones de EDB en ambiente de Producción en los servidores dba1, dba2 y dba3._x000D_
3. Revisión de log's de EDB y PGPool en los servidores dba1, dba2 y dba3._x000D_
4. Chequeo del estado del EBD's y PGPool._x000D_
5. Tabulación de consumo de espacio de archivos WAL. _x000D_
6. Tabulación de consumo de espacio de la BD estadísticas y images_workflow._x000D_
</v>
      </c>
      <c r="J175" s="15">
        <v>0.5</v>
      </c>
    </row>
    <row r="176" spans="1:10">
      <c r="A176" s="15" t="str">
        <v>579-203-REDIMED</v>
      </c>
      <c r="B176" s="15" t="str">
        <v>REDIMED</v>
      </c>
      <c r="C176" s="15" t="str">
        <v>500.1-RM - ACTIVIDADES DEL EQUIPO DE RELEASE MANAGMENT</v>
      </c>
      <c r="D176" s="15" t="str">
        <v>2 - ADMINISTRACIÓN Y MANTENIMIENTO DE INFRAESTRUCTURA</v>
      </c>
      <c r="E176" s="15" t="str">
        <v>Especialista Configuración / Desarrollador B.O.</v>
      </c>
      <c r="F176" s="15" t="str">
        <v>rafael</v>
      </c>
      <c r="G176" s="15" t="str">
        <v>RAFAEL VEGA ALVAREZ</v>
      </c>
      <c r="H176" s="15">
        <v>46142</v>
      </c>
      <c r="I176" s="15" t="str">
        <v>RM INF Id.Monit_inf:_x000D_
1. Revisión de respaldos en servidor BARMAN_x000D_
2. Chequeo de estado de conexiones de EDB en ambiente de Producción en los servidores dba1, dba2 y dba3. _x000D_
3. Revisión de log's de EDB y PGPool en los servidores dba1, dba2 y dba3._x000D_
4. Chequeo del estado del EBD's y PGPool._x000D_
5. Tabulación de consumo de espacio de archivos WAL. _x000D_
6. Tabulación de consumo de espacio de la BD estadísticas y images_workflow.</v>
      </c>
      <c r="J176" s="15">
        <v>0.5</v>
      </c>
    </row>
    <row r="177" spans="1:10">
      <c r="A177" s="15" t="str">
        <v>579-203-REDIMED</v>
      </c>
      <c r="B177" s="15" t="str">
        <v>REDIMED</v>
      </c>
      <c r="C177" s="15" t="str">
        <v>500.1-RM - ACTIVIDADES DEL EQUIPO DE RELEASE MANAGMENT</v>
      </c>
      <c r="D177" s="15" t="str">
        <v>3 - GESTIÓN DE BASES DE DATOS</v>
      </c>
      <c r="E177" s="15" t="str">
        <v>Especialista Configuración / Desarrollador B.O.</v>
      </c>
      <c r="F177" s="15" t="str">
        <v>rafael</v>
      </c>
      <c r="G177" s="15" t="str">
        <v>RAFAEL VEGA ALVAREZ</v>
      </c>
      <c r="H177" s="15">
        <v>46113</v>
      </c>
      <c r="I177" s="15" t="str">
        <v>RM BDS Id.Sop_BaseDatos:_x000D_
1. Extracción de uso por base de datos. _x000D_
2. Extracción de uso por tabla de la base de datos estadisticas.</v>
      </c>
      <c r="J177" s="15">
        <v>0.5</v>
      </c>
    </row>
    <row r="178" spans="1:10">
      <c r="A178" s="15" t="str">
        <v>579-203-REDIMED</v>
      </c>
      <c r="B178" s="15" t="str">
        <v>REDIMED</v>
      </c>
      <c r="C178" s="15" t="str">
        <v>500.1-RM - ACTIVIDADES DEL EQUIPO DE RELEASE MANAGMENT</v>
      </c>
      <c r="D178" s="15" t="str">
        <v>3 - GESTIÓN DE BASES DE DATOS</v>
      </c>
      <c r="E178" s="15" t="str">
        <v>Especialista Configuración / Desarrollador B.O.</v>
      </c>
      <c r="F178" s="15" t="str">
        <v>rafael</v>
      </c>
      <c r="G178" s="15" t="str">
        <v>RAFAEL VEGA ALVAREZ</v>
      </c>
      <c r="H178" s="15">
        <v>46119</v>
      </c>
      <c r="I178" s="15" t="str">
        <v>RM BDS Id.Sop_BaseDatos:_x000D_
1. Extracción de uso por base de datos. _x000D_
2. Extracción de uso por tabla de la base de datos estadisticas. _x000D_
_x000D_
a. Se saca información de jueves, viernes, sábado, domingo, lunes, martes.</v>
      </c>
      <c r="J178" s="15">
        <v>0.75</v>
      </c>
    </row>
    <row r="179" spans="1:10">
      <c r="A179" s="15" t="str">
        <v>579-203-REDIMED</v>
      </c>
      <c r="B179" s="15" t="str">
        <v>REDIMED</v>
      </c>
      <c r="C179" s="15" t="str">
        <v>500.1-RM - ACTIVIDADES DEL EQUIPO DE RELEASE MANAGMENT</v>
      </c>
      <c r="D179" s="15" t="str">
        <v>3 - GESTIÓN DE BASES DE DATOS</v>
      </c>
      <c r="E179" s="15" t="str">
        <v>Especialista Configuración / Desarrollador B.O.</v>
      </c>
      <c r="F179" s="15" t="str">
        <v>rafael</v>
      </c>
      <c r="G179" s="15" t="str">
        <v>RAFAEL VEGA ALVAREZ</v>
      </c>
      <c r="H179" s="15">
        <v>46120</v>
      </c>
      <c r="I179" s="15" t="str">
        <v>RM BDS Id.Sop_BaseDatos:_x000D_
1. Extracción de uso por base de datos. _x000D_
2. Extracción de uso por tabla de la base de datos estadisticas.</v>
      </c>
      <c r="J179" s="15">
        <v>0.5</v>
      </c>
    </row>
    <row r="180" spans="1:10">
      <c r="A180" s="15" t="str">
        <v>579-203-REDIMED</v>
      </c>
      <c r="B180" s="15" t="str">
        <v>REDIMED</v>
      </c>
      <c r="C180" s="15" t="str">
        <v>500.1-RM - ACTIVIDADES DEL EQUIPO DE RELEASE MANAGMENT</v>
      </c>
      <c r="D180" s="15" t="str">
        <v>3 - GESTIÓN DE BASES DE DATOS</v>
      </c>
      <c r="E180" s="15" t="str">
        <v>Especialista Configuración / Desarrollador B.O.</v>
      </c>
      <c r="F180" s="15" t="str">
        <v>rafael</v>
      </c>
      <c r="G180" s="15" t="str">
        <v>RAFAEL VEGA ALVAREZ</v>
      </c>
      <c r="H180" s="15">
        <v>46121</v>
      </c>
      <c r="I180" s="15" t="str">
        <v>RM BDS Id.Sop_BaseDatos:_x000D_
1. Extracción de uso por base de datos. _x000D_
2. Extracción de uso por tabla de la base de datos estadisticas.</v>
      </c>
      <c r="J180" s="15">
        <v>0.5</v>
      </c>
    </row>
    <row r="181" spans="1:10">
      <c r="A181" s="15" t="str">
        <v>579-203-REDIMED</v>
      </c>
      <c r="B181" s="15" t="str">
        <v>REDIMED</v>
      </c>
      <c r="C181" s="15" t="str">
        <v>500.1-RM - ACTIVIDADES DEL EQUIPO DE RELEASE MANAGMENT</v>
      </c>
      <c r="D181" s="15" t="str">
        <v>3 - GESTIÓN DE BASES DE DATOS</v>
      </c>
      <c r="E181" s="15" t="str">
        <v>Especialista Configuración / Desarrollador B.O.</v>
      </c>
      <c r="F181" s="15" t="str">
        <v>rafael</v>
      </c>
      <c r="G181" s="15" t="str">
        <v>RAFAEL VEGA ALVAREZ</v>
      </c>
      <c r="H181" s="15">
        <v>46122</v>
      </c>
      <c r="I181" s="15" t="str">
        <v>RM BDS Id.Sop_BaseDatos:_x000D_
1. Extracción de uso por base de datos. _x000D_
2. Extracción de uso por tabla de la base de datos estadisticas.</v>
      </c>
      <c r="J181" s="15">
        <v>0.75</v>
      </c>
    </row>
    <row r="182" spans="1:10">
      <c r="A182" s="15" t="str">
        <v>579-203-REDIMED</v>
      </c>
      <c r="B182" s="15" t="str">
        <v>REDIMED</v>
      </c>
      <c r="C182" s="15" t="str">
        <v>500.1-RM - ACTIVIDADES DEL EQUIPO DE RELEASE MANAGMENT</v>
      </c>
      <c r="D182" s="15" t="str">
        <v>3 - GESTIÓN DE BASES DE DATOS</v>
      </c>
      <c r="E182" s="15" t="str">
        <v>Especialista Configuración / Desarrollador B.O.</v>
      </c>
      <c r="F182" s="15" t="str">
        <v>rafael</v>
      </c>
      <c r="G182" s="15" t="str">
        <v>RAFAEL VEGA ALVAREZ</v>
      </c>
      <c r="H182" s="15">
        <v>46125</v>
      </c>
      <c r="I182" s="15" t="str">
        <v xml:space="preserve">RM BDS Id.Sop_BaseDatos:_x000D_
1. Extracción de uso por base de datos. (Se recopila y documenta información de sábado, domingo y lunes)_x000D_
2. Extracción de uso por tabla de la base de datos estadisticas. (Se recopila y documenta información de sábado, domingo y lunes)_x000D_
</v>
      </c>
      <c r="J182" s="15">
        <v>0.75</v>
      </c>
    </row>
    <row r="183" spans="1:10">
      <c r="A183" s="15" t="str">
        <v>579-203-REDIMED</v>
      </c>
      <c r="B183" s="15" t="str">
        <v>REDIMED</v>
      </c>
      <c r="C183" s="15" t="str">
        <v>500.1-RM - ACTIVIDADES DEL EQUIPO DE RELEASE MANAGMENT</v>
      </c>
      <c r="D183" s="15" t="str">
        <v>3 - GESTIÓN DE BASES DE DATOS</v>
      </c>
      <c r="E183" s="15" t="str">
        <v>Especialista Configuración / Desarrollador B.O.</v>
      </c>
      <c r="F183" s="15" t="str">
        <v>rafael</v>
      </c>
      <c r="G183" s="15" t="str">
        <v>RAFAEL VEGA ALVAREZ</v>
      </c>
      <c r="H183" s="15">
        <v>46126</v>
      </c>
      <c r="I183" s="15" t="str">
        <v>RM BDS Id.Sop_BaseDatos:_x000D_
1. Extracción de uso por base de datos. _x000D_
2. Extracción de uso por tabla de la base de datos estadisticas.</v>
      </c>
      <c r="J183" s="15">
        <v>0.5</v>
      </c>
    </row>
    <row r="184" spans="1:10">
      <c r="A184" s="15" t="str">
        <v>579-203-REDIMED</v>
      </c>
      <c r="B184" s="15" t="str">
        <v>REDIMED</v>
      </c>
      <c r="C184" s="15" t="str">
        <v>500.1-RM - ACTIVIDADES DEL EQUIPO DE RELEASE MANAGMENT</v>
      </c>
      <c r="D184" s="15" t="str">
        <v>3 - GESTIÓN DE BASES DE DATOS</v>
      </c>
      <c r="E184" s="15" t="str">
        <v>Especialista Configuración / Desarrollador B.O.</v>
      </c>
      <c r="F184" s="15" t="str">
        <v>rafael</v>
      </c>
      <c r="G184" s="15" t="str">
        <v>RAFAEL VEGA ALVAREZ</v>
      </c>
      <c r="H184" s="15">
        <v>46127</v>
      </c>
      <c r="I184" s="15" t="str">
        <v>RM BDS Id.Sop_BaseDatos:_x000D_
1. Extracción de uso por base de datos. _x000D_
2. Extracción de uso por tabla de la base de datos estadisticas.</v>
      </c>
      <c r="J184" s="15">
        <v>0.5</v>
      </c>
    </row>
    <row r="185" spans="1:10">
      <c r="A185" s="15" t="str">
        <v>579-203-REDIMED</v>
      </c>
      <c r="B185" s="15" t="str">
        <v>REDIMED</v>
      </c>
      <c r="C185" s="15" t="str">
        <v>500.1-RM - ACTIVIDADES DEL EQUIPO DE RELEASE MANAGMENT</v>
      </c>
      <c r="D185" s="15" t="str">
        <v>3 - GESTIÓN DE BASES DE DATOS</v>
      </c>
      <c r="E185" s="15" t="str">
        <v>Especialista Configuración / Desarrollador B.O.</v>
      </c>
      <c r="F185" s="15" t="str">
        <v>rafael</v>
      </c>
      <c r="G185" s="15" t="str">
        <v>RAFAEL VEGA ALVAREZ</v>
      </c>
      <c r="H185" s="15">
        <v>46128</v>
      </c>
      <c r="I185" s="15" t="str">
        <v xml:space="preserve">RM BDS Id.Sop_BaseDatos:_x000D_
1. Extracción de uso por base de datos. _x000D_
2. Extracción de uso por tabla de la base de datos estadisticas. _x000D_
</v>
      </c>
      <c r="J185" s="15">
        <v>0.5</v>
      </c>
    </row>
    <row r="186" spans="1:10">
      <c r="A186" s="15" t="str">
        <v>579-203-REDIMED</v>
      </c>
      <c r="B186" s="15" t="str">
        <v>REDIMED</v>
      </c>
      <c r="C186" s="15" t="str">
        <v>500.1-RM - ACTIVIDADES DEL EQUIPO DE RELEASE MANAGMENT</v>
      </c>
      <c r="D186" s="15" t="str">
        <v>3 - GESTIÓN DE BASES DE DATOS</v>
      </c>
      <c r="E186" s="15" t="str">
        <v>Especialista Configuración / Desarrollador B.O.</v>
      </c>
      <c r="F186" s="15" t="str">
        <v>rafael</v>
      </c>
      <c r="G186" s="15" t="str">
        <v>RAFAEL VEGA ALVAREZ</v>
      </c>
      <c r="H186" s="15">
        <v>46129</v>
      </c>
      <c r="I186" s="15" t="str">
        <v xml:space="preserve">RM BDS Id.Sop_BaseDatos:_x000D_
1. Extracción de uso por base de datos. _x000D_
2. Extracción de uso por tabla de la base de datos estadisticas. _x000D_
</v>
      </c>
      <c r="J186" s="15">
        <v>0.5</v>
      </c>
    </row>
    <row r="187" spans="1:10">
      <c r="A187" s="15" t="str">
        <v>579-203-REDIMED</v>
      </c>
      <c r="B187" s="15" t="str">
        <v>REDIMED</v>
      </c>
      <c r="C187" s="15" t="str">
        <v>500.1-RM - ACTIVIDADES DEL EQUIPO DE RELEASE MANAGMENT</v>
      </c>
      <c r="D187" s="15" t="str">
        <v>3 - GESTIÓN DE BASES DE DATOS</v>
      </c>
      <c r="E187" s="15" t="str">
        <v>Especialista Configuración / Desarrollador B.O.</v>
      </c>
      <c r="F187" s="15" t="str">
        <v>rafael</v>
      </c>
      <c r="G187" s="15" t="str">
        <v>RAFAEL VEGA ALVAREZ</v>
      </c>
      <c r="H187" s="15">
        <v>46132</v>
      </c>
      <c r="I187" s="15" t="str">
        <v xml:space="preserve">RM BDS Id.Sop_BaseDatos:_x000D_
1. Extracción de uso por base de datos. (Se recopila y documenta información de sábado, domingo y lunes)_x000D_
2. Extracción de uso por tabla de la base de datos estadisticas. (Se recopila y documenta información de sábado, domingo y lunes)_x000D_
</v>
      </c>
      <c r="J187" s="15">
        <v>0.75</v>
      </c>
    </row>
    <row r="188" spans="1:10">
      <c r="A188" s="15" t="str">
        <v>579-203-REDIMED</v>
      </c>
      <c r="B188" s="15" t="str">
        <v>REDIMED</v>
      </c>
      <c r="C188" s="15" t="str">
        <v>500.1-RM - ACTIVIDADES DEL EQUIPO DE RELEASE MANAGMENT</v>
      </c>
      <c r="D188" s="15" t="str">
        <v>3 - GESTIÓN DE BASES DE DATOS</v>
      </c>
      <c r="E188" s="15" t="str">
        <v>Especialista Configuración / Desarrollador B.O.</v>
      </c>
      <c r="F188" s="15" t="str">
        <v>rafael</v>
      </c>
      <c r="G188" s="15" t="str">
        <v>RAFAEL VEGA ALVAREZ</v>
      </c>
      <c r="H188" s="15">
        <v>46134</v>
      </c>
      <c r="I188" s="15" t="str">
        <v>RM BDS Id.Sop_BaseDatos:_x000D_
1. Extracción de uso por base de datos. _x000D_
2. Extracción de uso por tabla de la base de datos estadisticas. _x000D_
_x000D_
Martes y miércoles.</v>
      </c>
      <c r="J188" s="15">
        <v>0.75</v>
      </c>
    </row>
    <row r="189" spans="1:10">
      <c r="A189" s="15" t="str">
        <v>579-203-REDIMED</v>
      </c>
      <c r="B189" s="15" t="str">
        <v>REDIMED</v>
      </c>
      <c r="C189" s="15" t="str">
        <v>500.1-RM - ACTIVIDADES DEL EQUIPO DE RELEASE MANAGMENT</v>
      </c>
      <c r="D189" s="15" t="str">
        <v>3 - GESTIÓN DE BASES DE DATOS</v>
      </c>
      <c r="E189" s="15" t="str">
        <v>Especialista Configuración / Desarrollador B.O.</v>
      </c>
      <c r="F189" s="15" t="str">
        <v>rafael</v>
      </c>
      <c r="G189" s="15" t="str">
        <v>RAFAEL VEGA ALVAREZ</v>
      </c>
      <c r="H189" s="15">
        <v>46135</v>
      </c>
      <c r="I189" s="15" t="str">
        <v>RM BDS Id.Sop_BaseDatos:_x000D_
1. Extracción de uso por base de datos. _x000D_
2. Extracción de uso por tabla de la base de datos estadisticas.</v>
      </c>
      <c r="J189" s="15">
        <v>0.5</v>
      </c>
    </row>
    <row r="190" spans="1:10">
      <c r="A190" s="15" t="str">
        <v>579-203-REDIMED</v>
      </c>
      <c r="B190" s="15" t="str">
        <v>REDIMED</v>
      </c>
      <c r="C190" s="15" t="str">
        <v>500.1-RM - ACTIVIDADES DEL EQUIPO DE RELEASE MANAGMENT</v>
      </c>
      <c r="D190" s="15" t="str">
        <v>3 - GESTIÓN DE BASES DE DATOS</v>
      </c>
      <c r="E190" s="15" t="str">
        <v>Especialista Configuración / Desarrollador B.O.</v>
      </c>
      <c r="F190" s="15" t="str">
        <v>rafael</v>
      </c>
      <c r="G190" s="15" t="str">
        <v>RAFAEL VEGA ALVAREZ</v>
      </c>
      <c r="H190" s="15">
        <v>46136</v>
      </c>
      <c r="I190" s="15" t="str">
        <v xml:space="preserve">RM BDS Id.Sop_BaseDatos:_x000D_
1. Extracción de uso por base de datos. _x000D_
2. Extracción de uso por tabla de la base de datos estadisticas. _x000D_
</v>
      </c>
      <c r="J190" s="15">
        <v>0.5</v>
      </c>
    </row>
    <row r="191" spans="1:10">
      <c r="A191" s="15" t="str">
        <v>579-203-REDIMED</v>
      </c>
      <c r="B191" s="15" t="str">
        <v>REDIMED</v>
      </c>
      <c r="C191" s="15" t="str">
        <v>500.1-RM - ACTIVIDADES DEL EQUIPO DE RELEASE MANAGMENT</v>
      </c>
      <c r="D191" s="15" t="str">
        <v>3 - GESTIÓN DE BASES DE DATOS</v>
      </c>
      <c r="E191" s="15" t="str">
        <v>Especialista Configuración / Desarrollador B.O.</v>
      </c>
      <c r="F191" s="15" t="str">
        <v>rafael</v>
      </c>
      <c r="G191" s="15" t="str">
        <v>RAFAEL VEGA ALVAREZ</v>
      </c>
      <c r="H191" s="15">
        <v>46139</v>
      </c>
      <c r="I191" s="15" t="str">
        <v xml:space="preserve">RM BDS Id.Sop_BaseDatos:_x000D_
1. Extracción de uso por base de datos. (Se recopila y documenta información de sábado, domingo y lunes)_x000D_
2. Extracción de uso por tabla de la base de datos estadisticas. (Se recopila y documenta información de sábado, domingo y lunes)_x000D_
</v>
      </c>
      <c r="J191" s="15">
        <v>0.5</v>
      </c>
    </row>
    <row r="192" spans="1:10">
      <c r="A192" s="15" t="str">
        <v>579-203-REDIMED</v>
      </c>
      <c r="B192" s="15" t="str">
        <v>REDIMED</v>
      </c>
      <c r="C192" s="15" t="str">
        <v>500.1-RM - ACTIVIDADES DEL EQUIPO DE RELEASE MANAGMENT</v>
      </c>
      <c r="D192" s="15" t="str">
        <v>3 - GESTIÓN DE BASES DE DATOS</v>
      </c>
      <c r="E192" s="15" t="str">
        <v>Especialista Configuración / Desarrollador B.O.</v>
      </c>
      <c r="F192" s="15" t="str">
        <v>rafael</v>
      </c>
      <c r="G192" s="15" t="str">
        <v>RAFAEL VEGA ALVAREZ</v>
      </c>
      <c r="H192" s="15">
        <v>46140</v>
      </c>
      <c r="I192" s="15" t="str">
        <v>RM BDS Id.Sop_BaseDatos:_x000D_
1. Extracción de uso por base de datos. _x000D_
2. Extracción de uso por tabla de la base de datos estadisticas.</v>
      </c>
      <c r="J192" s="15">
        <v>0.5</v>
      </c>
    </row>
    <row r="193" spans="1:10">
      <c r="A193" s="15" t="str">
        <v>579-203-REDIMED</v>
      </c>
      <c r="B193" s="15" t="str">
        <v>REDIMED</v>
      </c>
      <c r="C193" s="15" t="str">
        <v>500.1-RM - ACTIVIDADES DEL EQUIPO DE RELEASE MANAGMENT</v>
      </c>
      <c r="D193" s="15" t="str">
        <v>3 - GESTIÓN DE BASES DE DATOS</v>
      </c>
      <c r="E193" s="15" t="str">
        <v>Especialista Configuración / Desarrollador B.O.</v>
      </c>
      <c r="F193" s="15" t="str">
        <v>rafael</v>
      </c>
      <c r="G193" s="15" t="str">
        <v>RAFAEL VEGA ALVAREZ</v>
      </c>
      <c r="H193" s="15">
        <v>46141</v>
      </c>
      <c r="I193" s="15" t="str">
        <v>RM BDS Id.Sop_BaseDatos:_x000D_
1. Extracción de uso por base de datos. _x000D_
2. Extracción de uso por tabla de la base de datos estadisticas.</v>
      </c>
      <c r="J193" s="15">
        <v>0.5</v>
      </c>
    </row>
    <row r="194" spans="1:10">
      <c r="A194" s="15" t="str">
        <v>579-203-REDIMED</v>
      </c>
      <c r="B194" s="15" t="str">
        <v>REDIMED</v>
      </c>
      <c r="C194" s="15" t="str">
        <v>500.1-RM - ACTIVIDADES DEL EQUIPO DE RELEASE MANAGMENT</v>
      </c>
      <c r="D194" s="15" t="str">
        <v>3 - GESTIÓN DE BASES DE DATOS</v>
      </c>
      <c r="E194" s="15" t="str">
        <v>Especialista Configuración / Desarrollador B.O.</v>
      </c>
      <c r="F194" s="15" t="str">
        <v>rafael</v>
      </c>
      <c r="G194" s="15" t="str">
        <v>RAFAEL VEGA ALVAREZ</v>
      </c>
      <c r="H194" s="15">
        <v>46142</v>
      </c>
      <c r="I194" s="15" t="str">
        <v xml:space="preserve">RM BDS Id.Sop_BaseDatos:_x000D_
1. Extracción de uso por base de datos. _x000D_
2. Extracción de uso por tabla de la base de datos estadisticas. _x000D_
</v>
      </c>
      <c r="J194" s="15">
        <v>0.5</v>
      </c>
    </row>
    <row r="195" spans="1:10">
      <c r="A195" s="15" t="str">
        <v>579-203-REDIMED</v>
      </c>
      <c r="B195" s="15" t="str">
        <v>REDIMED</v>
      </c>
      <c r="C195" s="15" t="str">
        <v>500.1-RM - ACTIVIDADES DEL EQUIPO DE RELEASE MANAGMENT</v>
      </c>
      <c r="D195" s="15" t="str">
        <v>3 - GESTIÓN DE BASES DE DATOS</v>
      </c>
      <c r="E195" s="15" t="str">
        <v>Especialista Configuración / Desarrollador B.O.</v>
      </c>
      <c r="F195" s="15" t="str">
        <v>rafael</v>
      </c>
      <c r="G195" s="15" t="str">
        <v>RAFAEL VEGA ALVAREZ</v>
      </c>
      <c r="H195" s="15">
        <v>46142</v>
      </c>
      <c r="I195" s="15" t="str">
        <v>RM BDS Id.Sop_BaseDatos:_x000D_
1. Revisión y pruebas de scripts de respaldos de BD SQL Anywhere para habilitar limpiado de log's en la BD BI4_Audit. Esto se hizo en los servidores de BO y DS.</v>
      </c>
      <c r="J195" s="15">
        <v>1.25</v>
      </c>
    </row>
    <row r="196" spans="1:10">
      <c r="A196" s="15" t="str">
        <v>579-203-REDIMED</v>
      </c>
      <c r="B196" s="15" t="str">
        <v>REDIMED</v>
      </c>
      <c r="C196" s="15" t="str">
        <v>500.1-RM - ACTIVIDADES DEL EQUIPO DE RELEASE MANAGMENT</v>
      </c>
      <c r="D196" s="15" t="str">
        <v>5 - AUTOMATIZACIÓN</v>
      </c>
      <c r="E196" s="15" t="str">
        <v>Junior Release Management</v>
      </c>
      <c r="F196" s="15" t="str">
        <v>cmatarrita</v>
      </c>
      <c r="G196" s="15" t="str">
        <v>CESAR MATARRITA MATARRITA</v>
      </c>
      <c r="H196" s="15">
        <v>46122</v>
      </c>
      <c r="I196" s="15" t="str">
        <v>RM AUT Id.Imp_nueva_auto:_x000D_
Creacion de groovys para auth api y ui produccion</v>
      </c>
      <c r="J196" s="15">
        <v>0.5</v>
      </c>
    </row>
    <row r="197" spans="1:10">
      <c r="A197" s="15" t="str">
        <v>579-203-REDIMED</v>
      </c>
      <c r="B197" s="15" t="str">
        <v>REDIMED</v>
      </c>
      <c r="C197" s="15" t="str">
        <v>500.1-RM - ACTIVIDADES DEL EQUIPO DE RELEASE MANAGMENT</v>
      </c>
      <c r="D197" s="15" t="str">
        <v>5 - AUTOMATIZACIÓN</v>
      </c>
      <c r="E197" s="15" t="str">
        <v>Junior Release Management</v>
      </c>
      <c r="F197" s="15" t="str">
        <v>cmatarrita</v>
      </c>
      <c r="G197" s="15" t="str">
        <v>CESAR MATARRITA MATARRITA</v>
      </c>
      <c r="H197" s="15">
        <v>46125</v>
      </c>
      <c r="I197" s="15" t="str">
        <v>RM AUT Id.Imp_nueva_auto:_x000D_
mejora dentro de las tareas de instalacion para redimed prod</v>
      </c>
      <c r="J197" s="15">
        <v>1</v>
      </c>
    </row>
    <row r="198" spans="1:10">
      <c r="A198" s="15" t="str">
        <v>579-203-REDIMED</v>
      </c>
      <c r="B198" s="15" t="str">
        <v>REDIMED</v>
      </c>
      <c r="C198" s="15" t="str">
        <v>500.1-RM - ACTIVIDADES DEL EQUIPO DE RELEASE MANAGMENT</v>
      </c>
      <c r="D198" s="15" t="str">
        <v>6 - ATENCION DE INCIDENCIAS</v>
      </c>
      <c r="E198" s="15" t="str">
        <v>Junior Release Management</v>
      </c>
      <c r="F198" s="15" t="str">
        <v>cmatarrita</v>
      </c>
      <c r="G198" s="15" t="str">
        <v>CESAR MATARRITA MATARRITA</v>
      </c>
      <c r="H198" s="15">
        <v>46113</v>
      </c>
      <c r="I198" s="15" t="str">
        <v>RM INC Id.Corr_incidentes:_x000D_
reunión con cesa de 2 horas, para levantar los procesos de node que estaban abajo por la restauración de los servidores del ambiente productivo dado de que el sistema dio error en instalación la noche anterior, y se tuvo que restaurar una versión anterior de los servidores</v>
      </c>
      <c r="J198" s="15">
        <v>2</v>
      </c>
    </row>
    <row r="199" spans="1:10">
      <c r="A199" s="15" t="str">
        <v>151-350-NV.OP.SWAT</v>
      </c>
      <c r="B199" s="15" t="str">
        <v>NUEVAS OPORTUNIDADES DEL EQUIPO SWAT</v>
      </c>
      <c r="C199" s="15" t="str">
        <v>350-NV.OP.SWAT - NUEVAS OPORTUNIDADES DEL EQUIPO SWAT</v>
      </c>
      <c r="D199" s="15" t="str">
        <v>01 - REUNIONES CLIENTES</v>
      </c>
      <c r="E199" s="15" t="str">
        <v>SWAT TEAM MANAGER</v>
      </c>
      <c r="F199" s="15" t="str">
        <v>jquesada</v>
      </c>
      <c r="G199" s="15" t="str">
        <v>JOSE QUESADA SOLIS</v>
      </c>
      <c r="H199" s="15">
        <v>46133</v>
      </c>
      <c r="I199" s="15" t="str">
        <v>Qatar: LDP Proposal - Reunión con Tanaka y más</v>
      </c>
      <c r="J199" s="15">
        <v>1</v>
      </c>
    </row>
    <row r="200" spans="1:10">
      <c r="A200" s="15" t="str">
        <v>151-350-NV.OP.SWAT</v>
      </c>
      <c r="B200" s="15" t="str">
        <v>NUEVAS OPORTUNIDADES DEL EQUIPO SWAT</v>
      </c>
      <c r="C200" s="15" t="str">
        <v>350-NV.OP.SWAT - NUEVAS OPORTUNIDADES DEL EQUIPO SWAT</v>
      </c>
      <c r="D200" s="15" t="str">
        <v>02 - REUNIONES INTERNAS</v>
      </c>
      <c r="E200" s="15" t="str">
        <v>Intermediate Designer</v>
      </c>
      <c r="F200" s="15" t="str">
        <v>mfaraya</v>
      </c>
      <c r="G200" s="15" t="str">
        <v>MARIA FERNANDA ARAYA ARGUEDAS</v>
      </c>
      <c r="H200" s="15">
        <v>46127</v>
      </c>
      <c r="I200" s="15" t="str">
        <v>Mesa técnica para nuevo requerimiento de gestión de proveedores</v>
      </c>
      <c r="J200" s="15">
        <v>2</v>
      </c>
    </row>
    <row r="201" spans="1:10">
      <c r="A201" s="15" t="str">
        <v>151-350-NV.OP.SWAT</v>
      </c>
      <c r="B201" s="15" t="str">
        <v>NUEVAS OPORTUNIDADES DEL EQUIPO SWAT</v>
      </c>
      <c r="C201" s="15" t="str">
        <v>350-NV.OP.SWAT - NUEVAS OPORTUNIDADES DEL EQUIPO SWAT</v>
      </c>
      <c r="D201" s="15" t="str">
        <v>02 - REUNIONES INTERNAS</v>
      </c>
      <c r="E201" s="15" t="str">
        <v>Intermediate Designer</v>
      </c>
      <c r="F201" s="15" t="str">
        <v>mfaraya</v>
      </c>
      <c r="G201" s="15" t="str">
        <v>MARIA FERNANDA ARAYA ARGUEDAS</v>
      </c>
      <c r="H201" s="15">
        <v>46127</v>
      </c>
      <c r="I201" s="15" t="str">
        <v>Reunion para demostración de flujo de cv y experiencia laboral. Aclaración de dudas con equipo</v>
      </c>
      <c r="J201" s="15">
        <v>1.5</v>
      </c>
    </row>
    <row r="202" spans="1:10">
      <c r="A202" s="15" t="str">
        <v>151-350-NV.OP.SWAT</v>
      </c>
      <c r="B202" s="15" t="str">
        <v>NUEVAS OPORTUNIDADES DEL EQUIPO SWAT</v>
      </c>
      <c r="C202" s="15" t="str">
        <v>350-NV.OP.SWAT - NUEVAS OPORTUNIDADES DEL EQUIPO SWAT</v>
      </c>
      <c r="D202" s="15" t="str">
        <v>02 - REUNIONES INTERNAS</v>
      </c>
      <c r="E202" s="15" t="str">
        <v>Intermediate Designer</v>
      </c>
      <c r="F202" s="15" t="str">
        <v>mfaraya</v>
      </c>
      <c r="G202" s="15" t="str">
        <v>MARIA FERNANDA ARAYA ARGUEDAS</v>
      </c>
      <c r="H202" s="15">
        <v>46136</v>
      </c>
      <c r="I202" s="15" t="str">
        <v>Reunión para explicación y análisis de nuevo requerimiento de garantías</v>
      </c>
      <c r="J202" s="15">
        <v>1</v>
      </c>
    </row>
    <row r="203" spans="1:10">
      <c r="A203" s="15" t="str">
        <v>151-350-NV.OP.SWAT</v>
      </c>
      <c r="B203" s="15" t="str">
        <v>NUEVAS OPORTUNIDADES DEL EQUIPO SWAT</v>
      </c>
      <c r="C203" s="15" t="str">
        <v>350-NV.OP.SWAT - NUEVAS OPORTUNIDADES DEL EQUIPO SWAT</v>
      </c>
      <c r="D203" s="15" t="str">
        <v>02 - REUNIONES INTERNAS</v>
      </c>
      <c r="E203" s="15" t="str">
        <v>Entry Level Designer</v>
      </c>
      <c r="F203" s="15" t="str">
        <v>apalacios</v>
      </c>
      <c r="G203" s="15" t="str">
        <v>ANDREY ALONSO PALACIOS ALVAREZ</v>
      </c>
      <c r="H203" s="15">
        <v>46129</v>
      </c>
      <c r="I203" s="15" t="str">
        <v>Area SOIN Id.ERP-S:_x000D_
Reunión interna con Fernanada Araya para revisión de primera propuesta del diseño de plataforma erp</v>
      </c>
      <c r="J203" s="15">
        <v>0.5</v>
      </c>
    </row>
    <row r="204" spans="1:10">
      <c r="A204" s="15" t="str">
        <v>151-350-NV.OP.SWAT</v>
      </c>
      <c r="B204" s="15" t="str">
        <v>NUEVAS OPORTUNIDADES DEL EQUIPO SWAT</v>
      </c>
      <c r="C204" s="15" t="str">
        <v>350-NV.OP.SWAT - NUEVAS OPORTUNIDADES DEL EQUIPO SWAT</v>
      </c>
      <c r="D204" s="15" t="str">
        <v>6 - INVESTIGACIÓN</v>
      </c>
      <c r="E204" s="15" t="str">
        <v>Entry Level Designer</v>
      </c>
      <c r="F204" s="15" t="str">
        <v>apalacios</v>
      </c>
      <c r="G204" s="15" t="str">
        <v>ANDREY ALONSO PALACIOS ALVAREZ</v>
      </c>
      <c r="H204" s="15">
        <v>46127</v>
      </c>
      <c r="I204" s="15" t="str">
        <v>Investigación para nueva propuesta de pantalla de navegación web</v>
      </c>
      <c r="J204" s="15">
        <v>3</v>
      </c>
    </row>
    <row r="205" spans="1:10">
      <c r="A205" s="15" t="str">
        <v>151-350-NV.OP.SWAT</v>
      </c>
      <c r="B205" s="15" t="str">
        <v>NUEVAS OPORTUNIDADES DEL EQUIPO SWAT</v>
      </c>
      <c r="C205" s="15" t="str">
        <v>350-NV.OP.SWAT - NUEVAS OPORTUNIDADES DEL EQUIPO SWAT</v>
      </c>
      <c r="D205" s="15" t="str">
        <v>8 - DISEÑO</v>
      </c>
      <c r="E205" s="15" t="str">
        <v>Intermediate Designer</v>
      </c>
      <c r="F205" s="15" t="str">
        <v>mfaraya</v>
      </c>
      <c r="G205" s="15" t="str">
        <v>MARIA FERNANDA ARAYA ARGUEDAS</v>
      </c>
      <c r="H205" s="15">
        <v>46125</v>
      </c>
      <c r="I205" s="15" t="str">
        <v>Diseño, ajustes y cambios en flujo de CV y experiencia laboral</v>
      </c>
      <c r="J205" s="15">
        <v>7.5</v>
      </c>
    </row>
    <row r="206" spans="1:10">
      <c r="A206" s="15" t="str">
        <v>151-350-NV.OP.SWAT</v>
      </c>
      <c r="B206" s="15" t="str">
        <v>NUEVAS OPORTUNIDADES DEL EQUIPO SWAT</v>
      </c>
      <c r="C206" s="15" t="str">
        <v>350-NV.OP.SWAT - NUEVAS OPORTUNIDADES DEL EQUIPO SWAT</v>
      </c>
      <c r="D206" s="15" t="str">
        <v>8 - DISEÑO</v>
      </c>
      <c r="E206" s="15" t="str">
        <v>Intermediate Designer</v>
      </c>
      <c r="F206" s="15" t="str">
        <v>mfaraya</v>
      </c>
      <c r="G206" s="15" t="str">
        <v>MARIA FERNANDA ARAYA ARGUEDAS</v>
      </c>
      <c r="H206" s="15">
        <v>46126</v>
      </c>
      <c r="I206" s="15" t="str">
        <v>Diseño, ajustes y cambios en flujo de CV y experiencia laboral</v>
      </c>
      <c r="J206" s="15">
        <v>7.5</v>
      </c>
    </row>
    <row r="207" spans="1:10">
      <c r="A207" s="15" t="str">
        <v>151-350-NV.OP.SWAT</v>
      </c>
      <c r="B207" s="15" t="str">
        <v>NUEVAS OPORTUNIDADES DEL EQUIPO SWAT</v>
      </c>
      <c r="C207" s="15" t="str">
        <v>350-NV.OP.SWAT - NUEVAS OPORTUNIDADES DEL EQUIPO SWAT</v>
      </c>
      <c r="D207" s="15" t="str">
        <v>8 - DISEÑO</v>
      </c>
      <c r="E207" s="15" t="str">
        <v>Intermediate Designer</v>
      </c>
      <c r="F207" s="15" t="str">
        <v>mfaraya</v>
      </c>
      <c r="G207" s="15" t="str">
        <v>MARIA FERNANDA ARAYA ARGUEDAS</v>
      </c>
      <c r="H207" s="15">
        <v>46127</v>
      </c>
      <c r="I207" s="15" t="str">
        <v>Diseño, ajustes y cambios en flujo de CV y experiencia laboral</v>
      </c>
      <c r="J207" s="15">
        <v>4</v>
      </c>
    </row>
    <row r="208" spans="1:10">
      <c r="A208" s="15" t="str">
        <v>151-350-NV.OP.SWAT</v>
      </c>
      <c r="B208" s="15" t="str">
        <v>NUEVAS OPORTUNIDADES DEL EQUIPO SWAT</v>
      </c>
      <c r="C208" s="15" t="str">
        <v>350-NV.OP.SWAT - NUEVAS OPORTUNIDADES DEL EQUIPO SWAT</v>
      </c>
      <c r="D208" s="15" t="str">
        <v>8 - DISEÑO</v>
      </c>
      <c r="E208" s="15" t="str">
        <v>Intermediate Designer</v>
      </c>
      <c r="F208" s="15" t="str">
        <v>mfaraya</v>
      </c>
      <c r="G208" s="15" t="str">
        <v>MARIA FERNANDA ARAYA ARGUEDAS</v>
      </c>
      <c r="H208" s="15">
        <v>46128</v>
      </c>
      <c r="I208" s="15" t="str">
        <v>Análisis, planeación y definición de flujo de gestión de proveedores</v>
      </c>
      <c r="J208" s="15">
        <v>7</v>
      </c>
    </row>
    <row r="209" spans="1:10">
      <c r="A209" s="15" t="str">
        <v>151-350-NV.OP.SWAT</v>
      </c>
      <c r="B209" s="15" t="str">
        <v>NUEVAS OPORTUNIDADES DEL EQUIPO SWAT</v>
      </c>
      <c r="C209" s="15" t="str">
        <v>350-NV.OP.SWAT - NUEVAS OPORTUNIDADES DEL EQUIPO SWAT</v>
      </c>
      <c r="D209" s="15" t="str">
        <v>8 - DISEÑO</v>
      </c>
      <c r="E209" s="15" t="str">
        <v>Intermediate Designer</v>
      </c>
      <c r="F209" s="15" t="str">
        <v>mfaraya</v>
      </c>
      <c r="G209" s="15" t="str">
        <v>MARIA FERNANDA ARAYA ARGUEDAS</v>
      </c>
      <c r="H209" s="15">
        <v>46129</v>
      </c>
      <c r="I209" s="15" t="str">
        <v>Análisis, planeación y definición de flujo de gestión de proveedores</v>
      </c>
      <c r="J209" s="15">
        <v>3.5</v>
      </c>
    </row>
    <row r="210" spans="1:10">
      <c r="A210" s="15" t="str">
        <v>151-350-NV.OP.SWAT</v>
      </c>
      <c r="B210" s="15" t="str">
        <v>NUEVAS OPORTUNIDADES DEL EQUIPO SWAT</v>
      </c>
      <c r="C210" s="15" t="str">
        <v>350-NV.OP.SWAT - NUEVAS OPORTUNIDADES DEL EQUIPO SWAT</v>
      </c>
      <c r="D210" s="15" t="str">
        <v>8 - DISEÑO</v>
      </c>
      <c r="E210" s="15" t="str">
        <v>Intermediate Designer</v>
      </c>
      <c r="F210" s="15" t="str">
        <v>mfaraya</v>
      </c>
      <c r="G210" s="15" t="str">
        <v>MARIA FERNANDA ARAYA ARGUEDAS</v>
      </c>
      <c r="H210" s="15">
        <v>46140</v>
      </c>
      <c r="I210" s="15" t="str">
        <v>Análisis de contenido existente y planteamiento de posibles propuestas.</v>
      </c>
      <c r="J210" s="15">
        <v>5.5</v>
      </c>
    </row>
    <row r="211" spans="1:10">
      <c r="A211" s="15" t="str">
        <v>151-350-NV.OP.SWAT</v>
      </c>
      <c r="B211" s="15" t="str">
        <v>NUEVAS OPORTUNIDADES DEL EQUIPO SWAT</v>
      </c>
      <c r="C211" s="15" t="str">
        <v>350-NV.OP.SWAT - NUEVAS OPORTUNIDADES DEL EQUIPO SWAT</v>
      </c>
      <c r="D211" s="15" t="str">
        <v>8 - DISEÑO</v>
      </c>
      <c r="E211" s="15" t="str">
        <v>Intermediate Designer</v>
      </c>
      <c r="F211" s="15" t="str">
        <v>mfaraya</v>
      </c>
      <c r="G211" s="15" t="str">
        <v>MARIA FERNANDA ARAYA ARGUEDAS</v>
      </c>
      <c r="H211" s="15">
        <v>46141</v>
      </c>
      <c r="I211" s="15" t="str">
        <v>Análisis de contenido existente, planteamiento de posibles propuestas y diseño de propuesta de flujos y UI.</v>
      </c>
      <c r="J211" s="15">
        <v>7</v>
      </c>
    </row>
    <row r="212" spans="1:10">
      <c r="A212" s="15" t="str">
        <v>151-350-NV.OP.SWAT</v>
      </c>
      <c r="B212" s="15" t="str">
        <v>NUEVAS OPORTUNIDADES DEL EQUIPO SWAT</v>
      </c>
      <c r="C212" s="15" t="str">
        <v>350-NV.OP.SWAT - NUEVAS OPORTUNIDADES DEL EQUIPO SWAT</v>
      </c>
      <c r="D212" s="15" t="str">
        <v>8 - DISEÑO</v>
      </c>
      <c r="E212" s="15" t="str">
        <v>Intermediate Designer</v>
      </c>
      <c r="F212" s="15" t="str">
        <v>mfaraya</v>
      </c>
      <c r="G212" s="15" t="str">
        <v>MARIA FERNANDA ARAYA ARGUEDAS</v>
      </c>
      <c r="H212" s="15">
        <v>46142</v>
      </c>
      <c r="I212" s="15" t="str">
        <v>Análisis de contenido existente, planteamiento de posibles propuestas y diseño de propuesta de flujos y UI.</v>
      </c>
      <c r="J212" s="15">
        <v>4</v>
      </c>
    </row>
    <row r="213" spans="1:10">
      <c r="A213" s="15" t="str">
        <v>151-350-NV.OP.SWAT</v>
      </c>
      <c r="B213" s="15" t="str">
        <v>NUEVAS OPORTUNIDADES DEL EQUIPO SWAT</v>
      </c>
      <c r="C213" s="15" t="str">
        <v>350-NV.OP.SWAT - NUEVAS OPORTUNIDADES DEL EQUIPO SWAT</v>
      </c>
      <c r="D213" s="15" t="str">
        <v>8 - DISEÑO</v>
      </c>
      <c r="E213" s="15" t="str">
        <v>Entry Level Designer</v>
      </c>
      <c r="F213" s="15" t="str">
        <v>apalacios</v>
      </c>
      <c r="G213" s="15" t="str">
        <v>ANDREY ALONSO PALACIOS ALVAREZ</v>
      </c>
      <c r="H213" s="15">
        <v>46127</v>
      </c>
      <c r="I213" s="15" t="str">
        <v>Diseño de nueva pantalla y componentes de navegación de propuesta nueva SIGES</v>
      </c>
      <c r="J213" s="15">
        <v>5</v>
      </c>
    </row>
    <row r="214" spans="1:10">
      <c r="A214" s="15" t="str">
        <v>151-350-NV.OP.SWAT</v>
      </c>
      <c r="B214" s="15" t="str">
        <v>NUEVAS OPORTUNIDADES DEL EQUIPO SWAT</v>
      </c>
      <c r="C214" s="15" t="str">
        <v>350-NV.OP.SWAT - NUEVAS OPORTUNIDADES DEL EQUIPO SWAT</v>
      </c>
      <c r="D214" s="15" t="str">
        <v>8 - DISEÑO</v>
      </c>
      <c r="E214" s="15" t="str">
        <v>Entry Level Designer</v>
      </c>
      <c r="F214" s="15" t="str">
        <v>apalacios</v>
      </c>
      <c r="G214" s="15" t="str">
        <v>ANDREY ALONSO PALACIOS ALVAREZ</v>
      </c>
      <c r="H214" s="15">
        <v>46129</v>
      </c>
      <c r="I214" s="15" t="str">
        <v>Area SOIN Id.ERP-S:_x000D_
Diseño de últimos detalles de la primera propuesta para Sapiens</v>
      </c>
      <c r="J214" s="15">
        <v>2</v>
      </c>
    </row>
    <row r="215" spans="1:10">
      <c r="A215" s="15" t="str">
        <v>151-350-NV.OP.SWAT</v>
      </c>
      <c r="B215" s="15" t="str">
        <v>NUEVAS OPORTUNIDADES DEL EQUIPO SWAT</v>
      </c>
      <c r="C215" s="15" t="str">
        <v>350-NV.OP.SWAT - NUEVAS OPORTUNIDADES DEL EQUIPO SWAT</v>
      </c>
      <c r="D215" s="15" t="str">
        <v>8 - DISEÑO</v>
      </c>
      <c r="E215" s="15" t="str">
        <v>Entry Level Designer</v>
      </c>
      <c r="F215" s="15" t="str">
        <v>apalacios</v>
      </c>
      <c r="G215" s="15" t="str">
        <v>ANDREY ALONSO PALACIOS ALVAREZ</v>
      </c>
      <c r="H215" s="15">
        <v>46129</v>
      </c>
      <c r="I215" s="15" t="str">
        <v>Area SOIN Id.ERP-S:_x000D_
Diseño de nueva propuesta después del feedback</v>
      </c>
      <c r="J215" s="15">
        <v>2</v>
      </c>
    </row>
    <row r="216" spans="1:10">
      <c r="A216" s="15" t="str">
        <v>151-350-NV.OP.SWAT</v>
      </c>
      <c r="B216" s="15" t="str">
        <v>NUEVAS OPORTUNIDADES DEL EQUIPO SWAT</v>
      </c>
      <c r="C216" s="15" t="str">
        <v>350-NV.OP.SWAT - NUEVAS OPORTUNIDADES DEL EQUIPO SWAT</v>
      </c>
      <c r="D216" s="15" t="str">
        <v>8 - DISEÑO</v>
      </c>
      <c r="E216" s="15" t="str">
        <v>Entry Level Designer</v>
      </c>
      <c r="F216" s="15" t="str">
        <v>apalacios</v>
      </c>
      <c r="G216" s="15" t="str">
        <v>ANDREY ALONSO PALACIOS ALVAREZ</v>
      </c>
      <c r="H216" s="15">
        <v>46132</v>
      </c>
      <c r="I216" s="15" t="str">
        <v>Area SOIN Id.ERP-S:_x000D_
Diseño y actualización de componentes y vista para mejorara navegación</v>
      </c>
      <c r="J216" s="15">
        <v>3</v>
      </c>
    </row>
    <row r="217" spans="1:10">
      <c r="A217" s="15" t="str">
        <v>151-350-NV.OP.SWAT</v>
      </c>
      <c r="B217" s="15" t="str">
        <v>NUEVAS OPORTUNIDADES DEL EQUIPO SWAT</v>
      </c>
      <c r="C217" s="15" t="str">
        <v>350-NV.OP.SWAT - NUEVAS OPORTUNIDADES DEL EQUIPO SWAT</v>
      </c>
      <c r="D217" s="15" t="str">
        <v>8 - DISEÑO</v>
      </c>
      <c r="E217" s="15" t="str">
        <v>Entry Level Designer</v>
      </c>
      <c r="F217" s="15" t="str">
        <v>apalacios</v>
      </c>
      <c r="G217" s="15" t="str">
        <v>ANDREY ALONSO PALACIOS ALVAREZ</v>
      </c>
      <c r="H217" s="15">
        <v>46133</v>
      </c>
      <c r="I217" s="15" t="str">
        <v>Area SOIN Id.ERP-S:_x000D_
Actualización diseño para mejoras de navegación SAPIENS</v>
      </c>
      <c r="J217" s="15">
        <v>2</v>
      </c>
    </row>
    <row r="218" spans="1:10">
      <c r="A218" s="15" t="str">
        <v>151-350-NV.OP.SWAT</v>
      </c>
      <c r="B218" s="15" t="str">
        <v>NUEVAS OPORTUNIDADES DEL EQUIPO SWAT</v>
      </c>
      <c r="C218" s="15" t="str">
        <v>350-NV.OP.SWAT - NUEVAS OPORTUNIDADES DEL EQUIPO SWAT</v>
      </c>
      <c r="D218" s="15" t="str">
        <v>8 - DISEÑO</v>
      </c>
      <c r="E218" s="15" t="str">
        <v>Entry Level Designer</v>
      </c>
      <c r="F218" s="15" t="str">
        <v>apalacios</v>
      </c>
      <c r="G218" s="15" t="str">
        <v>ANDREY ALONSO PALACIOS ALVAREZ</v>
      </c>
      <c r="H218" s="15">
        <v>46134</v>
      </c>
      <c r="I218" s="15" t="str">
        <v>Area SOIN Id.ERP-S:_x000D_
Diseño y actualización de feedback de navegación de SAPIENS</v>
      </c>
      <c r="J218" s="15">
        <v>4</v>
      </c>
    </row>
    <row r="219" spans="1:10">
      <c r="A219" s="15" t="str">
        <v>151-350-NV.OP.SWAT</v>
      </c>
      <c r="B219" s="15" t="str">
        <v>NUEVAS OPORTUNIDADES DEL EQUIPO SWAT</v>
      </c>
      <c r="C219" s="15" t="str">
        <v>350-NV.OP.SWAT - NUEVAS OPORTUNIDADES DEL EQUIPO SWAT</v>
      </c>
      <c r="D219" s="15" t="str">
        <v>9 - DOCUMENTACIÓN</v>
      </c>
      <c r="E219" s="15" t="str">
        <v>Senior Mobile Software Developer</v>
      </c>
      <c r="F219" s="15" t="str">
        <v>ngarcia</v>
      </c>
      <c r="G219" s="15" t="str">
        <v>NEIL JOSE GARCIA VARGAS</v>
      </c>
      <c r="H219" s="15">
        <v>46135</v>
      </c>
      <c r="I219" s="15" t="str">
        <v>Se hace desarrollo de requerimientos del app de inspecciones</v>
      </c>
      <c r="J219" s="15">
        <v>8</v>
      </c>
    </row>
    <row r="220" spans="1:10">
      <c r="A220" s="15" t="str">
        <v>151-350-NV.OP.SWAT</v>
      </c>
      <c r="B220" s="15" t="str">
        <v>NUEVAS OPORTUNIDADES DEL EQUIPO SWAT</v>
      </c>
      <c r="C220" s="15" t="str">
        <v>350-NV.OP.SWAT - NUEVAS OPORTUNIDADES DEL EQUIPO SWAT</v>
      </c>
      <c r="D220" s="15" t="str">
        <v>9 - DOCUMENTACIÓN</v>
      </c>
      <c r="E220" s="15" t="str">
        <v>Senior Mobile Software Developer</v>
      </c>
      <c r="F220" s="15" t="str">
        <v>ngarcia</v>
      </c>
      <c r="G220" s="15" t="str">
        <v>NEIL JOSE GARCIA VARGAS</v>
      </c>
      <c r="H220" s="15">
        <v>46136</v>
      </c>
      <c r="I220" s="15" t="str">
        <v>Se hace desarrollo de requerimientos del app de inspecciones</v>
      </c>
      <c r="J220" s="15">
        <v>8</v>
      </c>
    </row>
    <row r="221" spans="1:10">
      <c r="A221" s="15" t="str">
        <v>151-350-NV.OP.SWAT</v>
      </c>
      <c r="B221" s="15" t="str">
        <v>NUEVAS OPORTUNIDADES DEL EQUIPO SWAT</v>
      </c>
      <c r="C221" s="15" t="str">
        <v>350-NV.OP.SWAT - NUEVAS OPORTUNIDADES DEL EQUIPO SWAT</v>
      </c>
      <c r="D221" s="15" t="str">
        <v>19 - DEMOSTRACIÓN</v>
      </c>
      <c r="E221" s="15" t="str">
        <v>Entry Level Designer</v>
      </c>
      <c r="F221" s="15" t="str">
        <v>apalacios</v>
      </c>
      <c r="G221" s="15" t="str">
        <v>ANDREY ALONSO PALACIOS ALVAREZ</v>
      </c>
      <c r="H221" s="15">
        <v>46135</v>
      </c>
      <c r="I221" s="15" t="str">
        <v>Area SOIN Id.ERP-S:_x000D_
Revisión con Frederick junto a Fer Araya sobre nueva propuesta de la mejora en navegación del ERP</v>
      </c>
      <c r="J221" s="15">
        <v>1</v>
      </c>
    </row>
  </sheetData>
  <autoFilter ref="A7:J69" xr:uid="{2D9A8C87-3B00-4040-9541-5406E3CD151A}"/>
  <sortState xmlns:xlrd2="http://schemas.microsoft.com/office/spreadsheetml/2017/richdata2" ref="B22:J69">
    <sortCondition ref="D22:D69"/>
    <sortCondition ref="E22:E69"/>
  </sortState>
  <conditionalFormatting sqref="A8:J69">
    <cfRule type="expression" dxfId="2" priority="29">
      <formula>$D8="TOTAL GENERAL"</formula>
    </cfRule>
    <cfRule type="expression" dxfId="1" priority="30">
      <formula>ISNUMBER($J8)</formula>
    </cfRule>
  </conditionalFormatting>
  <pageMargins left="0.70866141732283472" right="0.70866141732283472" top="0" bottom="0.39370078740157483" header="0" footer="0.19685039370078741"/>
  <pageSetup paperSize="9" scale="45" fitToHeight="0" orientation="portrait" horizontalDpi="4294967293" r:id="rId1"/>
  <headerFooter>
    <oddFooter>&amp;C&amp;F&amp;RPágina &amp;P de &amp;N</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6FFCC3-5D49-4177-8F70-7860B69F8DC6}">
  <sheetPr codeName="Hoja16"/>
  <dimension ref="A1:X543"/>
  <sheetViews>
    <sheetView topLeftCell="C1" workbookViewId="0">
      <pane ySplit="1" topLeftCell="A516" activePane="bottomLeft" state="frozen"/>
      <selection activeCell="B41" sqref="B41:D41"/>
      <selection pane="bottomLeft" activeCell="H546" sqref="H546"/>
    </sheetView>
  </sheetViews>
  <sheetFormatPr defaultColWidth="11.5703125" defaultRowHeight="15"/>
  <cols>
    <col min="1" max="4" width="23.28515625" customWidth="1"/>
    <col min="10" max="10" width="13" bestFit="1" customWidth="1"/>
    <col min="11" max="11" width="29" bestFit="1" customWidth="1"/>
    <col min="16" max="16" width="7.140625" customWidth="1"/>
    <col min="17" max="19" width="12.85546875" bestFit="1" customWidth="1"/>
    <col min="20" max="20" width="14.28515625" bestFit="1" customWidth="1"/>
  </cols>
  <sheetData>
    <row r="1" spans="1:24">
      <c r="A1" s="27" t="s">
        <v>4131</v>
      </c>
      <c r="B1" s="27" t="s">
        <v>4132</v>
      </c>
      <c r="C1" s="27" t="s">
        <v>4133</v>
      </c>
      <c r="D1" s="27" t="s">
        <v>4119</v>
      </c>
      <c r="K1" t="s">
        <v>4134</v>
      </c>
      <c r="T1" t="s">
        <v>6101</v>
      </c>
      <c r="U1" t="s">
        <v>6101</v>
      </c>
      <c r="W1" t="s">
        <v>6104</v>
      </c>
    </row>
    <row r="2" spans="1:24">
      <c r="A2" s="28">
        <v>41082</v>
      </c>
      <c r="B2" s="28">
        <v>41112</v>
      </c>
      <c r="C2" s="29" t="s">
        <v>4135</v>
      </c>
      <c r="D2" s="29" t="s">
        <v>4136</v>
      </c>
      <c r="E2">
        <v>1</v>
      </c>
      <c r="K2" t="s">
        <v>4137</v>
      </c>
      <c r="W2">
        <v>1</v>
      </c>
      <c r="X2">
        <v>8</v>
      </c>
    </row>
    <row r="3" spans="1:24">
      <c r="A3" s="28">
        <v>41113</v>
      </c>
      <c r="B3" s="28">
        <v>41143</v>
      </c>
      <c r="C3" s="29" t="s">
        <v>4139</v>
      </c>
      <c r="D3" s="29" t="s">
        <v>4140</v>
      </c>
      <c r="E3">
        <v>2</v>
      </c>
      <c r="K3" t="s">
        <v>4141</v>
      </c>
      <c r="W3">
        <v>2</v>
      </c>
      <c r="X3">
        <v>8</v>
      </c>
    </row>
    <row r="4" spans="1:24">
      <c r="A4" s="28">
        <v>41144</v>
      </c>
      <c r="B4" s="28">
        <v>41174</v>
      </c>
      <c r="C4" s="29" t="s">
        <v>4142</v>
      </c>
      <c r="D4" s="29" t="s">
        <v>4143</v>
      </c>
      <c r="E4">
        <v>3</v>
      </c>
      <c r="K4" t="s">
        <v>4144</v>
      </c>
      <c r="W4">
        <v>3</v>
      </c>
      <c r="X4">
        <v>8</v>
      </c>
    </row>
    <row r="5" spans="1:24">
      <c r="A5" s="28">
        <v>41175</v>
      </c>
      <c r="B5" s="28">
        <v>41204</v>
      </c>
      <c r="C5" s="29" t="s">
        <v>4145</v>
      </c>
      <c r="D5" s="29" t="s">
        <v>4146</v>
      </c>
      <c r="E5">
        <v>4</v>
      </c>
      <c r="K5" t="s">
        <v>4147</v>
      </c>
      <c r="W5">
        <v>4</v>
      </c>
      <c r="X5">
        <v>8</v>
      </c>
    </row>
    <row r="6" spans="1:24">
      <c r="A6" s="28">
        <v>41205</v>
      </c>
      <c r="B6" s="28">
        <v>41235</v>
      </c>
      <c r="C6" s="29" t="s">
        <v>4148</v>
      </c>
      <c r="D6" s="29" t="s">
        <v>4149</v>
      </c>
      <c r="E6">
        <v>5</v>
      </c>
      <c r="K6" t="s">
        <v>4150</v>
      </c>
      <c r="W6">
        <v>5</v>
      </c>
      <c r="X6">
        <v>8</v>
      </c>
    </row>
    <row r="7" spans="1:24">
      <c r="A7" s="28">
        <v>41236</v>
      </c>
      <c r="B7" s="28">
        <v>41265</v>
      </c>
      <c r="C7" s="29" t="s">
        <v>4151</v>
      </c>
      <c r="D7" s="29" t="s">
        <v>4152</v>
      </c>
      <c r="E7">
        <v>6</v>
      </c>
      <c r="K7" t="s">
        <v>4153</v>
      </c>
      <c r="W7">
        <v>6</v>
      </c>
      <c r="X7">
        <v>0</v>
      </c>
    </row>
    <row r="8" spans="1:24">
      <c r="A8" s="28">
        <v>41266</v>
      </c>
      <c r="B8" s="28">
        <v>41296</v>
      </c>
      <c r="C8" s="29" t="s">
        <v>4154</v>
      </c>
      <c r="D8" s="29" t="s">
        <v>4155</v>
      </c>
      <c r="E8">
        <v>7</v>
      </c>
      <c r="K8" t="s">
        <v>4156</v>
      </c>
      <c r="W8">
        <v>7</v>
      </c>
      <c r="X8">
        <v>0</v>
      </c>
    </row>
    <row r="9" spans="1:24">
      <c r="A9" s="28">
        <v>41297</v>
      </c>
      <c r="B9" s="28">
        <v>41327</v>
      </c>
      <c r="C9" s="29" t="s">
        <v>4157</v>
      </c>
      <c r="D9" s="29" t="s">
        <v>4158</v>
      </c>
      <c r="E9">
        <v>8</v>
      </c>
      <c r="K9" t="s">
        <v>4159</v>
      </c>
      <c r="W9" t="s">
        <v>6103</v>
      </c>
      <c r="X9">
        <v>0</v>
      </c>
    </row>
    <row r="10" spans="1:24">
      <c r="A10" s="28">
        <v>41328</v>
      </c>
      <c r="B10" s="28">
        <v>41355</v>
      </c>
      <c r="C10" s="29" t="s">
        <v>4160</v>
      </c>
      <c r="D10" s="29" t="s">
        <v>4161</v>
      </c>
      <c r="E10">
        <v>9</v>
      </c>
      <c r="K10" t="s">
        <v>4162</v>
      </c>
      <c r="W10" t="str">
        <f>""</f>
        <v/>
      </c>
      <c r="X10" t="s">
        <v>3861</v>
      </c>
    </row>
    <row r="11" spans="1:24">
      <c r="A11" s="28">
        <v>41356</v>
      </c>
      <c r="B11" s="28">
        <v>41386</v>
      </c>
      <c r="C11" s="29" t="s">
        <v>4163</v>
      </c>
      <c r="D11" s="29" t="s">
        <v>4164</v>
      </c>
      <c r="E11">
        <v>10</v>
      </c>
      <c r="K11" t="s">
        <v>4165</v>
      </c>
    </row>
    <row r="12" spans="1:24">
      <c r="A12" s="28">
        <v>41387</v>
      </c>
      <c r="B12" s="28">
        <v>41416</v>
      </c>
      <c r="C12" s="29" t="s">
        <v>4166</v>
      </c>
      <c r="D12" s="29" t="s">
        <v>4167</v>
      </c>
      <c r="E12">
        <v>11</v>
      </c>
      <c r="K12" t="s">
        <v>4168</v>
      </c>
    </row>
    <row r="13" spans="1:24">
      <c r="A13" s="28">
        <v>41417</v>
      </c>
      <c r="B13" s="28">
        <v>41447</v>
      </c>
      <c r="C13" s="29" t="s">
        <v>4169</v>
      </c>
      <c r="D13" s="29" t="s">
        <v>4170</v>
      </c>
      <c r="E13">
        <v>12</v>
      </c>
      <c r="K13" t="s">
        <v>4171</v>
      </c>
    </row>
    <row r="14" spans="1:24">
      <c r="A14" s="28">
        <v>41448</v>
      </c>
      <c r="B14" s="28">
        <v>41477</v>
      </c>
      <c r="C14" s="29" t="s">
        <v>4172</v>
      </c>
      <c r="D14" s="29" t="s">
        <v>4173</v>
      </c>
      <c r="E14">
        <v>13</v>
      </c>
      <c r="K14" t="s">
        <v>4174</v>
      </c>
    </row>
    <row r="15" spans="1:24">
      <c r="A15" s="28">
        <v>41478</v>
      </c>
      <c r="B15" s="28">
        <v>41508</v>
      </c>
      <c r="C15" s="29" t="s">
        <v>4175</v>
      </c>
      <c r="D15" s="29" t="s">
        <v>4176</v>
      </c>
      <c r="E15">
        <v>14</v>
      </c>
      <c r="K15" t="s">
        <v>4177</v>
      </c>
    </row>
    <row r="16" spans="1:24">
      <c r="A16" s="28">
        <v>41509</v>
      </c>
      <c r="B16" s="28">
        <v>41539</v>
      </c>
      <c r="C16" s="29" t="s">
        <v>4178</v>
      </c>
      <c r="D16" s="29" t="s">
        <v>4179</v>
      </c>
      <c r="E16">
        <v>15</v>
      </c>
      <c r="K16" t="s">
        <v>4180</v>
      </c>
    </row>
    <row r="17" spans="1:11">
      <c r="A17" s="28">
        <v>41540</v>
      </c>
      <c r="B17" s="28">
        <v>41569</v>
      </c>
      <c r="C17" s="29" t="s">
        <v>4182</v>
      </c>
      <c r="D17" s="29" t="s">
        <v>4183</v>
      </c>
      <c r="E17">
        <v>16</v>
      </c>
      <c r="K17" t="s">
        <v>4184</v>
      </c>
    </row>
    <row r="18" spans="1:11">
      <c r="A18" s="28">
        <v>41570</v>
      </c>
      <c r="B18" s="28">
        <v>41600</v>
      </c>
      <c r="C18" s="29" t="s">
        <v>4185</v>
      </c>
      <c r="D18" s="29" t="s">
        <v>4186</v>
      </c>
      <c r="E18">
        <v>17</v>
      </c>
      <c r="K18" t="s">
        <v>4187</v>
      </c>
    </row>
    <row r="19" spans="1:11">
      <c r="A19" s="28">
        <v>41601</v>
      </c>
      <c r="B19" s="28">
        <v>41630</v>
      </c>
      <c r="C19" s="29" t="s">
        <v>4188</v>
      </c>
      <c r="D19" s="29" t="s">
        <v>4189</v>
      </c>
      <c r="E19">
        <v>18</v>
      </c>
      <c r="K19" t="s">
        <v>4190</v>
      </c>
    </row>
    <row r="20" spans="1:11">
      <c r="A20" s="28">
        <v>41631</v>
      </c>
      <c r="B20" s="28">
        <v>41661</v>
      </c>
      <c r="C20" s="29" t="s">
        <v>4191</v>
      </c>
      <c r="D20" s="29" t="s">
        <v>4192</v>
      </c>
      <c r="E20">
        <v>19</v>
      </c>
      <c r="K20" t="s">
        <v>4193</v>
      </c>
    </row>
    <row r="21" spans="1:11">
      <c r="A21" s="28">
        <v>41662</v>
      </c>
      <c r="B21" s="28">
        <v>41692</v>
      </c>
      <c r="C21" s="29" t="s">
        <v>4194</v>
      </c>
      <c r="D21" s="29" t="s">
        <v>4195</v>
      </c>
      <c r="E21">
        <v>20</v>
      </c>
      <c r="K21" t="s">
        <v>4196</v>
      </c>
    </row>
    <row r="22" spans="1:11">
      <c r="A22" s="28">
        <v>41693</v>
      </c>
      <c r="B22" s="28">
        <v>41720</v>
      </c>
      <c r="C22" s="29" t="s">
        <v>4197</v>
      </c>
      <c r="D22" s="29" t="s">
        <v>4198</v>
      </c>
      <c r="E22">
        <v>21</v>
      </c>
      <c r="K22" t="s">
        <v>4199</v>
      </c>
    </row>
    <row r="23" spans="1:11">
      <c r="A23" s="28">
        <v>41721</v>
      </c>
      <c r="B23" s="28">
        <v>41751</v>
      </c>
      <c r="C23" s="29" t="s">
        <v>4200</v>
      </c>
      <c r="D23" s="29" t="s">
        <v>4201</v>
      </c>
      <c r="E23">
        <v>22</v>
      </c>
      <c r="K23" t="s">
        <v>4202</v>
      </c>
    </row>
    <row r="24" spans="1:11">
      <c r="A24" s="28">
        <v>41752</v>
      </c>
      <c r="B24" s="28">
        <v>41781</v>
      </c>
      <c r="C24" s="29" t="s">
        <v>4203</v>
      </c>
      <c r="D24" s="29" t="s">
        <v>4204</v>
      </c>
      <c r="E24">
        <v>23</v>
      </c>
      <c r="K24" t="s">
        <v>4205</v>
      </c>
    </row>
    <row r="25" spans="1:11">
      <c r="A25" s="28">
        <v>41782</v>
      </c>
      <c r="B25" s="28">
        <v>41812</v>
      </c>
      <c r="C25" s="29" t="s">
        <v>4206</v>
      </c>
      <c r="D25" s="29" t="s">
        <v>4207</v>
      </c>
      <c r="E25">
        <v>24</v>
      </c>
      <c r="K25" t="s">
        <v>4208</v>
      </c>
    </row>
    <row r="26" spans="1:11">
      <c r="A26" s="28">
        <v>41813</v>
      </c>
      <c r="B26" s="28">
        <v>41842</v>
      </c>
      <c r="C26" s="29" t="s">
        <v>4209</v>
      </c>
      <c r="D26" s="29" t="s">
        <v>4210</v>
      </c>
      <c r="E26">
        <v>25</v>
      </c>
      <c r="K26" t="s">
        <v>4211</v>
      </c>
    </row>
    <row r="27" spans="1:11">
      <c r="A27" s="28">
        <v>41843</v>
      </c>
      <c r="B27" s="28">
        <v>41873</v>
      </c>
      <c r="C27" s="29" t="s">
        <v>4212</v>
      </c>
      <c r="D27" s="29" t="s">
        <v>4213</v>
      </c>
      <c r="E27">
        <v>26</v>
      </c>
      <c r="K27" t="s">
        <v>4214</v>
      </c>
    </row>
    <row r="28" spans="1:11">
      <c r="A28" s="28">
        <v>41874</v>
      </c>
      <c r="B28" s="28">
        <v>41904</v>
      </c>
      <c r="C28" s="29" t="s">
        <v>4215</v>
      </c>
      <c r="D28" s="29" t="s">
        <v>4216</v>
      </c>
      <c r="E28">
        <v>27</v>
      </c>
      <c r="K28" t="s">
        <v>4217</v>
      </c>
    </row>
    <row r="29" spans="1:11">
      <c r="A29" s="28">
        <v>41905</v>
      </c>
      <c r="B29" s="28">
        <v>41934</v>
      </c>
      <c r="C29" s="29" t="s">
        <v>4218</v>
      </c>
      <c r="D29" s="29" t="s">
        <v>4219</v>
      </c>
      <c r="E29">
        <v>28</v>
      </c>
      <c r="K29" t="s">
        <v>4220</v>
      </c>
    </row>
    <row r="30" spans="1:11">
      <c r="A30" s="28">
        <v>41935</v>
      </c>
      <c r="B30" s="28">
        <v>41965</v>
      </c>
      <c r="C30" s="29" t="s">
        <v>4221</v>
      </c>
      <c r="D30" s="29" t="s">
        <v>4222</v>
      </c>
      <c r="E30">
        <v>29</v>
      </c>
      <c r="K30" t="s">
        <v>4223</v>
      </c>
    </row>
    <row r="31" spans="1:11">
      <c r="A31" s="28">
        <v>41966</v>
      </c>
      <c r="B31" s="28">
        <v>41995</v>
      </c>
      <c r="C31" s="29" t="s">
        <v>4225</v>
      </c>
      <c r="D31" s="29" t="s">
        <v>4226</v>
      </c>
      <c r="E31">
        <v>30</v>
      </c>
      <c r="K31" t="s">
        <v>4227</v>
      </c>
    </row>
    <row r="32" spans="1:11">
      <c r="A32" s="28">
        <v>41996</v>
      </c>
      <c r="B32" s="28">
        <v>42026</v>
      </c>
      <c r="C32" s="29" t="s">
        <v>4228</v>
      </c>
      <c r="D32" s="29" t="s">
        <v>4229</v>
      </c>
      <c r="E32">
        <v>31</v>
      </c>
      <c r="K32" t="s">
        <v>4230</v>
      </c>
    </row>
    <row r="33" spans="1:11">
      <c r="A33" s="28">
        <v>42027</v>
      </c>
      <c r="B33" s="28">
        <v>42057</v>
      </c>
      <c r="C33" s="29" t="s">
        <v>4231</v>
      </c>
      <c r="D33" s="29" t="s">
        <v>4232</v>
      </c>
      <c r="E33">
        <v>32</v>
      </c>
      <c r="K33" t="s">
        <v>4233</v>
      </c>
    </row>
    <row r="34" spans="1:11">
      <c r="A34" s="28">
        <v>42058</v>
      </c>
      <c r="B34" s="28">
        <v>42085</v>
      </c>
      <c r="C34" s="29" t="s">
        <v>4234</v>
      </c>
      <c r="D34" s="29" t="s">
        <v>4235</v>
      </c>
      <c r="E34">
        <v>33</v>
      </c>
      <c r="K34" t="s">
        <v>4236</v>
      </c>
    </row>
    <row r="35" spans="1:11">
      <c r="A35" s="28">
        <v>42086</v>
      </c>
      <c r="B35" s="28">
        <v>42116</v>
      </c>
      <c r="C35" s="29" t="s">
        <v>4237</v>
      </c>
      <c r="D35" s="29" t="s">
        <v>4238</v>
      </c>
      <c r="E35">
        <v>34</v>
      </c>
      <c r="K35" t="s">
        <v>4239</v>
      </c>
    </row>
    <row r="36" spans="1:11">
      <c r="A36" s="28">
        <v>42117</v>
      </c>
      <c r="B36" s="28">
        <v>42146</v>
      </c>
      <c r="C36" s="29" t="s">
        <v>4240</v>
      </c>
      <c r="D36" s="29" t="s">
        <v>4241</v>
      </c>
      <c r="E36">
        <v>35</v>
      </c>
      <c r="K36" t="s">
        <v>4242</v>
      </c>
    </row>
    <row r="37" spans="1:11">
      <c r="A37" s="28">
        <v>42147</v>
      </c>
      <c r="B37" s="28">
        <v>42177</v>
      </c>
      <c r="C37" s="29" t="s">
        <v>4243</v>
      </c>
      <c r="D37" s="29" t="s">
        <v>4244</v>
      </c>
      <c r="E37">
        <v>36</v>
      </c>
      <c r="K37" t="s">
        <v>4245</v>
      </c>
    </row>
    <row r="38" spans="1:11">
      <c r="A38" s="28">
        <v>42178</v>
      </c>
      <c r="B38" s="28">
        <v>42207</v>
      </c>
      <c r="C38" s="29" t="s">
        <v>4246</v>
      </c>
      <c r="D38" s="29" t="s">
        <v>4247</v>
      </c>
      <c r="E38">
        <v>37</v>
      </c>
      <c r="K38" t="s">
        <v>4248</v>
      </c>
    </row>
    <row r="39" spans="1:11">
      <c r="A39" s="28">
        <v>42208</v>
      </c>
      <c r="B39" s="28">
        <v>42238</v>
      </c>
      <c r="C39" s="29" t="s">
        <v>4249</v>
      </c>
      <c r="D39" s="29" t="s">
        <v>4250</v>
      </c>
      <c r="E39">
        <v>38</v>
      </c>
      <c r="K39" t="s">
        <v>4251</v>
      </c>
    </row>
    <row r="40" spans="1:11">
      <c r="A40" s="28">
        <v>42239</v>
      </c>
      <c r="B40" s="28">
        <v>42269</v>
      </c>
      <c r="C40" s="29" t="s">
        <v>4252</v>
      </c>
      <c r="D40" s="29" t="s">
        <v>4253</v>
      </c>
      <c r="E40">
        <v>39</v>
      </c>
      <c r="K40" t="s">
        <v>4254</v>
      </c>
    </row>
    <row r="41" spans="1:11">
      <c r="A41" s="28">
        <v>42270</v>
      </c>
      <c r="B41" s="28">
        <v>42299</v>
      </c>
      <c r="C41" s="29" t="s">
        <v>4255</v>
      </c>
      <c r="D41" s="29" t="s">
        <v>4256</v>
      </c>
      <c r="E41">
        <v>40</v>
      </c>
      <c r="K41" t="s">
        <v>4257</v>
      </c>
    </row>
    <row r="42" spans="1:11">
      <c r="A42" s="28">
        <v>42300</v>
      </c>
      <c r="B42" s="28">
        <v>42330</v>
      </c>
      <c r="C42" s="29" t="s">
        <v>4258</v>
      </c>
      <c r="D42" s="29" t="s">
        <v>4259</v>
      </c>
      <c r="E42">
        <v>41</v>
      </c>
      <c r="K42" t="s">
        <v>4260</v>
      </c>
    </row>
    <row r="43" spans="1:11">
      <c r="A43" s="28">
        <v>42331</v>
      </c>
      <c r="B43" s="28">
        <v>42360</v>
      </c>
      <c r="C43" s="29" t="s">
        <v>4261</v>
      </c>
      <c r="D43" s="29" t="s">
        <v>4262</v>
      </c>
      <c r="E43">
        <v>42</v>
      </c>
      <c r="K43" t="s">
        <v>4263</v>
      </c>
    </row>
    <row r="44" spans="1:11">
      <c r="A44" s="28">
        <v>42361</v>
      </c>
      <c r="B44" s="28">
        <v>42391</v>
      </c>
      <c r="C44" s="29" t="s">
        <v>4264</v>
      </c>
      <c r="D44" s="29" t="s">
        <v>4265</v>
      </c>
      <c r="E44">
        <v>43</v>
      </c>
      <c r="K44" t="s">
        <v>4266</v>
      </c>
    </row>
    <row r="45" spans="1:11">
      <c r="A45" s="28">
        <v>42392</v>
      </c>
      <c r="B45" s="28">
        <v>42422</v>
      </c>
      <c r="C45" s="29" t="s">
        <v>4268</v>
      </c>
      <c r="D45" s="29" t="s">
        <v>4269</v>
      </c>
      <c r="E45">
        <v>44</v>
      </c>
      <c r="K45" t="s">
        <v>4270</v>
      </c>
    </row>
    <row r="46" spans="1:11">
      <c r="A46" s="28">
        <v>42423</v>
      </c>
      <c r="B46" s="28">
        <v>42451</v>
      </c>
      <c r="C46" s="29" t="s">
        <v>4271</v>
      </c>
      <c r="D46" s="29" t="s">
        <v>4272</v>
      </c>
      <c r="E46">
        <v>45</v>
      </c>
      <c r="K46" t="s">
        <v>4273</v>
      </c>
    </row>
    <row r="47" spans="1:11">
      <c r="A47" s="28">
        <v>42452</v>
      </c>
      <c r="B47" s="28">
        <v>42482</v>
      </c>
      <c r="C47" s="29" t="s">
        <v>4274</v>
      </c>
      <c r="D47" s="29" t="s">
        <v>4275</v>
      </c>
      <c r="E47">
        <v>46</v>
      </c>
      <c r="K47" t="s">
        <v>4276</v>
      </c>
    </row>
    <row r="48" spans="1:11">
      <c r="A48" s="28">
        <v>42483</v>
      </c>
      <c r="B48" s="28">
        <v>42512</v>
      </c>
      <c r="C48" s="29" t="s">
        <v>4277</v>
      </c>
      <c r="D48" s="29" t="s">
        <v>4278</v>
      </c>
      <c r="E48">
        <v>47</v>
      </c>
      <c r="K48" t="s">
        <v>4279</v>
      </c>
    </row>
    <row r="49" spans="1:11">
      <c r="A49" s="28">
        <v>42513</v>
      </c>
      <c r="B49" s="28">
        <v>42543</v>
      </c>
      <c r="C49" s="29" t="s">
        <v>4280</v>
      </c>
      <c r="D49" s="29" t="s">
        <v>4281</v>
      </c>
      <c r="E49">
        <v>48</v>
      </c>
      <c r="K49" t="s">
        <v>4282</v>
      </c>
    </row>
    <row r="50" spans="1:11">
      <c r="A50" s="28">
        <v>42544</v>
      </c>
      <c r="B50" s="28">
        <v>42573</v>
      </c>
      <c r="C50" s="29" t="s">
        <v>4283</v>
      </c>
      <c r="D50" s="29" t="s">
        <v>4284</v>
      </c>
      <c r="E50">
        <v>49</v>
      </c>
      <c r="K50" t="s">
        <v>4285</v>
      </c>
    </row>
    <row r="51" spans="1:11">
      <c r="A51" s="28">
        <v>42574</v>
      </c>
      <c r="B51" s="28">
        <v>42604</v>
      </c>
      <c r="C51" s="29" t="s">
        <v>4286</v>
      </c>
      <c r="D51" s="29" t="s">
        <v>4287</v>
      </c>
      <c r="E51">
        <v>50</v>
      </c>
      <c r="K51" t="s">
        <v>4288</v>
      </c>
    </row>
    <row r="52" spans="1:11">
      <c r="A52" s="28">
        <v>42605</v>
      </c>
      <c r="B52" s="28">
        <v>42635</v>
      </c>
      <c r="C52" s="29" t="s">
        <v>4289</v>
      </c>
      <c r="D52" s="29" t="s">
        <v>4290</v>
      </c>
      <c r="E52">
        <v>51</v>
      </c>
      <c r="K52" t="s">
        <v>4291</v>
      </c>
    </row>
    <row r="53" spans="1:11">
      <c r="A53" s="28">
        <v>42636</v>
      </c>
      <c r="B53" s="28">
        <v>42665</v>
      </c>
      <c r="C53" s="29" t="s">
        <v>4292</v>
      </c>
      <c r="D53" s="29" t="s">
        <v>4293</v>
      </c>
      <c r="E53">
        <v>52</v>
      </c>
      <c r="K53" t="s">
        <v>4294</v>
      </c>
    </row>
    <row r="54" spans="1:11">
      <c r="A54" s="28">
        <v>42666</v>
      </c>
      <c r="B54" s="28">
        <v>42696</v>
      </c>
      <c r="C54" s="29" t="s">
        <v>4295</v>
      </c>
      <c r="D54" s="29" t="s">
        <v>4296</v>
      </c>
      <c r="E54">
        <v>53</v>
      </c>
      <c r="K54" t="s">
        <v>4297</v>
      </c>
    </row>
    <row r="55" spans="1:11">
      <c r="A55" s="28">
        <v>42697</v>
      </c>
      <c r="B55" s="28">
        <v>42726</v>
      </c>
      <c r="C55" s="29" t="s">
        <v>4298</v>
      </c>
      <c r="D55" s="29" t="s">
        <v>4299</v>
      </c>
      <c r="E55">
        <v>54</v>
      </c>
      <c r="K55" t="s">
        <v>4300</v>
      </c>
    </row>
    <row r="56" spans="1:11">
      <c r="A56" s="28">
        <v>42727</v>
      </c>
      <c r="B56" s="28">
        <v>42757</v>
      </c>
      <c r="C56" s="29" t="s">
        <v>4301</v>
      </c>
      <c r="D56" s="29" t="s">
        <v>4302</v>
      </c>
      <c r="E56">
        <v>55</v>
      </c>
      <c r="K56" t="s">
        <v>4303</v>
      </c>
    </row>
    <row r="57" spans="1:11">
      <c r="A57" s="28">
        <v>42758</v>
      </c>
      <c r="B57" s="28">
        <v>42788</v>
      </c>
      <c r="C57" s="29" t="s">
        <v>4304</v>
      </c>
      <c r="D57" s="29" t="s">
        <v>4305</v>
      </c>
      <c r="E57">
        <v>56</v>
      </c>
      <c r="K57" t="s">
        <v>4306</v>
      </c>
    </row>
    <row r="58" spans="1:11">
      <c r="A58" s="28">
        <v>42789</v>
      </c>
      <c r="B58" s="28">
        <v>42816</v>
      </c>
      <c r="C58" s="29" t="s">
        <v>4307</v>
      </c>
      <c r="D58" s="29" t="s">
        <v>4308</v>
      </c>
      <c r="E58">
        <v>57</v>
      </c>
      <c r="K58" t="s">
        <v>4309</v>
      </c>
    </row>
    <row r="59" spans="1:11">
      <c r="A59" s="28">
        <v>42817</v>
      </c>
      <c r="B59" s="28">
        <v>42847</v>
      </c>
      <c r="C59" s="29" t="s">
        <v>4310</v>
      </c>
      <c r="D59" s="29" t="s">
        <v>4311</v>
      </c>
      <c r="E59">
        <v>58</v>
      </c>
      <c r="K59" t="s">
        <v>4312</v>
      </c>
    </row>
    <row r="60" spans="1:11">
      <c r="A60" s="28">
        <v>42848</v>
      </c>
      <c r="B60" s="28">
        <v>42877</v>
      </c>
      <c r="C60" s="29" t="s">
        <v>4313</v>
      </c>
      <c r="D60" s="29" t="s">
        <v>4314</v>
      </c>
      <c r="E60">
        <v>59</v>
      </c>
      <c r="K60" t="s">
        <v>4315</v>
      </c>
    </row>
    <row r="61" spans="1:11">
      <c r="A61" s="28">
        <v>42878</v>
      </c>
      <c r="B61" s="28">
        <v>42908</v>
      </c>
      <c r="C61" s="29" t="s">
        <v>4316</v>
      </c>
      <c r="D61" s="29" t="s">
        <v>4317</v>
      </c>
      <c r="E61">
        <v>60</v>
      </c>
      <c r="K61" t="s">
        <v>4318</v>
      </c>
    </row>
    <row r="62" spans="1:11">
      <c r="A62" s="28">
        <v>42909</v>
      </c>
      <c r="B62" s="28">
        <v>42938</v>
      </c>
      <c r="C62" s="29" t="s">
        <v>4319</v>
      </c>
      <c r="D62" s="29" t="s">
        <v>4320</v>
      </c>
      <c r="E62">
        <v>61</v>
      </c>
      <c r="G62" s="1">
        <v>40179</v>
      </c>
      <c r="H62" t="s">
        <v>4321</v>
      </c>
      <c r="K62" t="s">
        <v>4322</v>
      </c>
    </row>
    <row r="63" spans="1:11">
      <c r="A63" s="28">
        <v>42939</v>
      </c>
      <c r="B63" s="28">
        <v>42969</v>
      </c>
      <c r="C63" s="29" t="s">
        <v>4323</v>
      </c>
      <c r="D63" s="29" t="s">
        <v>4324</v>
      </c>
      <c r="E63">
        <v>62</v>
      </c>
      <c r="G63" s="1">
        <v>40544</v>
      </c>
      <c r="H63" t="s">
        <v>4321</v>
      </c>
      <c r="K63" t="s">
        <v>4325</v>
      </c>
    </row>
    <row r="64" spans="1:11">
      <c r="A64" s="28">
        <v>42970</v>
      </c>
      <c r="B64" s="28">
        <v>43000</v>
      </c>
      <c r="C64" s="29" t="s">
        <v>4326</v>
      </c>
      <c r="D64" s="29" t="s">
        <v>4327</v>
      </c>
      <c r="E64">
        <v>63</v>
      </c>
      <c r="G64" s="1">
        <v>40909</v>
      </c>
      <c r="H64" t="s">
        <v>4321</v>
      </c>
      <c r="K64" t="s">
        <v>4328</v>
      </c>
    </row>
    <row r="65" spans="1:13">
      <c r="A65" s="28">
        <v>43001</v>
      </c>
      <c r="B65" s="28">
        <v>43030</v>
      </c>
      <c r="C65" s="29" t="s">
        <v>4329</v>
      </c>
      <c r="D65" s="29" t="s">
        <v>4330</v>
      </c>
      <c r="E65">
        <v>64</v>
      </c>
      <c r="G65" s="1">
        <v>41275</v>
      </c>
      <c r="H65" t="s">
        <v>4321</v>
      </c>
      <c r="K65" t="s">
        <v>4331</v>
      </c>
    </row>
    <row r="66" spans="1:13">
      <c r="A66" s="28">
        <v>43031</v>
      </c>
      <c r="B66" s="28">
        <v>43061</v>
      </c>
      <c r="C66" s="29" t="s">
        <v>4332</v>
      </c>
      <c r="D66" s="29" t="s">
        <v>4333</v>
      </c>
      <c r="E66">
        <v>65</v>
      </c>
      <c r="G66" s="1">
        <v>41640</v>
      </c>
      <c r="H66" t="s">
        <v>4321</v>
      </c>
      <c r="K66" t="s">
        <v>4334</v>
      </c>
    </row>
    <row r="67" spans="1:13">
      <c r="A67" s="28">
        <v>43062</v>
      </c>
      <c r="B67" s="28">
        <v>43091</v>
      </c>
      <c r="C67" s="29" t="s">
        <v>4335</v>
      </c>
      <c r="D67" s="29" t="s">
        <v>4336</v>
      </c>
      <c r="E67">
        <v>66</v>
      </c>
      <c r="G67" s="1">
        <v>42005</v>
      </c>
      <c r="H67" t="s">
        <v>4321</v>
      </c>
      <c r="K67" t="s">
        <v>4337</v>
      </c>
    </row>
    <row r="68" spans="1:13">
      <c r="A68" s="28">
        <v>43092</v>
      </c>
      <c r="B68" s="28">
        <v>43122</v>
      </c>
      <c r="C68" s="29" t="s">
        <v>4338</v>
      </c>
      <c r="D68" s="29" t="s">
        <v>4339</v>
      </c>
      <c r="E68">
        <v>67</v>
      </c>
      <c r="G68" s="1">
        <v>42370</v>
      </c>
      <c r="H68" t="s">
        <v>4321</v>
      </c>
      <c r="K68" t="s">
        <v>4340</v>
      </c>
    </row>
    <row r="69" spans="1:13">
      <c r="A69" s="28">
        <v>43123</v>
      </c>
      <c r="B69" s="28">
        <v>43153</v>
      </c>
      <c r="C69" s="29" t="s">
        <v>4341</v>
      </c>
      <c r="D69" s="29" t="s">
        <v>4342</v>
      </c>
      <c r="E69">
        <v>68</v>
      </c>
      <c r="G69" s="30">
        <v>42392</v>
      </c>
      <c r="H69" t="s">
        <v>4343</v>
      </c>
      <c r="I69" t="s">
        <v>4138</v>
      </c>
      <c r="J69" t="str">
        <f>H69&amp;I69</f>
        <v>Semana 1CA</v>
      </c>
      <c r="K69" t="s">
        <v>4344</v>
      </c>
    </row>
    <row r="70" spans="1:13">
      <c r="A70" s="28">
        <v>43154</v>
      </c>
      <c r="B70" s="28">
        <v>43181</v>
      </c>
      <c r="C70" s="29" t="s">
        <v>4345</v>
      </c>
      <c r="D70" s="29" t="s">
        <v>4346</v>
      </c>
      <c r="E70">
        <v>69</v>
      </c>
      <c r="G70" s="30">
        <v>42401</v>
      </c>
      <c r="H70" t="s">
        <v>4347</v>
      </c>
      <c r="I70" t="s">
        <v>4138</v>
      </c>
      <c r="J70" t="str">
        <f t="shared" ref="J70:J133" si="0">H70&amp;I70</f>
        <v>Semana 2CA</v>
      </c>
      <c r="K70" t="s">
        <v>4348</v>
      </c>
    </row>
    <row r="71" spans="1:13">
      <c r="A71" s="28">
        <v>43182</v>
      </c>
      <c r="B71" s="28">
        <v>43212</v>
      </c>
      <c r="C71" s="29" t="s">
        <v>4349</v>
      </c>
      <c r="D71" s="29" t="s">
        <v>4350</v>
      </c>
      <c r="E71">
        <v>70</v>
      </c>
      <c r="G71" s="30">
        <v>42408</v>
      </c>
      <c r="H71" t="s">
        <v>4351</v>
      </c>
      <c r="I71" t="s">
        <v>4138</v>
      </c>
      <c r="J71" t="str">
        <f t="shared" si="0"/>
        <v>Semana 3CA</v>
      </c>
      <c r="K71" t="s">
        <v>4352</v>
      </c>
    </row>
    <row r="72" spans="1:13">
      <c r="A72" s="28">
        <v>43213</v>
      </c>
      <c r="B72" s="28">
        <v>43242</v>
      </c>
      <c r="C72" s="29" t="s">
        <v>4353</v>
      </c>
      <c r="D72" s="29" t="s">
        <v>4354</v>
      </c>
      <c r="E72">
        <v>71</v>
      </c>
      <c r="G72" s="30">
        <v>42415</v>
      </c>
      <c r="H72" t="s">
        <v>4355</v>
      </c>
      <c r="I72" t="s">
        <v>4138</v>
      </c>
      <c r="J72" t="str">
        <f t="shared" si="0"/>
        <v>Semana 4CA</v>
      </c>
      <c r="K72" t="s">
        <v>4356</v>
      </c>
    </row>
    <row r="73" spans="1:13">
      <c r="A73" s="28">
        <v>43243</v>
      </c>
      <c r="B73" s="28">
        <v>43243</v>
      </c>
      <c r="C73" s="29" t="s">
        <v>4357</v>
      </c>
      <c r="D73" s="29" t="s">
        <v>4357</v>
      </c>
      <c r="E73" t="s">
        <v>4357</v>
      </c>
      <c r="G73" s="30">
        <v>42423</v>
      </c>
      <c r="H73" t="s">
        <v>4358</v>
      </c>
      <c r="I73" t="s">
        <v>4138</v>
      </c>
      <c r="J73" t="str">
        <f t="shared" si="0"/>
        <v>Semana 5CA</v>
      </c>
      <c r="K73" t="s">
        <v>4359</v>
      </c>
    </row>
    <row r="74" spans="1:13">
      <c r="A74" s="28">
        <f>B72+2</f>
        <v>43244</v>
      </c>
      <c r="B74" s="28">
        <v>43274</v>
      </c>
      <c r="C74" s="29" t="s">
        <v>4360</v>
      </c>
      <c r="D74" s="29" t="s">
        <v>4361</v>
      </c>
      <c r="E74">
        <v>72</v>
      </c>
      <c r="G74" s="30">
        <v>42429</v>
      </c>
      <c r="H74" t="s">
        <v>4362</v>
      </c>
      <c r="I74" t="s">
        <v>4138</v>
      </c>
      <c r="J74" t="str">
        <f t="shared" si="0"/>
        <v>Semana 6CA</v>
      </c>
      <c r="K74" t="s">
        <v>4363</v>
      </c>
    </row>
    <row r="75" spans="1:13">
      <c r="A75" s="28">
        <f>B74+1</f>
        <v>43275</v>
      </c>
      <c r="B75" s="28">
        <v>43304</v>
      </c>
      <c r="C75" s="29" t="s">
        <v>4364</v>
      </c>
      <c r="D75" s="29" t="s">
        <v>4365</v>
      </c>
      <c r="E75">
        <v>73</v>
      </c>
      <c r="G75" s="30">
        <v>42436</v>
      </c>
      <c r="H75" t="s">
        <v>4366</v>
      </c>
      <c r="I75" t="s">
        <v>4138</v>
      </c>
      <c r="J75" t="str">
        <f t="shared" si="0"/>
        <v>Semana 7CA</v>
      </c>
      <c r="K75" t="s">
        <v>4367</v>
      </c>
    </row>
    <row r="76" spans="1:13">
      <c r="A76" s="28">
        <f t="shared" ref="A76:A100" si="1">B75+1</f>
        <v>43305</v>
      </c>
      <c r="B76" s="28">
        <v>43335</v>
      </c>
      <c r="C76" s="29" t="s">
        <v>4368</v>
      </c>
      <c r="D76" s="29" t="s">
        <v>4369</v>
      </c>
      <c r="E76">
        <v>74</v>
      </c>
      <c r="G76" s="30">
        <v>42443</v>
      </c>
      <c r="H76" t="s">
        <v>4370</v>
      </c>
      <c r="I76" t="s">
        <v>4138</v>
      </c>
      <c r="J76" t="str">
        <f t="shared" si="0"/>
        <v>Semana 8CA</v>
      </c>
      <c r="K76" t="s">
        <v>4371</v>
      </c>
    </row>
    <row r="77" spans="1:13">
      <c r="A77" s="28">
        <f t="shared" si="1"/>
        <v>43336</v>
      </c>
      <c r="B77" s="28">
        <v>43366</v>
      </c>
      <c r="C77" s="29" t="s">
        <v>4372</v>
      </c>
      <c r="D77" s="29" t="s">
        <v>4373</v>
      </c>
      <c r="E77">
        <v>75</v>
      </c>
      <c r="G77" s="30">
        <v>42452</v>
      </c>
      <c r="H77" t="s">
        <v>4374</v>
      </c>
      <c r="I77" t="s">
        <v>4138</v>
      </c>
      <c r="J77" t="str">
        <f t="shared" si="0"/>
        <v>Semana 9CA</v>
      </c>
      <c r="K77" t="s">
        <v>4375</v>
      </c>
      <c r="L77" s="1"/>
      <c r="M77" s="1"/>
    </row>
    <row r="78" spans="1:13">
      <c r="A78" s="28">
        <f t="shared" si="1"/>
        <v>43367</v>
      </c>
      <c r="B78" s="28">
        <v>43396</v>
      </c>
      <c r="C78" s="29" t="s">
        <v>4376</v>
      </c>
      <c r="D78" s="29" t="s">
        <v>4377</v>
      </c>
      <c r="E78">
        <v>76</v>
      </c>
      <c r="G78" s="30">
        <v>42464</v>
      </c>
      <c r="H78" t="s">
        <v>4378</v>
      </c>
      <c r="I78" t="s">
        <v>4138</v>
      </c>
      <c r="J78" t="str">
        <f t="shared" si="0"/>
        <v>Semana 10CA</v>
      </c>
      <c r="K78" t="s">
        <v>4379</v>
      </c>
      <c r="L78" s="1"/>
      <c r="M78" s="1"/>
    </row>
    <row r="79" spans="1:13">
      <c r="A79" s="28">
        <f t="shared" si="1"/>
        <v>43397</v>
      </c>
      <c r="B79" s="28">
        <v>43427</v>
      </c>
      <c r="C79" s="29" t="s">
        <v>4380</v>
      </c>
      <c r="D79" s="29" t="s">
        <v>4381</v>
      </c>
      <c r="E79">
        <v>77</v>
      </c>
      <c r="G79" s="30">
        <v>42471</v>
      </c>
      <c r="H79" t="s">
        <v>4382</v>
      </c>
      <c r="I79" t="s">
        <v>4138</v>
      </c>
      <c r="J79" t="str">
        <f t="shared" si="0"/>
        <v>Semana 11CA</v>
      </c>
      <c r="K79" t="s">
        <v>4383</v>
      </c>
      <c r="L79" s="1"/>
      <c r="M79" s="1"/>
    </row>
    <row r="80" spans="1:13">
      <c r="A80" s="28">
        <f t="shared" si="1"/>
        <v>43428</v>
      </c>
      <c r="B80" s="28">
        <v>43457</v>
      </c>
      <c r="C80" s="29" t="s">
        <v>4384</v>
      </c>
      <c r="D80" s="29" t="s">
        <v>4385</v>
      </c>
      <c r="E80">
        <v>78</v>
      </c>
      <c r="G80" s="30">
        <v>42478</v>
      </c>
      <c r="H80" t="s">
        <v>4386</v>
      </c>
      <c r="I80" t="s">
        <v>4138</v>
      </c>
      <c r="J80" t="str">
        <f t="shared" si="0"/>
        <v>Semana 12CA</v>
      </c>
      <c r="K80" t="s">
        <v>4387</v>
      </c>
      <c r="L80" s="1"/>
      <c r="M80" s="1"/>
    </row>
    <row r="81" spans="1:13">
      <c r="A81" s="28">
        <f t="shared" si="1"/>
        <v>43458</v>
      </c>
      <c r="B81" s="28">
        <v>43488</v>
      </c>
      <c r="C81" s="29" t="s">
        <v>4388</v>
      </c>
      <c r="D81" s="29" t="s">
        <v>4389</v>
      </c>
      <c r="E81">
        <v>79</v>
      </c>
      <c r="G81" s="30">
        <v>42483</v>
      </c>
      <c r="H81" t="s">
        <v>4390</v>
      </c>
      <c r="I81" t="s">
        <v>4138</v>
      </c>
      <c r="J81" t="str">
        <f t="shared" si="0"/>
        <v>Semana 13CA</v>
      </c>
      <c r="K81" t="s">
        <v>4391</v>
      </c>
      <c r="L81" s="1"/>
      <c r="M81" s="1"/>
    </row>
    <row r="82" spans="1:13">
      <c r="A82" s="28">
        <f t="shared" si="1"/>
        <v>43489</v>
      </c>
      <c r="B82" s="28">
        <v>43519</v>
      </c>
      <c r="C82" s="29" t="s">
        <v>4392</v>
      </c>
      <c r="D82" s="29" t="s">
        <v>4393</v>
      </c>
      <c r="E82">
        <v>80</v>
      </c>
      <c r="G82" s="30">
        <v>42492</v>
      </c>
      <c r="H82" t="s">
        <v>4394</v>
      </c>
      <c r="I82" t="s">
        <v>4138</v>
      </c>
      <c r="J82" t="str">
        <f t="shared" si="0"/>
        <v>Semana 14CA</v>
      </c>
      <c r="K82" t="s">
        <v>4395</v>
      </c>
      <c r="L82" s="1"/>
      <c r="M82" s="1"/>
    </row>
    <row r="83" spans="1:13">
      <c r="A83" s="28">
        <f t="shared" si="1"/>
        <v>43520</v>
      </c>
      <c r="B83" s="28">
        <v>43547</v>
      </c>
      <c r="C83" s="29" t="s">
        <v>4396</v>
      </c>
      <c r="D83" s="29" t="s">
        <v>4397</v>
      </c>
      <c r="E83">
        <v>81</v>
      </c>
      <c r="G83" s="30">
        <v>42499</v>
      </c>
      <c r="H83" t="s">
        <v>4398</v>
      </c>
      <c r="I83" t="s">
        <v>4138</v>
      </c>
      <c r="J83" t="str">
        <f t="shared" si="0"/>
        <v>Semana 15CA</v>
      </c>
      <c r="K83" t="s">
        <v>4399</v>
      </c>
      <c r="L83" s="1"/>
      <c r="M83" s="1"/>
    </row>
    <row r="84" spans="1:13">
      <c r="A84" s="28">
        <f t="shared" si="1"/>
        <v>43548</v>
      </c>
      <c r="B84" s="28">
        <v>43578</v>
      </c>
      <c r="C84" s="29" t="s">
        <v>4400</v>
      </c>
      <c r="D84" s="29" t="s">
        <v>4401</v>
      </c>
      <c r="E84">
        <v>82</v>
      </c>
      <c r="G84" s="30">
        <v>42506</v>
      </c>
      <c r="H84" t="s">
        <v>4402</v>
      </c>
      <c r="I84" t="s">
        <v>4138</v>
      </c>
      <c r="J84" t="str">
        <f t="shared" si="0"/>
        <v>Semana 16CA</v>
      </c>
      <c r="K84" t="s">
        <v>4403</v>
      </c>
      <c r="L84" s="1"/>
      <c r="M84" s="1"/>
    </row>
    <row r="85" spans="1:13">
      <c r="A85" s="28">
        <f t="shared" si="1"/>
        <v>43579</v>
      </c>
      <c r="B85" s="28">
        <v>43608</v>
      </c>
      <c r="C85" s="29" t="s">
        <v>4404</v>
      </c>
      <c r="D85" s="29" t="s">
        <v>4405</v>
      </c>
      <c r="E85">
        <v>83</v>
      </c>
      <c r="G85" s="30">
        <v>42513</v>
      </c>
      <c r="H85" t="s">
        <v>4406</v>
      </c>
      <c r="I85" t="s">
        <v>4138</v>
      </c>
      <c r="J85" t="str">
        <f t="shared" si="0"/>
        <v>Semana 17CA</v>
      </c>
      <c r="K85" t="s">
        <v>4407</v>
      </c>
      <c r="L85" s="1"/>
      <c r="M85" s="1"/>
    </row>
    <row r="86" spans="1:13">
      <c r="A86" s="28">
        <f t="shared" si="1"/>
        <v>43609</v>
      </c>
      <c r="B86" s="28">
        <v>43639</v>
      </c>
      <c r="C86" s="29" t="s">
        <v>4408</v>
      </c>
      <c r="D86" s="29" t="s">
        <v>4409</v>
      </c>
      <c r="E86">
        <v>84</v>
      </c>
      <c r="G86" s="30">
        <v>42520</v>
      </c>
      <c r="H86" t="s">
        <v>4410</v>
      </c>
      <c r="I86" t="s">
        <v>4138</v>
      </c>
      <c r="J86" t="str">
        <f t="shared" si="0"/>
        <v>Semana 18CA</v>
      </c>
      <c r="K86" t="s">
        <v>4411</v>
      </c>
      <c r="L86" s="1"/>
      <c r="M86" s="1"/>
    </row>
    <row r="87" spans="1:13">
      <c r="A87" s="28">
        <f t="shared" si="1"/>
        <v>43640</v>
      </c>
      <c r="B87" s="28">
        <v>43669</v>
      </c>
      <c r="C87" s="29" t="s">
        <v>4412</v>
      </c>
      <c r="D87" s="29" t="s">
        <v>4413</v>
      </c>
      <c r="E87">
        <v>85</v>
      </c>
      <c r="G87" s="30">
        <v>42527</v>
      </c>
      <c r="H87" t="s">
        <v>4414</v>
      </c>
      <c r="I87" t="s">
        <v>4138</v>
      </c>
      <c r="J87" t="str">
        <f t="shared" si="0"/>
        <v>Semana 19CA</v>
      </c>
      <c r="K87" t="s">
        <v>4415</v>
      </c>
      <c r="L87" s="1"/>
      <c r="M87" s="1"/>
    </row>
    <row r="88" spans="1:13">
      <c r="A88" s="28">
        <f t="shared" si="1"/>
        <v>43670</v>
      </c>
      <c r="B88" s="28">
        <v>43700</v>
      </c>
      <c r="C88" s="29" t="s">
        <v>4416</v>
      </c>
      <c r="D88" s="29" t="s">
        <v>4120</v>
      </c>
      <c r="E88">
        <v>86</v>
      </c>
      <c r="G88" s="30">
        <v>42534</v>
      </c>
      <c r="H88" t="s">
        <v>4417</v>
      </c>
      <c r="I88" t="s">
        <v>4138</v>
      </c>
      <c r="J88" t="str">
        <f t="shared" si="0"/>
        <v>Semana 20CA</v>
      </c>
      <c r="K88" t="str">
        <f t="shared" ref="K88:K90" si="2">H88&amp;"
"&amp;TEXT(L88,"dd/mm/aa")&amp;" - "&amp;TEXT(M88,"dd/mm/aa")</f>
        <v>Semana 20
13/06/16 - 22/06/16</v>
      </c>
      <c r="L88" s="1">
        <v>42534</v>
      </c>
      <c r="M88" s="1">
        <v>42543</v>
      </c>
    </row>
    <row r="89" spans="1:13">
      <c r="A89" s="28">
        <f t="shared" si="1"/>
        <v>43701</v>
      </c>
      <c r="B89" s="28">
        <v>43731</v>
      </c>
      <c r="C89" s="29" t="s">
        <v>4418</v>
      </c>
      <c r="D89" s="29" t="s">
        <v>4129</v>
      </c>
      <c r="E89">
        <v>87</v>
      </c>
      <c r="G89" s="30">
        <v>42544</v>
      </c>
      <c r="H89" t="s">
        <v>4419</v>
      </c>
      <c r="I89" t="s">
        <v>4138</v>
      </c>
      <c r="J89" t="str">
        <f t="shared" si="0"/>
        <v>Semana 21CA</v>
      </c>
      <c r="K89" t="str">
        <f t="shared" si="2"/>
        <v>Semana 21
23/06/16 - 03/07/16</v>
      </c>
      <c r="L89" s="1">
        <v>42544</v>
      </c>
      <c r="M89" s="1">
        <v>42554</v>
      </c>
    </row>
    <row r="90" spans="1:13">
      <c r="A90" s="28">
        <f t="shared" si="1"/>
        <v>43732</v>
      </c>
      <c r="B90" s="28">
        <v>43761</v>
      </c>
      <c r="C90" s="29" t="s">
        <v>4420</v>
      </c>
      <c r="D90" s="29" t="s">
        <v>4123</v>
      </c>
      <c r="E90">
        <v>88</v>
      </c>
      <c r="G90" s="30">
        <v>42555</v>
      </c>
      <c r="H90" t="s">
        <v>4421</v>
      </c>
      <c r="I90" t="s">
        <v>4138</v>
      </c>
      <c r="J90" t="str">
        <f t="shared" si="0"/>
        <v>Semana 22CA</v>
      </c>
      <c r="K90" t="str">
        <f t="shared" si="2"/>
        <v>Semana 22
04/07/16 - 10/07/16</v>
      </c>
      <c r="L90" s="1">
        <v>42555</v>
      </c>
      <c r="M90" s="1">
        <v>42561</v>
      </c>
    </row>
    <row r="91" spans="1:13">
      <c r="A91" s="28">
        <f t="shared" si="1"/>
        <v>43762</v>
      </c>
      <c r="B91" s="28">
        <v>43792</v>
      </c>
      <c r="C91" s="29" t="s">
        <v>4422</v>
      </c>
      <c r="D91" s="29" t="s">
        <v>4121</v>
      </c>
      <c r="E91">
        <v>89</v>
      </c>
      <c r="G91" s="30">
        <v>42562</v>
      </c>
      <c r="H91" t="s">
        <v>4423</v>
      </c>
      <c r="I91" t="s">
        <v>4138</v>
      </c>
      <c r="J91" t="str">
        <f t="shared" si="0"/>
        <v>Semana 23CA</v>
      </c>
      <c r="K91" t="s">
        <v>4424</v>
      </c>
      <c r="L91" s="1">
        <v>42562</v>
      </c>
      <c r="M91" s="1">
        <v>42568</v>
      </c>
    </row>
    <row r="92" spans="1:13">
      <c r="A92" s="28">
        <f t="shared" si="1"/>
        <v>43793</v>
      </c>
      <c r="B92" s="28">
        <v>43822</v>
      </c>
      <c r="C92" s="29" t="s">
        <v>4425</v>
      </c>
      <c r="D92" s="29" t="s">
        <v>4124</v>
      </c>
      <c r="E92">
        <v>90</v>
      </c>
      <c r="G92" s="30">
        <v>42569</v>
      </c>
      <c r="H92" t="s">
        <v>4426</v>
      </c>
      <c r="I92" t="s">
        <v>4138</v>
      </c>
      <c r="J92" t="str">
        <f t="shared" si="0"/>
        <v>Semana 24CA</v>
      </c>
      <c r="K92" t="s">
        <v>4427</v>
      </c>
      <c r="L92" s="1">
        <v>42569</v>
      </c>
      <c r="M92" s="1">
        <v>42573</v>
      </c>
    </row>
    <row r="93" spans="1:13">
      <c r="A93" s="28">
        <f t="shared" si="1"/>
        <v>43823</v>
      </c>
      <c r="B93" s="28">
        <v>43853</v>
      </c>
      <c r="C93" s="29" t="s">
        <v>4428</v>
      </c>
      <c r="D93" s="29" t="s">
        <v>4127</v>
      </c>
      <c r="E93">
        <v>91</v>
      </c>
      <c r="G93" s="30">
        <v>42574</v>
      </c>
      <c r="H93" t="s">
        <v>4429</v>
      </c>
      <c r="I93" t="s">
        <v>4138</v>
      </c>
      <c r="J93" t="str">
        <f t="shared" si="0"/>
        <v>Semana 25CA</v>
      </c>
      <c r="K93" t="s">
        <v>4430</v>
      </c>
      <c r="L93" s="1">
        <v>42574</v>
      </c>
      <c r="M93" s="1">
        <v>42582</v>
      </c>
    </row>
    <row r="94" spans="1:13">
      <c r="A94" s="28">
        <f t="shared" si="1"/>
        <v>43854</v>
      </c>
      <c r="B94" s="28">
        <v>43884</v>
      </c>
      <c r="C94" s="29" t="s">
        <v>4431</v>
      </c>
      <c r="D94" s="29" t="s">
        <v>4122</v>
      </c>
      <c r="E94">
        <v>92</v>
      </c>
      <c r="G94" s="30">
        <v>42583</v>
      </c>
      <c r="H94" t="s">
        <v>4432</v>
      </c>
      <c r="I94" t="s">
        <v>4138</v>
      </c>
      <c r="J94" t="str">
        <f t="shared" si="0"/>
        <v>Semana 26CA</v>
      </c>
      <c r="K94" t="s">
        <v>4433</v>
      </c>
      <c r="L94" s="1">
        <v>42583</v>
      </c>
      <c r="M94" s="1">
        <v>42589</v>
      </c>
    </row>
    <row r="95" spans="1:13">
      <c r="A95" s="28">
        <f t="shared" si="1"/>
        <v>43885</v>
      </c>
      <c r="B95" s="28">
        <v>43913</v>
      </c>
      <c r="C95" s="29" t="s">
        <v>4434</v>
      </c>
      <c r="D95" s="29" t="s">
        <v>4128</v>
      </c>
      <c r="E95">
        <v>93</v>
      </c>
      <c r="G95" s="30">
        <v>42590</v>
      </c>
      <c r="H95" t="s">
        <v>4435</v>
      </c>
      <c r="I95" t="s">
        <v>4138</v>
      </c>
      <c r="J95" t="str">
        <f t="shared" si="0"/>
        <v>Semana 27CA</v>
      </c>
      <c r="K95" t="s">
        <v>4436</v>
      </c>
      <c r="L95" s="1">
        <v>42590</v>
      </c>
      <c r="M95" s="1">
        <v>42596</v>
      </c>
    </row>
    <row r="96" spans="1:13">
      <c r="A96" s="28">
        <f t="shared" si="1"/>
        <v>43914</v>
      </c>
      <c r="B96" s="28">
        <v>43944</v>
      </c>
      <c r="C96" s="29" t="s">
        <v>4437</v>
      </c>
      <c r="D96" s="29" t="s">
        <v>4125</v>
      </c>
      <c r="E96">
        <v>94</v>
      </c>
      <c r="G96" s="30">
        <v>42597</v>
      </c>
      <c r="H96" t="s">
        <v>4438</v>
      </c>
      <c r="I96" t="s">
        <v>4138</v>
      </c>
      <c r="J96" t="str">
        <f t="shared" si="0"/>
        <v>Semana 28CA</v>
      </c>
      <c r="K96" t="s">
        <v>4439</v>
      </c>
      <c r="L96" s="1">
        <v>42597</v>
      </c>
      <c r="M96" s="1">
        <v>42604</v>
      </c>
    </row>
    <row r="97" spans="1:15">
      <c r="A97" s="28">
        <f t="shared" si="1"/>
        <v>43945</v>
      </c>
      <c r="B97" s="28">
        <v>43974</v>
      </c>
      <c r="C97" s="29" t="s">
        <v>4440</v>
      </c>
      <c r="D97" s="29" t="s">
        <v>4126</v>
      </c>
      <c r="E97">
        <v>95</v>
      </c>
      <c r="G97" s="30">
        <v>42605</v>
      </c>
      <c r="H97" t="s">
        <v>4441</v>
      </c>
      <c r="I97" t="s">
        <v>4138</v>
      </c>
      <c r="J97" t="str">
        <f t="shared" si="0"/>
        <v>Semana 29CA</v>
      </c>
      <c r="K97" t="s">
        <v>4442</v>
      </c>
      <c r="L97" s="1">
        <v>42605</v>
      </c>
      <c r="M97" s="1">
        <v>42610</v>
      </c>
    </row>
    <row r="98" spans="1:15">
      <c r="A98" s="28">
        <f t="shared" si="1"/>
        <v>43975</v>
      </c>
      <c r="B98" s="28">
        <v>44005</v>
      </c>
      <c r="C98" s="29" t="s">
        <v>4443</v>
      </c>
      <c r="D98" s="29" t="s">
        <v>4444</v>
      </c>
      <c r="E98">
        <v>96</v>
      </c>
      <c r="G98" s="30">
        <v>42611</v>
      </c>
      <c r="H98" t="s">
        <v>4445</v>
      </c>
      <c r="I98" t="s">
        <v>4138</v>
      </c>
      <c r="J98" t="str">
        <f t="shared" si="0"/>
        <v>Semana 30CA</v>
      </c>
      <c r="K98" t="s">
        <v>4446</v>
      </c>
      <c r="L98" s="1">
        <v>42611</v>
      </c>
      <c r="M98" s="1">
        <v>42617</v>
      </c>
      <c r="O98" s="1"/>
    </row>
    <row r="99" spans="1:15">
      <c r="A99" s="28">
        <f t="shared" si="1"/>
        <v>44006</v>
      </c>
      <c r="B99" s="28">
        <v>44035</v>
      </c>
      <c r="C99" s="29" t="s">
        <v>4447</v>
      </c>
      <c r="D99" s="29" t="s">
        <v>4448</v>
      </c>
      <c r="E99">
        <v>97</v>
      </c>
      <c r="G99" s="30">
        <v>42618</v>
      </c>
      <c r="H99" t="s">
        <v>4449</v>
      </c>
      <c r="I99" t="s">
        <v>4138</v>
      </c>
      <c r="J99" t="str">
        <f t="shared" si="0"/>
        <v>Semana 31CA</v>
      </c>
      <c r="K99" t="s">
        <v>4450</v>
      </c>
      <c r="L99" s="1">
        <v>42618</v>
      </c>
      <c r="M99" s="1">
        <v>42624</v>
      </c>
    </row>
    <row r="100" spans="1:15">
      <c r="A100" s="28">
        <f t="shared" si="1"/>
        <v>44036</v>
      </c>
      <c r="B100" s="28">
        <v>44066</v>
      </c>
      <c r="C100" s="29" t="s">
        <v>4451</v>
      </c>
      <c r="D100" s="29" t="s">
        <v>4452</v>
      </c>
      <c r="E100">
        <v>98</v>
      </c>
      <c r="G100" s="30">
        <v>42625</v>
      </c>
      <c r="H100" t="s">
        <v>4453</v>
      </c>
      <c r="I100" t="s">
        <v>4138</v>
      </c>
      <c r="J100" t="str">
        <f t="shared" si="0"/>
        <v>Semana 32CA</v>
      </c>
      <c r="K100" t="s">
        <v>4454</v>
      </c>
      <c r="L100" s="1">
        <v>42625</v>
      </c>
      <c r="M100" s="1">
        <v>42635</v>
      </c>
    </row>
    <row r="101" spans="1:15">
      <c r="A101" s="28">
        <f>B100+1</f>
        <v>44067</v>
      </c>
      <c r="B101" s="28">
        <v>44097</v>
      </c>
      <c r="C101" s="29" t="s">
        <v>4455</v>
      </c>
      <c r="D101" s="29" t="s">
        <v>4456</v>
      </c>
      <c r="E101">
        <v>99</v>
      </c>
      <c r="G101" s="30">
        <v>42636</v>
      </c>
      <c r="H101" t="s">
        <v>4457</v>
      </c>
      <c r="I101" t="s">
        <v>4138</v>
      </c>
      <c r="J101" t="str">
        <f t="shared" si="0"/>
        <v>Semana 33CA</v>
      </c>
      <c r="K101" t="s">
        <v>4458</v>
      </c>
      <c r="L101" s="1">
        <v>42636</v>
      </c>
      <c r="M101" s="1">
        <v>42645</v>
      </c>
    </row>
    <row r="102" spans="1:15">
      <c r="A102" s="28">
        <f>B101+1</f>
        <v>44098</v>
      </c>
      <c r="B102" s="28">
        <v>44097</v>
      </c>
      <c r="C102" s="29" t="s">
        <v>4455</v>
      </c>
      <c r="D102" s="29" t="s">
        <v>5061</v>
      </c>
      <c r="E102">
        <v>99</v>
      </c>
      <c r="G102" s="30">
        <v>42646</v>
      </c>
      <c r="H102" t="s">
        <v>4459</v>
      </c>
      <c r="I102" t="s">
        <v>4138</v>
      </c>
      <c r="J102" t="str">
        <f t="shared" si="0"/>
        <v>Semana 34CA</v>
      </c>
      <c r="K102" t="s">
        <v>4460</v>
      </c>
      <c r="L102" s="1">
        <v>42646</v>
      </c>
      <c r="M102" s="1">
        <v>42652</v>
      </c>
    </row>
    <row r="103" spans="1:15">
      <c r="A103" s="28">
        <f t="shared" ref="A103:A114" si="3">B102+1</f>
        <v>44098</v>
      </c>
      <c r="B103" s="28">
        <v>44127</v>
      </c>
      <c r="C103" s="29" t="s">
        <v>5128</v>
      </c>
      <c r="D103" s="29" t="s">
        <v>5063</v>
      </c>
      <c r="E103">
        <v>99</v>
      </c>
      <c r="G103" s="30">
        <v>42653</v>
      </c>
      <c r="H103" t="s">
        <v>4461</v>
      </c>
      <c r="I103" t="s">
        <v>4138</v>
      </c>
      <c r="J103" t="str">
        <f t="shared" si="0"/>
        <v>Semana 35CA</v>
      </c>
      <c r="K103" t="s">
        <v>4462</v>
      </c>
      <c r="L103" s="1">
        <v>42653</v>
      </c>
      <c r="M103" s="1">
        <v>42659</v>
      </c>
    </row>
    <row r="104" spans="1:15">
      <c r="A104" s="28">
        <f t="shared" si="3"/>
        <v>44128</v>
      </c>
      <c r="B104" s="28">
        <v>44158</v>
      </c>
      <c r="C104" s="29" t="s">
        <v>5129</v>
      </c>
      <c r="D104" s="29" t="s">
        <v>5064</v>
      </c>
      <c r="E104">
        <v>99</v>
      </c>
      <c r="G104" s="30">
        <v>42660</v>
      </c>
      <c r="H104" t="s">
        <v>4463</v>
      </c>
      <c r="I104" t="s">
        <v>4138</v>
      </c>
      <c r="J104" t="str">
        <f t="shared" si="0"/>
        <v>Semana 36CA</v>
      </c>
      <c r="K104" t="s">
        <v>4464</v>
      </c>
      <c r="L104" s="1">
        <v>42660</v>
      </c>
      <c r="M104" s="1">
        <v>42665</v>
      </c>
    </row>
    <row r="105" spans="1:15">
      <c r="A105" s="28">
        <f t="shared" si="3"/>
        <v>44159</v>
      </c>
      <c r="B105" s="28">
        <v>44188</v>
      </c>
      <c r="C105" s="29" t="s">
        <v>5130</v>
      </c>
      <c r="D105" s="29" t="s">
        <v>5065</v>
      </c>
      <c r="E105">
        <v>99</v>
      </c>
      <c r="G105" s="30">
        <v>42666</v>
      </c>
      <c r="H105" t="s">
        <v>4465</v>
      </c>
      <c r="I105" t="s">
        <v>4138</v>
      </c>
      <c r="J105" t="str">
        <f t="shared" si="0"/>
        <v>Semana 37CA</v>
      </c>
      <c r="K105" t="s">
        <v>4466</v>
      </c>
      <c r="L105" s="1">
        <v>42666</v>
      </c>
      <c r="M105" s="1">
        <v>42673</v>
      </c>
    </row>
    <row r="106" spans="1:15">
      <c r="A106" s="28">
        <f t="shared" si="3"/>
        <v>44189</v>
      </c>
      <c r="B106" s="28">
        <v>44219</v>
      </c>
      <c r="C106" s="29" t="s">
        <v>5131</v>
      </c>
      <c r="D106" s="29" t="s">
        <v>5066</v>
      </c>
      <c r="E106">
        <v>99</v>
      </c>
      <c r="G106" s="30">
        <v>42674</v>
      </c>
      <c r="H106" t="s">
        <v>4467</v>
      </c>
      <c r="I106" t="s">
        <v>4138</v>
      </c>
      <c r="J106" t="str">
        <f t="shared" si="0"/>
        <v>Semana 38CA</v>
      </c>
      <c r="K106" t="s">
        <v>4468</v>
      </c>
      <c r="L106" s="1">
        <v>42674</v>
      </c>
      <c r="M106" s="1">
        <v>42680</v>
      </c>
    </row>
    <row r="107" spans="1:15">
      <c r="A107" s="28">
        <f t="shared" si="3"/>
        <v>44220</v>
      </c>
      <c r="B107" s="28">
        <v>44250</v>
      </c>
      <c r="C107" s="29" t="s">
        <v>5132</v>
      </c>
      <c r="D107" s="29" t="s">
        <v>5067</v>
      </c>
      <c r="E107">
        <v>99</v>
      </c>
      <c r="G107" s="30">
        <v>42681</v>
      </c>
      <c r="H107" t="s">
        <v>4469</v>
      </c>
      <c r="I107" t="s">
        <v>4138</v>
      </c>
      <c r="J107" t="str">
        <f t="shared" si="0"/>
        <v>Semana 39CA</v>
      </c>
      <c r="K107" t="s">
        <v>4470</v>
      </c>
      <c r="L107" s="1">
        <v>42681</v>
      </c>
      <c r="M107" s="1">
        <v>42687</v>
      </c>
    </row>
    <row r="108" spans="1:15">
      <c r="A108" s="28">
        <f t="shared" si="3"/>
        <v>44251</v>
      </c>
      <c r="B108" s="28">
        <v>44278</v>
      </c>
      <c r="C108" s="29" t="s">
        <v>5133</v>
      </c>
      <c r="D108" s="29" t="s">
        <v>5068</v>
      </c>
      <c r="E108">
        <v>99</v>
      </c>
      <c r="G108" s="30">
        <v>42688</v>
      </c>
      <c r="H108" t="s">
        <v>4471</v>
      </c>
      <c r="I108" t="s">
        <v>4138</v>
      </c>
      <c r="J108" t="str">
        <f t="shared" si="0"/>
        <v>Semana 40CA</v>
      </c>
      <c r="K108" t="s">
        <v>4472</v>
      </c>
      <c r="L108" s="1">
        <v>42688</v>
      </c>
      <c r="M108" s="1">
        <v>42696</v>
      </c>
    </row>
    <row r="109" spans="1:15">
      <c r="A109" s="28">
        <f t="shared" si="3"/>
        <v>44279</v>
      </c>
      <c r="B109" s="28">
        <v>44309</v>
      </c>
      <c r="C109" s="29" t="s">
        <v>5134</v>
      </c>
      <c r="D109" s="29" t="s">
        <v>5069</v>
      </c>
      <c r="E109">
        <v>99</v>
      </c>
      <c r="G109" s="30">
        <v>42697</v>
      </c>
      <c r="H109" t="s">
        <v>4473</v>
      </c>
      <c r="I109" t="s">
        <v>4138</v>
      </c>
      <c r="J109" t="str">
        <f t="shared" si="0"/>
        <v>Semana 41CA</v>
      </c>
      <c r="K109" t="s">
        <v>4474</v>
      </c>
      <c r="L109" s="1">
        <v>42697</v>
      </c>
      <c r="M109" s="1">
        <v>42708</v>
      </c>
      <c r="O109">
        <f>NETWORKDAYS(L109,M109)</f>
        <v>8</v>
      </c>
    </row>
    <row r="110" spans="1:15">
      <c r="A110" s="28">
        <f t="shared" si="3"/>
        <v>44310</v>
      </c>
      <c r="B110" s="28">
        <v>44339</v>
      </c>
      <c r="C110" s="29" t="s">
        <v>5135</v>
      </c>
      <c r="D110" s="29" t="s">
        <v>5070</v>
      </c>
      <c r="E110">
        <v>99</v>
      </c>
      <c r="G110" s="30">
        <v>42709</v>
      </c>
      <c r="H110" t="s">
        <v>4475</v>
      </c>
      <c r="I110" t="s">
        <v>4138</v>
      </c>
      <c r="J110" t="str">
        <f t="shared" si="0"/>
        <v>Semana 42CA</v>
      </c>
      <c r="K110" t="s">
        <v>4476</v>
      </c>
      <c r="L110" s="1">
        <v>42709</v>
      </c>
      <c r="M110" s="1">
        <v>42715</v>
      </c>
      <c r="O110">
        <f t="shared" ref="O110:O133" si="4">NETWORKDAYS(L110,M110)</f>
        <v>5</v>
      </c>
    </row>
    <row r="111" spans="1:15">
      <c r="A111" s="28">
        <f t="shared" si="3"/>
        <v>44340</v>
      </c>
      <c r="B111" s="28">
        <v>44370</v>
      </c>
      <c r="C111" s="29" t="s">
        <v>5136</v>
      </c>
      <c r="D111" s="29" t="s">
        <v>5071</v>
      </c>
      <c r="E111">
        <v>99</v>
      </c>
      <c r="G111" s="30">
        <v>42706</v>
      </c>
      <c r="H111" t="s">
        <v>4477</v>
      </c>
      <c r="I111" t="s">
        <v>4138</v>
      </c>
      <c r="J111" t="str">
        <f t="shared" si="0"/>
        <v>Semana 43CA</v>
      </c>
      <c r="K111" t="s">
        <v>4478</v>
      </c>
      <c r="L111" s="1">
        <v>42716</v>
      </c>
      <c r="M111" s="1">
        <v>42722</v>
      </c>
      <c r="O111">
        <f t="shared" si="4"/>
        <v>5</v>
      </c>
    </row>
    <row r="112" spans="1:15">
      <c r="A112" s="28">
        <f t="shared" si="3"/>
        <v>44371</v>
      </c>
      <c r="B112" s="28">
        <v>44400</v>
      </c>
      <c r="C112" s="29" t="s">
        <v>5137</v>
      </c>
      <c r="D112" s="29" t="s">
        <v>5072</v>
      </c>
      <c r="E112">
        <v>99</v>
      </c>
      <c r="G112" s="30">
        <v>42723</v>
      </c>
      <c r="H112" t="s">
        <v>4479</v>
      </c>
      <c r="I112" t="s">
        <v>4138</v>
      </c>
      <c r="J112" t="str">
        <f t="shared" si="0"/>
        <v>Semana 44CA</v>
      </c>
      <c r="K112" t="s">
        <v>4480</v>
      </c>
      <c r="L112" s="1">
        <v>42723</v>
      </c>
      <c r="M112" s="1">
        <v>42726</v>
      </c>
      <c r="O112">
        <f t="shared" si="4"/>
        <v>4</v>
      </c>
    </row>
    <row r="113" spans="1:21">
      <c r="A113" s="28">
        <f t="shared" si="3"/>
        <v>44401</v>
      </c>
      <c r="B113" s="28">
        <v>44431</v>
      </c>
      <c r="C113" s="29" t="s">
        <v>5138</v>
      </c>
      <c r="D113" s="29" t="s">
        <v>5073</v>
      </c>
      <c r="E113">
        <v>99</v>
      </c>
      <c r="G113" s="30">
        <v>42727</v>
      </c>
      <c r="H113" t="s">
        <v>4481</v>
      </c>
      <c r="I113" t="s">
        <v>4138</v>
      </c>
      <c r="J113" t="str">
        <f t="shared" si="0"/>
        <v>Semana 45CA</v>
      </c>
      <c r="K113" t="s">
        <v>4482</v>
      </c>
      <c r="L113" s="1">
        <v>42727</v>
      </c>
      <c r="M113" s="1">
        <v>42736</v>
      </c>
      <c r="O113">
        <f t="shared" si="4"/>
        <v>6</v>
      </c>
    </row>
    <row r="114" spans="1:21">
      <c r="A114" s="28">
        <f t="shared" si="3"/>
        <v>44432</v>
      </c>
      <c r="B114" s="28">
        <v>44462</v>
      </c>
      <c r="C114" s="29" t="s">
        <v>5139</v>
      </c>
      <c r="D114" s="29" t="s">
        <v>5074</v>
      </c>
      <c r="E114">
        <v>99</v>
      </c>
      <c r="G114" s="30">
        <v>42737</v>
      </c>
      <c r="H114" t="s">
        <v>4483</v>
      </c>
      <c r="I114" t="s">
        <v>4138</v>
      </c>
      <c r="J114" t="str">
        <f t="shared" si="0"/>
        <v>Semana 46CA</v>
      </c>
      <c r="K114" t="s">
        <v>4484</v>
      </c>
      <c r="L114" s="1">
        <v>42737</v>
      </c>
      <c r="M114" s="1">
        <v>42743</v>
      </c>
      <c r="O114">
        <f t="shared" si="4"/>
        <v>5</v>
      </c>
    </row>
    <row r="115" spans="1:21">
      <c r="D115" s="31" t="s">
        <v>3861</v>
      </c>
      <c r="F115">
        <v>1</v>
      </c>
      <c r="G115" s="30">
        <v>42744</v>
      </c>
      <c r="H115" t="s">
        <v>4485</v>
      </c>
      <c r="I115" t="s">
        <v>4138</v>
      </c>
      <c r="J115" t="str">
        <f t="shared" si="0"/>
        <v>Semana 47CA</v>
      </c>
      <c r="K115" t="s">
        <v>4486</v>
      </c>
      <c r="L115" s="1">
        <v>42744</v>
      </c>
      <c r="M115" s="1">
        <v>42750</v>
      </c>
      <c r="O115">
        <f t="shared" si="4"/>
        <v>5</v>
      </c>
    </row>
    <row r="116" spans="1:21">
      <c r="G116" s="30">
        <v>42751</v>
      </c>
      <c r="H116" t="s">
        <v>4487</v>
      </c>
      <c r="I116" t="s">
        <v>4138</v>
      </c>
      <c r="J116" t="str">
        <f t="shared" si="0"/>
        <v>Semana 48CA</v>
      </c>
      <c r="K116" t="s">
        <v>4488</v>
      </c>
      <c r="L116" s="1">
        <v>42751</v>
      </c>
      <c r="M116" s="1">
        <v>42757</v>
      </c>
      <c r="O116">
        <f t="shared" si="4"/>
        <v>5</v>
      </c>
    </row>
    <row r="117" spans="1:21">
      <c r="G117" s="30">
        <v>42758</v>
      </c>
      <c r="H117" t="s">
        <v>4489</v>
      </c>
      <c r="I117" t="s">
        <v>4138</v>
      </c>
      <c r="J117" t="str">
        <f t="shared" si="0"/>
        <v>Semana 49CA</v>
      </c>
      <c r="K117" t="s">
        <v>4490</v>
      </c>
      <c r="L117" s="1">
        <v>42758</v>
      </c>
      <c r="M117" s="1">
        <v>42764</v>
      </c>
      <c r="O117">
        <f t="shared" si="4"/>
        <v>5</v>
      </c>
    </row>
    <row r="118" spans="1:21">
      <c r="G118" s="30">
        <v>42765</v>
      </c>
      <c r="H118" t="s">
        <v>4491</v>
      </c>
      <c r="I118" t="s">
        <v>4138</v>
      </c>
      <c r="J118" t="str">
        <f t="shared" si="0"/>
        <v>Semana 50CA</v>
      </c>
      <c r="K118" t="s">
        <v>4492</v>
      </c>
      <c r="L118" s="1">
        <v>42765</v>
      </c>
      <c r="M118" s="1">
        <v>42771</v>
      </c>
      <c r="O118">
        <f t="shared" si="4"/>
        <v>5</v>
      </c>
    </row>
    <row r="119" spans="1:21">
      <c r="G119" s="30">
        <v>42772</v>
      </c>
      <c r="H119" t="s">
        <v>4493</v>
      </c>
      <c r="I119" t="s">
        <v>4138</v>
      </c>
      <c r="J119" t="str">
        <f t="shared" si="0"/>
        <v>Semana 51CA</v>
      </c>
      <c r="K119" t="s">
        <v>4494</v>
      </c>
      <c r="L119" s="1">
        <v>42772</v>
      </c>
      <c r="M119" s="1">
        <v>42778</v>
      </c>
      <c r="O119">
        <f t="shared" si="4"/>
        <v>5</v>
      </c>
    </row>
    <row r="120" spans="1:21">
      <c r="G120" s="30">
        <v>42779</v>
      </c>
      <c r="H120" t="s">
        <v>4495</v>
      </c>
      <c r="I120" t="s">
        <v>4138</v>
      </c>
      <c r="J120" t="str">
        <f t="shared" si="0"/>
        <v>Semana 52CA</v>
      </c>
      <c r="K120" t="s">
        <v>4496</v>
      </c>
      <c r="L120" s="1">
        <v>42779</v>
      </c>
      <c r="M120" s="1">
        <v>42788</v>
      </c>
      <c r="O120">
        <f t="shared" si="4"/>
        <v>8</v>
      </c>
    </row>
    <row r="121" spans="1:21">
      <c r="G121" s="30">
        <v>42789</v>
      </c>
      <c r="H121" t="s">
        <v>4497</v>
      </c>
      <c r="I121" t="s">
        <v>4138</v>
      </c>
      <c r="J121" t="str">
        <f t="shared" si="0"/>
        <v>Semana 53CA</v>
      </c>
      <c r="K121" t="s">
        <v>4498</v>
      </c>
      <c r="L121" s="1">
        <f t="shared" ref="L121:L184" si="5">M120+1</f>
        <v>42789</v>
      </c>
      <c r="M121" s="1">
        <v>42799</v>
      </c>
      <c r="O121">
        <f t="shared" si="4"/>
        <v>7</v>
      </c>
      <c r="Q121">
        <f>SUM(O125:O180)-12</f>
        <v>277</v>
      </c>
      <c r="R121">
        <f>11500000/Q121</f>
        <v>41516.24548736462</v>
      </c>
    </row>
    <row r="122" spans="1:21">
      <c r="G122" s="30">
        <v>42800</v>
      </c>
      <c r="H122" t="s">
        <v>4499</v>
      </c>
      <c r="I122" t="s">
        <v>4138</v>
      </c>
      <c r="J122" t="str">
        <f t="shared" si="0"/>
        <v>Semana 54CA</v>
      </c>
      <c r="K122" t="s">
        <v>4500</v>
      </c>
      <c r="L122" s="1">
        <f t="shared" si="5"/>
        <v>42800</v>
      </c>
      <c r="M122" s="1">
        <f>M121+7</f>
        <v>42806</v>
      </c>
      <c r="O122">
        <f t="shared" si="4"/>
        <v>5</v>
      </c>
    </row>
    <row r="123" spans="1:21">
      <c r="G123" s="30">
        <v>42807</v>
      </c>
      <c r="H123" t="s">
        <v>4501</v>
      </c>
      <c r="I123" t="s">
        <v>4138</v>
      </c>
      <c r="J123" t="str">
        <f t="shared" si="0"/>
        <v>Semana 55CA</v>
      </c>
      <c r="K123" t="s">
        <v>4502</v>
      </c>
      <c r="L123" s="1">
        <f t="shared" si="5"/>
        <v>42807</v>
      </c>
      <c r="M123" s="1">
        <f>M122+7</f>
        <v>42813</v>
      </c>
      <c r="O123">
        <f t="shared" si="4"/>
        <v>5</v>
      </c>
    </row>
    <row r="124" spans="1:21">
      <c r="G124" s="30">
        <v>42814</v>
      </c>
      <c r="H124" t="s">
        <v>4503</v>
      </c>
      <c r="I124" t="s">
        <v>4138</v>
      </c>
      <c r="J124" t="str">
        <f t="shared" si="0"/>
        <v>Semana 56CA</v>
      </c>
      <c r="K124" t="s">
        <v>4504</v>
      </c>
      <c r="L124" s="1">
        <f t="shared" si="5"/>
        <v>42814</v>
      </c>
      <c r="M124" s="1">
        <v>42816</v>
      </c>
      <c r="O124">
        <f t="shared" si="4"/>
        <v>3</v>
      </c>
      <c r="T124" s="13" t="s">
        <v>4505</v>
      </c>
      <c r="U124" s="13" t="s">
        <v>4506</v>
      </c>
    </row>
    <row r="125" spans="1:21">
      <c r="F125" t="s">
        <v>4311</v>
      </c>
      <c r="G125" s="1">
        <f>L125</f>
        <v>42817</v>
      </c>
      <c r="H125" t="s">
        <v>4343</v>
      </c>
      <c r="I125" t="s">
        <v>4181</v>
      </c>
      <c r="J125" t="str">
        <f t="shared" si="0"/>
        <v>Semana 1NC</v>
      </c>
      <c r="K125" t="s">
        <v>4507</v>
      </c>
      <c r="L125" s="1">
        <f t="shared" si="5"/>
        <v>42817</v>
      </c>
      <c r="M125" s="1">
        <v>42827</v>
      </c>
      <c r="O125">
        <f t="shared" si="4"/>
        <v>7</v>
      </c>
      <c r="P125">
        <f>O125*8</f>
        <v>56</v>
      </c>
      <c r="Q125">
        <f t="shared" ref="Q125:R181" si="6">WEEKDAY(L125,2)</f>
        <v>4</v>
      </c>
      <c r="R125">
        <f t="shared" si="6"/>
        <v>7</v>
      </c>
      <c r="T125" s="32">
        <v>9</v>
      </c>
      <c r="U125" s="32">
        <f>COUNTIF($O$125:$O$180,T125)</f>
        <v>2</v>
      </c>
    </row>
    <row r="126" spans="1:21">
      <c r="F126" t="str">
        <f t="shared" ref="F126:F189" si="7">F125</f>
        <v>M1NC</v>
      </c>
      <c r="G126" s="1">
        <f>L126</f>
        <v>42828</v>
      </c>
      <c r="H126" t="s">
        <v>4347</v>
      </c>
      <c r="I126" t="s">
        <v>4181</v>
      </c>
      <c r="J126" t="str">
        <f t="shared" si="0"/>
        <v>Semana 2NC</v>
      </c>
      <c r="K126" t="s">
        <v>4508</v>
      </c>
      <c r="L126" s="1">
        <f t="shared" si="5"/>
        <v>42828</v>
      </c>
      <c r="M126" s="1">
        <f>M125+7</f>
        <v>42834</v>
      </c>
      <c r="O126">
        <f t="shared" si="4"/>
        <v>5</v>
      </c>
      <c r="P126">
        <f t="shared" ref="P126:P189" si="8">O126*8</f>
        <v>40</v>
      </c>
      <c r="Q126">
        <f t="shared" si="6"/>
        <v>1</v>
      </c>
      <c r="R126">
        <f t="shared" si="6"/>
        <v>7</v>
      </c>
      <c r="T126" s="32">
        <v>8</v>
      </c>
      <c r="U126" s="32">
        <f t="shared" ref="U126:U130" si="9">COUNTIF($O$125:$O$180,T126)</f>
        <v>2</v>
      </c>
    </row>
    <row r="127" spans="1:21">
      <c r="F127" t="str">
        <f t="shared" si="7"/>
        <v>M1NC</v>
      </c>
      <c r="G127" s="1">
        <f t="shared" ref="G127:G180" si="10">L127</f>
        <v>42835</v>
      </c>
      <c r="H127" t="s">
        <v>4351</v>
      </c>
      <c r="I127" t="s">
        <v>4181</v>
      </c>
      <c r="J127" t="str">
        <f t="shared" si="0"/>
        <v>Semana 3NC</v>
      </c>
      <c r="K127" t="s">
        <v>4509</v>
      </c>
      <c r="L127" s="1">
        <f t="shared" si="5"/>
        <v>42835</v>
      </c>
      <c r="M127" s="1">
        <f>M126+7</f>
        <v>42841</v>
      </c>
      <c r="O127">
        <v>2</v>
      </c>
      <c r="P127">
        <f t="shared" si="8"/>
        <v>16</v>
      </c>
      <c r="Q127">
        <f t="shared" si="6"/>
        <v>1</v>
      </c>
      <c r="R127">
        <f t="shared" si="6"/>
        <v>7</v>
      </c>
      <c r="T127" s="32">
        <v>7</v>
      </c>
      <c r="U127" s="32">
        <f t="shared" si="9"/>
        <v>3</v>
      </c>
    </row>
    <row r="128" spans="1:21">
      <c r="F128" t="str">
        <f t="shared" si="7"/>
        <v>M1NC</v>
      </c>
      <c r="G128" s="1">
        <f t="shared" si="10"/>
        <v>42842</v>
      </c>
      <c r="H128" t="s">
        <v>4355</v>
      </c>
      <c r="I128" t="s">
        <v>4181</v>
      </c>
      <c r="J128" t="str">
        <f t="shared" si="0"/>
        <v>Semana 4NC</v>
      </c>
      <c r="K128" t="s">
        <v>4510</v>
      </c>
      <c r="L128" s="1">
        <f t="shared" si="5"/>
        <v>42842</v>
      </c>
      <c r="M128" s="1">
        <v>42847</v>
      </c>
      <c r="O128">
        <f t="shared" si="4"/>
        <v>5</v>
      </c>
      <c r="P128">
        <f t="shared" si="8"/>
        <v>40</v>
      </c>
      <c r="Q128">
        <f t="shared" si="6"/>
        <v>1</v>
      </c>
      <c r="R128">
        <f t="shared" si="6"/>
        <v>6</v>
      </c>
      <c r="T128" s="32">
        <v>6</v>
      </c>
      <c r="U128" s="32">
        <f t="shared" si="9"/>
        <v>5</v>
      </c>
    </row>
    <row r="129" spans="6:21">
      <c r="F129" t="s">
        <v>4314</v>
      </c>
      <c r="G129" s="1">
        <f t="shared" si="10"/>
        <v>42848</v>
      </c>
      <c r="H129" t="s">
        <v>4358</v>
      </c>
      <c r="I129" t="s">
        <v>4181</v>
      </c>
      <c r="J129" t="str">
        <f t="shared" si="0"/>
        <v>Semana 5NC</v>
      </c>
      <c r="K129" t="s">
        <v>4511</v>
      </c>
      <c r="L129" s="1">
        <f t="shared" si="5"/>
        <v>42848</v>
      </c>
      <c r="M129" s="1">
        <v>42855</v>
      </c>
      <c r="O129">
        <f t="shared" si="4"/>
        <v>5</v>
      </c>
      <c r="P129">
        <f t="shared" si="8"/>
        <v>40</v>
      </c>
      <c r="Q129">
        <f t="shared" si="6"/>
        <v>7</v>
      </c>
      <c r="R129">
        <f t="shared" si="6"/>
        <v>7</v>
      </c>
      <c r="T129" s="32">
        <v>5</v>
      </c>
      <c r="U129" s="32">
        <f t="shared" si="9"/>
        <v>30</v>
      </c>
    </row>
    <row r="130" spans="6:21">
      <c r="F130" t="str">
        <f t="shared" si="7"/>
        <v>M2NC</v>
      </c>
      <c r="G130" s="1">
        <f t="shared" si="10"/>
        <v>42856</v>
      </c>
      <c r="H130" t="s">
        <v>4362</v>
      </c>
      <c r="I130" t="s">
        <v>4181</v>
      </c>
      <c r="J130" t="str">
        <f t="shared" si="0"/>
        <v>Semana 6NC</v>
      </c>
      <c r="K130" t="s">
        <v>4512</v>
      </c>
      <c r="L130" s="1">
        <f t="shared" si="5"/>
        <v>42856</v>
      </c>
      <c r="M130" s="1">
        <f t="shared" ref="M130:M192" si="11">M129+7</f>
        <v>42862</v>
      </c>
      <c r="O130">
        <v>4</v>
      </c>
      <c r="P130">
        <f t="shared" si="8"/>
        <v>32</v>
      </c>
      <c r="Q130">
        <f t="shared" si="6"/>
        <v>1</v>
      </c>
      <c r="R130">
        <f t="shared" si="6"/>
        <v>7</v>
      </c>
      <c r="T130" s="32">
        <v>4</v>
      </c>
      <c r="U130" s="32">
        <f t="shared" si="9"/>
        <v>13</v>
      </c>
    </row>
    <row r="131" spans="6:21">
      <c r="F131" t="str">
        <f t="shared" si="7"/>
        <v>M2NC</v>
      </c>
      <c r="G131" s="1">
        <f t="shared" si="10"/>
        <v>42863</v>
      </c>
      <c r="H131" t="s">
        <v>4366</v>
      </c>
      <c r="I131" t="s">
        <v>4181</v>
      </c>
      <c r="J131" t="str">
        <f t="shared" si="0"/>
        <v>Semana 7NC</v>
      </c>
      <c r="K131" t="s">
        <v>4513</v>
      </c>
      <c r="L131" s="1">
        <f t="shared" si="5"/>
        <v>42863</v>
      </c>
      <c r="M131" s="1">
        <f t="shared" si="11"/>
        <v>42869</v>
      </c>
      <c r="O131">
        <f t="shared" si="4"/>
        <v>5</v>
      </c>
      <c r="P131">
        <f t="shared" si="8"/>
        <v>40</v>
      </c>
      <c r="Q131">
        <f t="shared" si="6"/>
        <v>1</v>
      </c>
      <c r="R131">
        <f t="shared" si="6"/>
        <v>7</v>
      </c>
    </row>
    <row r="132" spans="6:21">
      <c r="F132" t="str">
        <f t="shared" si="7"/>
        <v>M2NC</v>
      </c>
      <c r="G132" s="1">
        <f t="shared" si="10"/>
        <v>42870</v>
      </c>
      <c r="H132" t="s">
        <v>4370</v>
      </c>
      <c r="I132" t="s">
        <v>4181</v>
      </c>
      <c r="J132" t="str">
        <f t="shared" si="0"/>
        <v>Semana 8NC</v>
      </c>
      <c r="K132" t="s">
        <v>4514</v>
      </c>
      <c r="L132" s="1">
        <f t="shared" si="5"/>
        <v>42870</v>
      </c>
      <c r="M132" s="1">
        <v>42877</v>
      </c>
      <c r="O132">
        <f t="shared" si="4"/>
        <v>6</v>
      </c>
      <c r="P132">
        <f t="shared" si="8"/>
        <v>48</v>
      </c>
      <c r="Q132">
        <f t="shared" si="6"/>
        <v>1</v>
      </c>
      <c r="R132">
        <f t="shared" si="6"/>
        <v>1</v>
      </c>
      <c r="T132" t="s">
        <v>4515</v>
      </c>
    </row>
    <row r="133" spans="6:21">
      <c r="F133" t="s">
        <v>4317</v>
      </c>
      <c r="G133" s="1">
        <f t="shared" si="10"/>
        <v>42878</v>
      </c>
      <c r="H133" t="s">
        <v>4374</v>
      </c>
      <c r="I133" t="s">
        <v>4181</v>
      </c>
      <c r="J133" t="str">
        <f t="shared" si="0"/>
        <v>Semana 9NC</v>
      </c>
      <c r="K133" t="s">
        <v>4516</v>
      </c>
      <c r="L133" s="1">
        <f t="shared" si="5"/>
        <v>42878</v>
      </c>
      <c r="M133" s="1">
        <v>42883</v>
      </c>
      <c r="O133">
        <f t="shared" si="4"/>
        <v>4</v>
      </c>
      <c r="P133">
        <f t="shared" si="8"/>
        <v>32</v>
      </c>
      <c r="Q133">
        <f t="shared" si="6"/>
        <v>2</v>
      </c>
      <c r="R133">
        <f t="shared" si="6"/>
        <v>7</v>
      </c>
      <c r="T133" t="s">
        <v>4517</v>
      </c>
      <c r="U133" s="1">
        <v>42941</v>
      </c>
    </row>
    <row r="134" spans="6:21">
      <c r="F134" t="str">
        <f t="shared" si="7"/>
        <v>M3NC</v>
      </c>
      <c r="G134" s="1">
        <f t="shared" si="10"/>
        <v>42884</v>
      </c>
      <c r="H134" t="s">
        <v>4378</v>
      </c>
      <c r="I134" t="s">
        <v>4181</v>
      </c>
      <c r="J134" t="str">
        <f t="shared" ref="J134:J197" si="12">H134&amp;I134</f>
        <v>Semana 10NC</v>
      </c>
      <c r="K134" t="s">
        <v>4518</v>
      </c>
      <c r="L134" s="1">
        <f t="shared" si="5"/>
        <v>42884</v>
      </c>
      <c r="M134" s="1">
        <f t="shared" si="11"/>
        <v>42890</v>
      </c>
      <c r="O134">
        <f>NETWORKDAYS(L134,M134,$U$133:$U$152)</f>
        <v>5</v>
      </c>
      <c r="P134">
        <f t="shared" si="8"/>
        <v>40</v>
      </c>
      <c r="Q134">
        <f t="shared" si="6"/>
        <v>1</v>
      </c>
      <c r="R134">
        <f t="shared" si="6"/>
        <v>7</v>
      </c>
      <c r="T134" t="s">
        <v>4519</v>
      </c>
      <c r="U134" s="1">
        <v>42949</v>
      </c>
    </row>
    <row r="135" spans="6:21">
      <c r="F135" t="str">
        <f t="shared" si="7"/>
        <v>M3NC</v>
      </c>
      <c r="G135" s="1">
        <f t="shared" si="10"/>
        <v>42891</v>
      </c>
      <c r="H135" t="s">
        <v>4382</v>
      </c>
      <c r="I135" t="s">
        <v>4181</v>
      </c>
      <c r="J135" t="str">
        <f t="shared" si="12"/>
        <v>Semana 11NC</v>
      </c>
      <c r="K135" t="s">
        <v>4520</v>
      </c>
      <c r="L135" s="1">
        <f t="shared" si="5"/>
        <v>42891</v>
      </c>
      <c r="M135" s="1">
        <f t="shared" si="11"/>
        <v>42897</v>
      </c>
      <c r="O135">
        <f t="shared" ref="O135:O198" si="13">NETWORKDAYS(L135,M135,$U$133:$U$152)</f>
        <v>5</v>
      </c>
      <c r="P135">
        <f t="shared" si="8"/>
        <v>40</v>
      </c>
      <c r="Q135">
        <f t="shared" si="6"/>
        <v>1</v>
      </c>
      <c r="R135">
        <f t="shared" si="6"/>
        <v>7</v>
      </c>
      <c r="T135" t="s">
        <v>4521</v>
      </c>
      <c r="U135" s="1">
        <v>42962</v>
      </c>
    </row>
    <row r="136" spans="6:21">
      <c r="F136" t="str">
        <f t="shared" si="7"/>
        <v>M3NC</v>
      </c>
      <c r="G136" s="1">
        <f t="shared" si="10"/>
        <v>42898</v>
      </c>
      <c r="H136" t="s">
        <v>4386</v>
      </c>
      <c r="I136" t="s">
        <v>4181</v>
      </c>
      <c r="J136" t="str">
        <f t="shared" si="12"/>
        <v>Semana 12NC</v>
      </c>
      <c r="K136" t="s">
        <v>4522</v>
      </c>
      <c r="L136" s="1">
        <f t="shared" si="5"/>
        <v>42898</v>
      </c>
      <c r="M136" s="1">
        <v>42908</v>
      </c>
      <c r="O136">
        <f t="shared" si="13"/>
        <v>9</v>
      </c>
      <c r="P136">
        <f t="shared" si="8"/>
        <v>72</v>
      </c>
      <c r="Q136">
        <f t="shared" si="6"/>
        <v>1</v>
      </c>
      <c r="R136">
        <f t="shared" si="6"/>
        <v>4</v>
      </c>
      <c r="T136" t="s">
        <v>4523</v>
      </c>
      <c r="U136" s="1">
        <v>42993</v>
      </c>
    </row>
    <row r="137" spans="6:21">
      <c r="F137" t="s">
        <v>4320</v>
      </c>
      <c r="G137" s="1">
        <f t="shared" si="10"/>
        <v>42909</v>
      </c>
      <c r="H137" t="s">
        <v>4390</v>
      </c>
      <c r="I137" t="s">
        <v>4181</v>
      </c>
      <c r="J137" t="str">
        <f t="shared" si="12"/>
        <v>Semana 13NC</v>
      </c>
      <c r="K137" t="s">
        <v>4524</v>
      </c>
      <c r="L137" s="1">
        <f t="shared" si="5"/>
        <v>42909</v>
      </c>
      <c r="M137" s="1">
        <v>42918</v>
      </c>
      <c r="O137">
        <f t="shared" si="13"/>
        <v>6</v>
      </c>
      <c r="P137">
        <f t="shared" si="8"/>
        <v>48</v>
      </c>
      <c r="Q137">
        <f t="shared" si="6"/>
        <v>5</v>
      </c>
      <c r="R137">
        <f t="shared" si="6"/>
        <v>7</v>
      </c>
      <c r="T137" t="s">
        <v>4525</v>
      </c>
      <c r="U137" s="1">
        <v>43024</v>
      </c>
    </row>
    <row r="138" spans="6:21">
      <c r="F138" t="str">
        <f t="shared" si="7"/>
        <v>M4NC</v>
      </c>
      <c r="G138" s="1">
        <f t="shared" si="10"/>
        <v>42919</v>
      </c>
      <c r="H138" t="s">
        <v>4394</v>
      </c>
      <c r="I138" t="s">
        <v>4181</v>
      </c>
      <c r="J138" t="str">
        <f t="shared" si="12"/>
        <v>Semana 14NC</v>
      </c>
      <c r="K138" t="s">
        <v>4526</v>
      </c>
      <c r="L138" s="1">
        <f t="shared" si="5"/>
        <v>42919</v>
      </c>
      <c r="M138" s="1">
        <f t="shared" si="11"/>
        <v>42925</v>
      </c>
      <c r="O138">
        <f t="shared" si="13"/>
        <v>5</v>
      </c>
      <c r="P138">
        <f t="shared" si="8"/>
        <v>40</v>
      </c>
      <c r="Q138">
        <f t="shared" si="6"/>
        <v>1</v>
      </c>
      <c r="R138">
        <f t="shared" si="6"/>
        <v>7</v>
      </c>
      <c r="T138" t="s">
        <v>4527</v>
      </c>
      <c r="U138" s="1">
        <v>43094</v>
      </c>
    </row>
    <row r="139" spans="6:21">
      <c r="F139" t="str">
        <f t="shared" si="7"/>
        <v>M4NC</v>
      </c>
      <c r="G139" s="1">
        <f t="shared" si="10"/>
        <v>42926</v>
      </c>
      <c r="H139" t="s">
        <v>4398</v>
      </c>
      <c r="I139" t="s">
        <v>4181</v>
      </c>
      <c r="J139" t="str">
        <f t="shared" si="12"/>
        <v>Semana 15NC</v>
      </c>
      <c r="K139" t="s">
        <v>4528</v>
      </c>
      <c r="L139" s="1">
        <f t="shared" si="5"/>
        <v>42926</v>
      </c>
      <c r="M139" s="1">
        <f t="shared" si="11"/>
        <v>42932</v>
      </c>
      <c r="O139">
        <f t="shared" si="13"/>
        <v>5</v>
      </c>
      <c r="P139">
        <f t="shared" si="8"/>
        <v>40</v>
      </c>
      <c r="Q139">
        <f t="shared" si="6"/>
        <v>1</v>
      </c>
      <c r="R139">
        <f t="shared" si="6"/>
        <v>7</v>
      </c>
    </row>
    <row r="140" spans="6:21">
      <c r="F140" t="str">
        <f t="shared" si="7"/>
        <v>M4NC</v>
      </c>
      <c r="G140" s="1">
        <f t="shared" si="10"/>
        <v>42933</v>
      </c>
      <c r="H140" t="s">
        <v>4402</v>
      </c>
      <c r="I140" t="s">
        <v>4181</v>
      </c>
      <c r="J140" t="str">
        <f t="shared" si="12"/>
        <v>Semana 16NC</v>
      </c>
      <c r="K140" t="s">
        <v>4529</v>
      </c>
      <c r="L140" s="1">
        <f t="shared" si="5"/>
        <v>42933</v>
      </c>
      <c r="M140" s="1">
        <v>42938</v>
      </c>
      <c r="O140">
        <f t="shared" si="13"/>
        <v>5</v>
      </c>
      <c r="P140">
        <f t="shared" si="8"/>
        <v>40</v>
      </c>
      <c r="Q140">
        <f t="shared" si="6"/>
        <v>1</v>
      </c>
      <c r="R140">
        <f t="shared" si="6"/>
        <v>6</v>
      </c>
    </row>
    <row r="141" spans="6:21">
      <c r="F141" t="s">
        <v>4324</v>
      </c>
      <c r="G141" s="1">
        <f t="shared" si="10"/>
        <v>42939</v>
      </c>
      <c r="H141" t="s">
        <v>4406</v>
      </c>
      <c r="I141" t="s">
        <v>4181</v>
      </c>
      <c r="J141" t="str">
        <f t="shared" si="12"/>
        <v>Semana 17NC</v>
      </c>
      <c r="K141" t="s">
        <v>4530</v>
      </c>
      <c r="L141" s="1">
        <f t="shared" si="5"/>
        <v>42939</v>
      </c>
      <c r="M141" s="1">
        <v>42946</v>
      </c>
      <c r="O141">
        <f t="shared" si="13"/>
        <v>4</v>
      </c>
      <c r="P141">
        <f t="shared" si="8"/>
        <v>32</v>
      </c>
      <c r="Q141">
        <f t="shared" si="6"/>
        <v>7</v>
      </c>
      <c r="R141">
        <f t="shared" si="6"/>
        <v>7</v>
      </c>
      <c r="T141" t="s">
        <v>4531</v>
      </c>
    </row>
    <row r="142" spans="6:21">
      <c r="F142" t="str">
        <f t="shared" si="7"/>
        <v>M5NC</v>
      </c>
      <c r="G142" s="1">
        <f t="shared" si="10"/>
        <v>42947</v>
      </c>
      <c r="H142" t="s">
        <v>4410</v>
      </c>
      <c r="I142" t="s">
        <v>4181</v>
      </c>
      <c r="J142" t="str">
        <f t="shared" si="12"/>
        <v>Semana 18NC</v>
      </c>
      <c r="K142" t="s">
        <v>4532</v>
      </c>
      <c r="L142" s="1">
        <f t="shared" si="5"/>
        <v>42947</v>
      </c>
      <c r="M142" s="1">
        <f t="shared" si="11"/>
        <v>42953</v>
      </c>
      <c r="O142">
        <f t="shared" si="13"/>
        <v>4</v>
      </c>
      <c r="P142">
        <f t="shared" si="8"/>
        <v>32</v>
      </c>
      <c r="Q142">
        <f t="shared" si="6"/>
        <v>1</v>
      </c>
      <c r="R142">
        <f t="shared" si="6"/>
        <v>7</v>
      </c>
      <c r="T142" t="s">
        <v>4533</v>
      </c>
      <c r="U142" s="1">
        <v>43101</v>
      </c>
    </row>
    <row r="143" spans="6:21">
      <c r="F143" t="str">
        <f t="shared" si="7"/>
        <v>M5NC</v>
      </c>
      <c r="G143" s="1">
        <f t="shared" si="10"/>
        <v>42954</v>
      </c>
      <c r="H143" t="s">
        <v>4414</v>
      </c>
      <c r="I143" t="s">
        <v>4181</v>
      </c>
      <c r="J143" t="str">
        <f t="shared" si="12"/>
        <v>Semana 19NC</v>
      </c>
      <c r="K143" t="s">
        <v>4534</v>
      </c>
      <c r="L143" s="1">
        <f t="shared" si="5"/>
        <v>42954</v>
      </c>
      <c r="M143" s="1">
        <f t="shared" si="11"/>
        <v>42960</v>
      </c>
      <c r="O143">
        <f t="shared" si="13"/>
        <v>5</v>
      </c>
      <c r="P143">
        <f t="shared" si="8"/>
        <v>40</v>
      </c>
      <c r="Q143">
        <f t="shared" si="6"/>
        <v>1</v>
      </c>
      <c r="R143">
        <f t="shared" si="6"/>
        <v>7</v>
      </c>
      <c r="T143" t="s">
        <v>4535</v>
      </c>
      <c r="U143" s="1">
        <v>43188</v>
      </c>
    </row>
    <row r="144" spans="6:21">
      <c r="F144" t="str">
        <f t="shared" si="7"/>
        <v>M5NC</v>
      </c>
      <c r="G144" s="1">
        <f t="shared" si="10"/>
        <v>42961</v>
      </c>
      <c r="H144" t="s">
        <v>4417</v>
      </c>
      <c r="I144" t="s">
        <v>4181</v>
      </c>
      <c r="J144" t="str">
        <f t="shared" si="12"/>
        <v>Semana 20NC</v>
      </c>
      <c r="K144" t="s">
        <v>4536</v>
      </c>
      <c r="L144" s="1">
        <f t="shared" si="5"/>
        <v>42961</v>
      </c>
      <c r="M144" s="1">
        <v>42969</v>
      </c>
      <c r="O144">
        <f t="shared" si="13"/>
        <v>6</v>
      </c>
      <c r="P144">
        <f t="shared" si="8"/>
        <v>48</v>
      </c>
      <c r="Q144">
        <f t="shared" si="6"/>
        <v>1</v>
      </c>
      <c r="R144">
        <f t="shared" si="6"/>
        <v>2</v>
      </c>
      <c r="T144" t="s">
        <v>4537</v>
      </c>
      <c r="U144" s="1">
        <v>43189</v>
      </c>
    </row>
    <row r="145" spans="6:21">
      <c r="F145" t="s">
        <v>4327</v>
      </c>
      <c r="G145" s="1">
        <f t="shared" si="10"/>
        <v>42970</v>
      </c>
      <c r="H145" t="s">
        <v>4419</v>
      </c>
      <c r="I145" t="s">
        <v>4181</v>
      </c>
      <c r="J145" t="str">
        <f t="shared" si="12"/>
        <v>Semana 21NC</v>
      </c>
      <c r="K145" t="s">
        <v>4538</v>
      </c>
      <c r="L145" s="1">
        <f t="shared" si="5"/>
        <v>42970</v>
      </c>
      <c r="M145" s="1">
        <v>42981</v>
      </c>
      <c r="O145">
        <f t="shared" si="13"/>
        <v>8</v>
      </c>
      <c r="P145">
        <f t="shared" si="8"/>
        <v>64</v>
      </c>
      <c r="Q145">
        <f t="shared" si="6"/>
        <v>3</v>
      </c>
      <c r="R145">
        <f t="shared" si="6"/>
        <v>7</v>
      </c>
      <c r="T145" t="s">
        <v>4539</v>
      </c>
      <c r="U145" s="1">
        <v>43201</v>
      </c>
    </row>
    <row r="146" spans="6:21">
      <c r="F146" t="str">
        <f t="shared" si="7"/>
        <v>M6NC</v>
      </c>
      <c r="G146" s="1">
        <f t="shared" si="10"/>
        <v>42982</v>
      </c>
      <c r="H146" t="s">
        <v>4421</v>
      </c>
      <c r="I146" t="s">
        <v>4181</v>
      </c>
      <c r="J146" t="str">
        <f t="shared" si="12"/>
        <v>Semana 22NC</v>
      </c>
      <c r="K146" t="s">
        <v>4540</v>
      </c>
      <c r="L146" s="1">
        <f t="shared" si="5"/>
        <v>42982</v>
      </c>
      <c r="M146" s="1">
        <f t="shared" si="11"/>
        <v>42988</v>
      </c>
      <c r="O146">
        <f t="shared" si="13"/>
        <v>5</v>
      </c>
      <c r="P146">
        <f t="shared" si="8"/>
        <v>40</v>
      </c>
      <c r="Q146">
        <f t="shared" si="6"/>
        <v>1</v>
      </c>
      <c r="R146">
        <f t="shared" si="6"/>
        <v>7</v>
      </c>
      <c r="T146" t="s">
        <v>4541</v>
      </c>
      <c r="U146" s="1">
        <v>43221</v>
      </c>
    </row>
    <row r="147" spans="6:21">
      <c r="F147" t="str">
        <f t="shared" si="7"/>
        <v>M6NC</v>
      </c>
      <c r="G147" s="1">
        <f t="shared" si="10"/>
        <v>42989</v>
      </c>
      <c r="H147" t="s">
        <v>4423</v>
      </c>
      <c r="I147" t="s">
        <v>4181</v>
      </c>
      <c r="J147" t="str">
        <f t="shared" si="12"/>
        <v>Semana 23NC</v>
      </c>
      <c r="K147" t="s">
        <v>4542</v>
      </c>
      <c r="L147" s="1">
        <f t="shared" si="5"/>
        <v>42989</v>
      </c>
      <c r="M147" s="1">
        <f t="shared" si="11"/>
        <v>42995</v>
      </c>
      <c r="O147">
        <f t="shared" si="13"/>
        <v>4</v>
      </c>
      <c r="P147">
        <f t="shared" si="8"/>
        <v>32</v>
      </c>
      <c r="Q147">
        <f t="shared" si="6"/>
        <v>1</v>
      </c>
      <c r="R147">
        <f t="shared" si="6"/>
        <v>7</v>
      </c>
      <c r="T147" t="s">
        <v>4517</v>
      </c>
      <c r="U147" s="1">
        <v>43306</v>
      </c>
    </row>
    <row r="148" spans="6:21">
      <c r="F148" t="str">
        <f t="shared" si="7"/>
        <v>M6NC</v>
      </c>
      <c r="G148" s="1">
        <f t="shared" si="10"/>
        <v>42996</v>
      </c>
      <c r="H148" t="s">
        <v>4426</v>
      </c>
      <c r="I148" t="s">
        <v>4181</v>
      </c>
      <c r="J148" t="str">
        <f t="shared" si="12"/>
        <v>Semana 24NC</v>
      </c>
      <c r="K148" t="s">
        <v>4543</v>
      </c>
      <c r="L148" s="1">
        <f t="shared" si="5"/>
        <v>42996</v>
      </c>
      <c r="M148" s="1">
        <v>43000</v>
      </c>
      <c r="O148">
        <f t="shared" si="13"/>
        <v>5</v>
      </c>
      <c r="P148">
        <f t="shared" si="8"/>
        <v>40</v>
      </c>
      <c r="Q148">
        <f t="shared" si="6"/>
        <v>1</v>
      </c>
      <c r="R148">
        <f t="shared" si="6"/>
        <v>5</v>
      </c>
      <c r="T148" t="s">
        <v>4519</v>
      </c>
      <c r="U148" s="1">
        <v>43314</v>
      </c>
    </row>
    <row r="149" spans="6:21">
      <c r="F149" t="s">
        <v>4330</v>
      </c>
      <c r="G149" s="1">
        <f t="shared" si="10"/>
        <v>43001</v>
      </c>
      <c r="H149" t="s">
        <v>4429</v>
      </c>
      <c r="I149" t="s">
        <v>4181</v>
      </c>
      <c r="J149" t="str">
        <f t="shared" si="12"/>
        <v>Semana 25NC</v>
      </c>
      <c r="K149" t="s">
        <v>4544</v>
      </c>
      <c r="L149" s="1">
        <f t="shared" si="5"/>
        <v>43001</v>
      </c>
      <c r="M149" s="1">
        <v>43009</v>
      </c>
      <c r="O149">
        <f t="shared" si="13"/>
        <v>5</v>
      </c>
      <c r="P149">
        <f t="shared" si="8"/>
        <v>40</v>
      </c>
      <c r="Q149">
        <f t="shared" si="6"/>
        <v>6</v>
      </c>
      <c r="R149">
        <f t="shared" si="6"/>
        <v>7</v>
      </c>
      <c r="T149" t="s">
        <v>4521</v>
      </c>
      <c r="U149" s="1">
        <v>43327</v>
      </c>
    </row>
    <row r="150" spans="6:21">
      <c r="F150" t="str">
        <f t="shared" si="7"/>
        <v>M7NC</v>
      </c>
      <c r="G150" s="1">
        <f t="shared" si="10"/>
        <v>43010</v>
      </c>
      <c r="H150" t="s">
        <v>4432</v>
      </c>
      <c r="I150" t="s">
        <v>4181</v>
      </c>
      <c r="J150" t="str">
        <f t="shared" si="12"/>
        <v>Semana 26NC</v>
      </c>
      <c r="K150" t="s">
        <v>4545</v>
      </c>
      <c r="L150" s="1">
        <f t="shared" si="5"/>
        <v>43010</v>
      </c>
      <c r="M150" s="1">
        <f t="shared" si="11"/>
        <v>43016</v>
      </c>
      <c r="O150">
        <f t="shared" si="13"/>
        <v>5</v>
      </c>
      <c r="P150">
        <f t="shared" si="8"/>
        <v>40</v>
      </c>
      <c r="Q150">
        <f t="shared" si="6"/>
        <v>1</v>
      </c>
      <c r="R150">
        <f t="shared" si="6"/>
        <v>7</v>
      </c>
      <c r="T150" t="s">
        <v>4523</v>
      </c>
      <c r="U150" s="1">
        <v>43358</v>
      </c>
    </row>
    <row r="151" spans="6:21">
      <c r="F151" t="str">
        <f t="shared" si="7"/>
        <v>M7NC</v>
      </c>
      <c r="G151" s="1">
        <f t="shared" si="10"/>
        <v>43017</v>
      </c>
      <c r="H151" t="s">
        <v>4435</v>
      </c>
      <c r="I151" t="s">
        <v>4181</v>
      </c>
      <c r="J151" t="str">
        <f t="shared" si="12"/>
        <v>Semana 27NC</v>
      </c>
      <c r="K151" t="s">
        <v>4546</v>
      </c>
      <c r="L151" s="1">
        <f t="shared" si="5"/>
        <v>43017</v>
      </c>
      <c r="M151" s="1">
        <f t="shared" si="11"/>
        <v>43023</v>
      </c>
      <c r="O151">
        <f t="shared" si="13"/>
        <v>5</v>
      </c>
      <c r="P151">
        <f t="shared" si="8"/>
        <v>40</v>
      </c>
      <c r="Q151">
        <f t="shared" si="6"/>
        <v>1</v>
      </c>
      <c r="R151">
        <f t="shared" si="6"/>
        <v>7</v>
      </c>
      <c r="T151" t="s">
        <v>4525</v>
      </c>
      <c r="U151" s="1">
        <v>43388</v>
      </c>
    </row>
    <row r="152" spans="6:21">
      <c r="F152" t="str">
        <f t="shared" si="7"/>
        <v>M7NC</v>
      </c>
      <c r="G152" s="1">
        <f t="shared" si="10"/>
        <v>43024</v>
      </c>
      <c r="H152" t="s">
        <v>4438</v>
      </c>
      <c r="I152" t="s">
        <v>4181</v>
      </c>
      <c r="J152" t="str">
        <f t="shared" si="12"/>
        <v>Semana 28NC</v>
      </c>
      <c r="K152" t="s">
        <v>4547</v>
      </c>
      <c r="L152" s="1">
        <f t="shared" si="5"/>
        <v>43024</v>
      </c>
      <c r="M152" s="1">
        <v>43030</v>
      </c>
      <c r="O152">
        <f t="shared" si="13"/>
        <v>4</v>
      </c>
      <c r="P152">
        <f t="shared" si="8"/>
        <v>32</v>
      </c>
      <c r="Q152">
        <f t="shared" si="6"/>
        <v>1</v>
      </c>
      <c r="R152">
        <f t="shared" si="6"/>
        <v>7</v>
      </c>
      <c r="T152" t="s">
        <v>4527</v>
      </c>
      <c r="U152" s="1">
        <v>43459</v>
      </c>
    </row>
    <row r="153" spans="6:21">
      <c r="F153" t="s">
        <v>4333</v>
      </c>
      <c r="G153" s="1">
        <f t="shared" si="10"/>
        <v>43031</v>
      </c>
      <c r="H153" t="s">
        <v>4441</v>
      </c>
      <c r="I153" t="s">
        <v>4181</v>
      </c>
      <c r="J153" t="str">
        <f t="shared" si="12"/>
        <v>Semana 29NC</v>
      </c>
      <c r="K153" t="s">
        <v>4548</v>
      </c>
      <c r="L153" s="1">
        <f t="shared" si="5"/>
        <v>43031</v>
      </c>
      <c r="M153" s="1">
        <f t="shared" si="11"/>
        <v>43037</v>
      </c>
      <c r="O153">
        <f t="shared" si="13"/>
        <v>5</v>
      </c>
      <c r="P153">
        <f t="shared" si="8"/>
        <v>40</v>
      </c>
      <c r="Q153">
        <f t="shared" si="6"/>
        <v>1</v>
      </c>
      <c r="R153">
        <f t="shared" si="6"/>
        <v>7</v>
      </c>
    </row>
    <row r="154" spans="6:21">
      <c r="F154" t="str">
        <f t="shared" si="7"/>
        <v>M8NC</v>
      </c>
      <c r="G154" s="1">
        <f t="shared" si="10"/>
        <v>43038</v>
      </c>
      <c r="H154" t="s">
        <v>4445</v>
      </c>
      <c r="I154" t="s">
        <v>4181</v>
      </c>
      <c r="J154" t="str">
        <f t="shared" si="12"/>
        <v>Semana 30NC</v>
      </c>
      <c r="K154" t="s">
        <v>4549</v>
      </c>
      <c r="L154" s="1">
        <f t="shared" si="5"/>
        <v>43038</v>
      </c>
      <c r="M154" s="1">
        <f t="shared" si="11"/>
        <v>43044</v>
      </c>
      <c r="O154">
        <f t="shared" si="13"/>
        <v>5</v>
      </c>
      <c r="P154">
        <f t="shared" si="8"/>
        <v>40</v>
      </c>
      <c r="Q154">
        <f t="shared" si="6"/>
        <v>1</v>
      </c>
      <c r="R154">
        <f t="shared" si="6"/>
        <v>7</v>
      </c>
      <c r="T154" t="s">
        <v>4550</v>
      </c>
    </row>
    <row r="155" spans="6:21">
      <c r="F155" t="str">
        <f t="shared" si="7"/>
        <v>M8NC</v>
      </c>
      <c r="G155" s="1">
        <f t="shared" si="10"/>
        <v>43045</v>
      </c>
      <c r="H155" t="s">
        <v>4449</v>
      </c>
      <c r="I155" t="s">
        <v>4181</v>
      </c>
      <c r="J155" t="str">
        <f t="shared" si="12"/>
        <v>Semana 31NC</v>
      </c>
      <c r="K155" t="s">
        <v>4551</v>
      </c>
      <c r="L155" s="1">
        <f t="shared" si="5"/>
        <v>43045</v>
      </c>
      <c r="M155" s="1">
        <f t="shared" si="11"/>
        <v>43051</v>
      </c>
      <c r="O155">
        <f t="shared" si="13"/>
        <v>5</v>
      </c>
      <c r="P155">
        <f t="shared" si="8"/>
        <v>40</v>
      </c>
      <c r="Q155">
        <f t="shared" si="6"/>
        <v>1</v>
      </c>
      <c r="R155">
        <f t="shared" si="6"/>
        <v>7</v>
      </c>
      <c r="T155" t="s">
        <v>4533</v>
      </c>
      <c r="U155" s="1">
        <v>43466</v>
      </c>
    </row>
    <row r="156" spans="6:21">
      <c r="F156" t="str">
        <f t="shared" si="7"/>
        <v>M8NC</v>
      </c>
      <c r="G156" s="1">
        <f t="shared" si="10"/>
        <v>43052</v>
      </c>
      <c r="H156" t="s">
        <v>4453</v>
      </c>
      <c r="I156" t="s">
        <v>4181</v>
      </c>
      <c r="J156" t="str">
        <f t="shared" si="12"/>
        <v>Semana 32NC</v>
      </c>
      <c r="K156" t="s">
        <v>4552</v>
      </c>
      <c r="L156" s="1">
        <f t="shared" si="5"/>
        <v>43052</v>
      </c>
      <c r="M156" s="1">
        <v>43061</v>
      </c>
      <c r="O156">
        <f t="shared" si="13"/>
        <v>8</v>
      </c>
      <c r="P156">
        <f t="shared" si="8"/>
        <v>64</v>
      </c>
      <c r="Q156">
        <f t="shared" si="6"/>
        <v>1</v>
      </c>
      <c r="R156">
        <f t="shared" si="6"/>
        <v>3</v>
      </c>
      <c r="T156" t="s">
        <v>4535</v>
      </c>
      <c r="U156" s="1">
        <v>43573</v>
      </c>
    </row>
    <row r="157" spans="6:21">
      <c r="F157" t="s">
        <v>4336</v>
      </c>
      <c r="G157" s="1">
        <f t="shared" si="10"/>
        <v>43062</v>
      </c>
      <c r="H157" t="s">
        <v>4457</v>
      </c>
      <c r="I157" t="s">
        <v>4181</v>
      </c>
      <c r="J157" t="str">
        <f t="shared" si="12"/>
        <v>Semana 33NC</v>
      </c>
      <c r="K157" t="s">
        <v>4553</v>
      </c>
      <c r="L157" s="1">
        <f t="shared" si="5"/>
        <v>43062</v>
      </c>
      <c r="M157" s="1">
        <v>43072</v>
      </c>
      <c r="O157">
        <f t="shared" si="13"/>
        <v>7</v>
      </c>
      <c r="P157">
        <f t="shared" si="8"/>
        <v>56</v>
      </c>
      <c r="Q157">
        <f t="shared" si="6"/>
        <v>4</v>
      </c>
      <c r="R157">
        <f t="shared" si="6"/>
        <v>7</v>
      </c>
      <c r="T157" t="s">
        <v>4537</v>
      </c>
      <c r="U157" s="1">
        <v>43574</v>
      </c>
    </row>
    <row r="158" spans="6:21">
      <c r="F158" t="str">
        <f t="shared" si="7"/>
        <v>M9NC</v>
      </c>
      <c r="G158" s="1">
        <f t="shared" si="10"/>
        <v>43073</v>
      </c>
      <c r="H158" t="s">
        <v>4459</v>
      </c>
      <c r="I158" t="s">
        <v>4181</v>
      </c>
      <c r="J158" t="str">
        <f t="shared" si="12"/>
        <v>Semana 34NC</v>
      </c>
      <c r="K158" t="s">
        <v>4554</v>
      </c>
      <c r="L158" s="1">
        <f t="shared" si="5"/>
        <v>43073</v>
      </c>
      <c r="M158" s="1">
        <f t="shared" si="11"/>
        <v>43079</v>
      </c>
      <c r="O158">
        <f t="shared" si="13"/>
        <v>5</v>
      </c>
      <c r="P158">
        <f t="shared" si="8"/>
        <v>40</v>
      </c>
      <c r="Q158">
        <f t="shared" si="6"/>
        <v>1</v>
      </c>
      <c r="R158">
        <f t="shared" si="6"/>
        <v>7</v>
      </c>
      <c r="T158" t="s">
        <v>4539</v>
      </c>
      <c r="U158" s="1">
        <v>43566</v>
      </c>
    </row>
    <row r="159" spans="6:21">
      <c r="F159" t="str">
        <f t="shared" si="7"/>
        <v>M9NC</v>
      </c>
      <c r="G159" s="1">
        <f t="shared" si="10"/>
        <v>43080</v>
      </c>
      <c r="H159" t="s">
        <v>4461</v>
      </c>
      <c r="I159" t="s">
        <v>4181</v>
      </c>
      <c r="J159" t="str">
        <f t="shared" si="12"/>
        <v>Semana 35NC</v>
      </c>
      <c r="K159" t="s">
        <v>4555</v>
      </c>
      <c r="L159" s="1">
        <f t="shared" si="5"/>
        <v>43080</v>
      </c>
      <c r="M159" s="1">
        <f t="shared" si="11"/>
        <v>43086</v>
      </c>
      <c r="O159">
        <f t="shared" si="13"/>
        <v>5</v>
      </c>
      <c r="P159">
        <f t="shared" si="8"/>
        <v>40</v>
      </c>
      <c r="Q159">
        <f t="shared" si="6"/>
        <v>1</v>
      </c>
      <c r="R159">
        <f t="shared" si="6"/>
        <v>7</v>
      </c>
      <c r="T159" t="s">
        <v>4541</v>
      </c>
      <c r="U159" s="1">
        <v>43586</v>
      </c>
    </row>
    <row r="160" spans="6:21">
      <c r="F160" t="str">
        <f t="shared" si="7"/>
        <v>M9NC</v>
      </c>
      <c r="G160" s="1">
        <f t="shared" si="10"/>
        <v>43087</v>
      </c>
      <c r="H160" t="s">
        <v>4463</v>
      </c>
      <c r="I160" t="s">
        <v>4181</v>
      </c>
      <c r="J160" t="str">
        <f t="shared" si="12"/>
        <v>Semana 36NC</v>
      </c>
      <c r="K160" t="s">
        <v>4556</v>
      </c>
      <c r="L160" s="1">
        <f t="shared" si="5"/>
        <v>43087</v>
      </c>
      <c r="M160" s="1">
        <v>43091</v>
      </c>
      <c r="O160">
        <f t="shared" si="13"/>
        <v>5</v>
      </c>
      <c r="P160">
        <f t="shared" si="8"/>
        <v>40</v>
      </c>
      <c r="Q160">
        <f t="shared" si="6"/>
        <v>1</v>
      </c>
      <c r="R160">
        <f t="shared" si="6"/>
        <v>5</v>
      </c>
      <c r="T160" t="s">
        <v>4517</v>
      </c>
      <c r="U160" s="1">
        <v>43671</v>
      </c>
    </row>
    <row r="161" spans="6:21">
      <c r="F161" t="s">
        <v>4339</v>
      </c>
      <c r="G161" s="1">
        <f t="shared" si="10"/>
        <v>43092</v>
      </c>
      <c r="H161" t="s">
        <v>4465</v>
      </c>
      <c r="I161" t="s">
        <v>4181</v>
      </c>
      <c r="J161" t="str">
        <f t="shared" si="12"/>
        <v>Semana 37NC</v>
      </c>
      <c r="K161" t="s">
        <v>4557</v>
      </c>
      <c r="L161" s="1">
        <f t="shared" si="5"/>
        <v>43092</v>
      </c>
      <c r="M161" s="1">
        <v>43100</v>
      </c>
      <c r="O161">
        <f t="shared" si="13"/>
        <v>4</v>
      </c>
      <c r="P161">
        <f t="shared" si="8"/>
        <v>32</v>
      </c>
      <c r="Q161">
        <f t="shared" si="6"/>
        <v>6</v>
      </c>
      <c r="R161">
        <f t="shared" si="6"/>
        <v>7</v>
      </c>
      <c r="T161" t="s">
        <v>4519</v>
      </c>
      <c r="U161" s="1">
        <v>43679</v>
      </c>
    </row>
    <row r="162" spans="6:21">
      <c r="F162" t="str">
        <f t="shared" si="7"/>
        <v>M10NC</v>
      </c>
      <c r="G162" s="1">
        <f t="shared" si="10"/>
        <v>43101</v>
      </c>
      <c r="H162" t="s">
        <v>4467</v>
      </c>
      <c r="I162" t="s">
        <v>4181</v>
      </c>
      <c r="J162" t="str">
        <f t="shared" si="12"/>
        <v>Semana 38NC</v>
      </c>
      <c r="K162" t="s">
        <v>4558</v>
      </c>
      <c r="L162" s="1">
        <f t="shared" si="5"/>
        <v>43101</v>
      </c>
      <c r="M162" s="1">
        <f t="shared" si="11"/>
        <v>43107</v>
      </c>
      <c r="O162">
        <f t="shared" si="13"/>
        <v>4</v>
      </c>
      <c r="P162">
        <f t="shared" si="8"/>
        <v>32</v>
      </c>
      <c r="Q162">
        <f t="shared" si="6"/>
        <v>1</v>
      </c>
      <c r="R162">
        <f t="shared" si="6"/>
        <v>7</v>
      </c>
      <c r="T162" t="s">
        <v>4521</v>
      </c>
      <c r="U162" s="1">
        <v>43692</v>
      </c>
    </row>
    <row r="163" spans="6:21">
      <c r="F163" t="str">
        <f t="shared" si="7"/>
        <v>M10NC</v>
      </c>
      <c r="G163" s="1">
        <f t="shared" si="10"/>
        <v>43108</v>
      </c>
      <c r="H163" t="s">
        <v>4469</v>
      </c>
      <c r="I163" t="s">
        <v>4181</v>
      </c>
      <c r="J163" t="str">
        <f t="shared" si="12"/>
        <v>Semana 39NC</v>
      </c>
      <c r="K163" t="s">
        <v>4559</v>
      </c>
      <c r="L163" s="1">
        <f t="shared" si="5"/>
        <v>43108</v>
      </c>
      <c r="M163" s="1">
        <f t="shared" si="11"/>
        <v>43114</v>
      </c>
      <c r="O163">
        <f t="shared" si="13"/>
        <v>5</v>
      </c>
      <c r="P163">
        <f t="shared" si="8"/>
        <v>40</v>
      </c>
      <c r="Q163">
        <f t="shared" si="6"/>
        <v>1</v>
      </c>
      <c r="R163">
        <f t="shared" si="6"/>
        <v>7</v>
      </c>
      <c r="T163" t="s">
        <v>4523</v>
      </c>
      <c r="U163" s="1">
        <v>43723</v>
      </c>
    </row>
    <row r="164" spans="6:21">
      <c r="F164" t="str">
        <f t="shared" si="7"/>
        <v>M10NC</v>
      </c>
      <c r="G164" s="1">
        <f t="shared" si="10"/>
        <v>43115</v>
      </c>
      <c r="H164" t="s">
        <v>4471</v>
      </c>
      <c r="I164" t="s">
        <v>4181</v>
      </c>
      <c r="J164" t="str">
        <f t="shared" si="12"/>
        <v>Semana 40NC</v>
      </c>
      <c r="K164" t="s">
        <v>4560</v>
      </c>
      <c r="L164" s="1">
        <f t="shared" si="5"/>
        <v>43115</v>
      </c>
      <c r="M164" s="1">
        <v>43122</v>
      </c>
      <c r="O164">
        <f t="shared" si="13"/>
        <v>6</v>
      </c>
      <c r="P164">
        <f t="shared" si="8"/>
        <v>48</v>
      </c>
      <c r="Q164">
        <f t="shared" si="6"/>
        <v>1</v>
      </c>
      <c r="R164">
        <f t="shared" si="6"/>
        <v>1</v>
      </c>
      <c r="T164" t="s">
        <v>4525</v>
      </c>
      <c r="U164" s="1">
        <v>43752</v>
      </c>
    </row>
    <row r="165" spans="6:21">
      <c r="F165" t="s">
        <v>4342</v>
      </c>
      <c r="G165" s="1">
        <f t="shared" si="10"/>
        <v>43123</v>
      </c>
      <c r="H165" t="s">
        <v>4473</v>
      </c>
      <c r="I165" t="s">
        <v>4181</v>
      </c>
      <c r="J165" t="str">
        <f t="shared" si="12"/>
        <v>Semana 41NC</v>
      </c>
      <c r="K165" t="s">
        <v>4561</v>
      </c>
      <c r="L165" s="1">
        <f t="shared" si="5"/>
        <v>43123</v>
      </c>
      <c r="M165" s="1">
        <v>43128</v>
      </c>
      <c r="O165">
        <f t="shared" si="13"/>
        <v>4</v>
      </c>
      <c r="P165">
        <f t="shared" si="8"/>
        <v>32</v>
      </c>
      <c r="Q165">
        <f t="shared" si="6"/>
        <v>2</v>
      </c>
      <c r="R165">
        <f t="shared" si="6"/>
        <v>7</v>
      </c>
      <c r="T165" t="s">
        <v>4527</v>
      </c>
      <c r="U165" s="1">
        <v>43824</v>
      </c>
    </row>
    <row r="166" spans="6:21">
      <c r="F166" t="str">
        <f t="shared" si="7"/>
        <v>M11NC</v>
      </c>
      <c r="G166" s="1">
        <f t="shared" si="10"/>
        <v>43129</v>
      </c>
      <c r="H166" t="s">
        <v>4475</v>
      </c>
      <c r="I166" t="s">
        <v>4181</v>
      </c>
      <c r="J166" t="str">
        <f t="shared" si="12"/>
        <v>Semana 42NC</v>
      </c>
      <c r="K166" t="s">
        <v>4562</v>
      </c>
      <c r="L166" s="1">
        <f t="shared" si="5"/>
        <v>43129</v>
      </c>
      <c r="M166" s="1">
        <f t="shared" si="11"/>
        <v>43135</v>
      </c>
      <c r="O166">
        <f t="shared" si="13"/>
        <v>5</v>
      </c>
      <c r="P166">
        <f t="shared" si="8"/>
        <v>40</v>
      </c>
      <c r="Q166">
        <f t="shared" si="6"/>
        <v>1</v>
      </c>
      <c r="R166">
        <f t="shared" si="6"/>
        <v>7</v>
      </c>
    </row>
    <row r="167" spans="6:21">
      <c r="F167" t="str">
        <f t="shared" si="7"/>
        <v>M11NC</v>
      </c>
      <c r="G167" s="1">
        <f t="shared" si="10"/>
        <v>43136</v>
      </c>
      <c r="H167" t="s">
        <v>4477</v>
      </c>
      <c r="I167" t="s">
        <v>4181</v>
      </c>
      <c r="J167" t="str">
        <f t="shared" si="12"/>
        <v>Semana 43NC</v>
      </c>
      <c r="K167" t="s">
        <v>4563</v>
      </c>
      <c r="L167" s="1">
        <f t="shared" si="5"/>
        <v>43136</v>
      </c>
      <c r="M167" s="1">
        <f t="shared" si="11"/>
        <v>43142</v>
      </c>
      <c r="O167">
        <f t="shared" si="13"/>
        <v>5</v>
      </c>
      <c r="P167">
        <f t="shared" si="8"/>
        <v>40</v>
      </c>
      <c r="Q167">
        <f t="shared" si="6"/>
        <v>1</v>
      </c>
      <c r="R167">
        <f t="shared" si="6"/>
        <v>7</v>
      </c>
      <c r="T167" t="s">
        <v>4564</v>
      </c>
    </row>
    <row r="168" spans="6:21">
      <c r="F168" t="str">
        <f t="shared" si="7"/>
        <v>M11NC</v>
      </c>
      <c r="G168" s="1">
        <f t="shared" si="10"/>
        <v>43143</v>
      </c>
      <c r="H168" t="s">
        <v>4479</v>
      </c>
      <c r="I168" t="s">
        <v>4181</v>
      </c>
      <c r="J168" t="str">
        <f t="shared" si="12"/>
        <v>Semana 44NC</v>
      </c>
      <c r="K168" t="s">
        <v>4565</v>
      </c>
      <c r="L168" s="1">
        <f t="shared" si="5"/>
        <v>43143</v>
      </c>
      <c r="M168" s="1">
        <v>43153</v>
      </c>
      <c r="O168">
        <f t="shared" si="13"/>
        <v>9</v>
      </c>
      <c r="P168">
        <f t="shared" si="8"/>
        <v>72</v>
      </c>
      <c r="Q168">
        <f t="shared" si="6"/>
        <v>1</v>
      </c>
      <c r="R168">
        <f t="shared" si="6"/>
        <v>4</v>
      </c>
      <c r="T168" t="s">
        <v>4533</v>
      </c>
      <c r="U168" s="1">
        <v>43831</v>
      </c>
    </row>
    <row r="169" spans="6:21">
      <c r="F169" t="s">
        <v>4346</v>
      </c>
      <c r="G169" s="1">
        <f t="shared" si="10"/>
        <v>43154</v>
      </c>
      <c r="H169" t="s">
        <v>4481</v>
      </c>
      <c r="I169" t="s">
        <v>4181</v>
      </c>
      <c r="J169" t="str">
        <f t="shared" si="12"/>
        <v>Semana 45NC</v>
      </c>
      <c r="K169" t="s">
        <v>4566</v>
      </c>
      <c r="L169" s="1">
        <f t="shared" si="5"/>
        <v>43154</v>
      </c>
      <c r="M169" s="1">
        <v>43163</v>
      </c>
      <c r="O169">
        <f t="shared" si="13"/>
        <v>6</v>
      </c>
      <c r="P169">
        <f t="shared" si="8"/>
        <v>48</v>
      </c>
      <c r="Q169">
        <f t="shared" si="6"/>
        <v>5</v>
      </c>
      <c r="R169">
        <f t="shared" si="6"/>
        <v>7</v>
      </c>
      <c r="T169" t="s">
        <v>4535</v>
      </c>
      <c r="U169" s="1">
        <v>43930</v>
      </c>
    </row>
    <row r="170" spans="6:21">
      <c r="F170" t="str">
        <f t="shared" si="7"/>
        <v>M12NC</v>
      </c>
      <c r="G170" s="1">
        <f t="shared" si="10"/>
        <v>43164</v>
      </c>
      <c r="H170" t="s">
        <v>4483</v>
      </c>
      <c r="I170" t="s">
        <v>4181</v>
      </c>
      <c r="J170" t="str">
        <f t="shared" si="12"/>
        <v>Semana 46NC</v>
      </c>
      <c r="K170" t="s">
        <v>4567</v>
      </c>
      <c r="L170" s="1">
        <f t="shared" si="5"/>
        <v>43164</v>
      </c>
      <c r="M170" s="1">
        <f t="shared" si="11"/>
        <v>43170</v>
      </c>
      <c r="O170">
        <f t="shared" si="13"/>
        <v>5</v>
      </c>
      <c r="P170">
        <f t="shared" si="8"/>
        <v>40</v>
      </c>
      <c r="Q170">
        <f t="shared" si="6"/>
        <v>1</v>
      </c>
      <c r="R170">
        <f t="shared" si="6"/>
        <v>7</v>
      </c>
      <c r="T170" t="s">
        <v>4537</v>
      </c>
      <c r="U170" s="1">
        <v>43931</v>
      </c>
    </row>
    <row r="171" spans="6:21">
      <c r="F171" t="str">
        <f t="shared" si="7"/>
        <v>M12NC</v>
      </c>
      <c r="G171" s="1">
        <f t="shared" si="10"/>
        <v>43171</v>
      </c>
      <c r="H171" t="s">
        <v>4485</v>
      </c>
      <c r="I171" t="s">
        <v>4181</v>
      </c>
      <c r="J171" t="str">
        <f t="shared" si="12"/>
        <v>Semana 47NC</v>
      </c>
      <c r="K171" t="s">
        <v>4568</v>
      </c>
      <c r="L171" s="1">
        <f t="shared" si="5"/>
        <v>43171</v>
      </c>
      <c r="M171" s="1">
        <f t="shared" si="11"/>
        <v>43177</v>
      </c>
      <c r="O171">
        <f t="shared" si="13"/>
        <v>5</v>
      </c>
      <c r="P171">
        <f t="shared" si="8"/>
        <v>40</v>
      </c>
      <c r="Q171">
        <f t="shared" si="6"/>
        <v>1</v>
      </c>
      <c r="R171">
        <f t="shared" si="6"/>
        <v>7</v>
      </c>
      <c r="T171" t="s">
        <v>4539</v>
      </c>
      <c r="U171" s="1">
        <v>43932</v>
      </c>
    </row>
    <row r="172" spans="6:21">
      <c r="F172" t="str">
        <f t="shared" si="7"/>
        <v>M12NC</v>
      </c>
      <c r="G172" s="1">
        <f t="shared" si="10"/>
        <v>43178</v>
      </c>
      <c r="H172" t="s">
        <v>4487</v>
      </c>
      <c r="I172" t="s">
        <v>4181</v>
      </c>
      <c r="J172" t="str">
        <f t="shared" si="12"/>
        <v>Semana 48NC</v>
      </c>
      <c r="K172" t="s">
        <v>4569</v>
      </c>
      <c r="L172" s="1">
        <f t="shared" si="5"/>
        <v>43178</v>
      </c>
      <c r="M172" s="1">
        <v>43181</v>
      </c>
      <c r="O172">
        <f t="shared" si="13"/>
        <v>4</v>
      </c>
      <c r="P172">
        <f t="shared" si="8"/>
        <v>32</v>
      </c>
      <c r="Q172">
        <f t="shared" si="6"/>
        <v>1</v>
      </c>
      <c r="R172">
        <f t="shared" si="6"/>
        <v>4</v>
      </c>
      <c r="T172" t="s">
        <v>4541</v>
      </c>
      <c r="U172" s="1">
        <v>43952</v>
      </c>
    </row>
    <row r="173" spans="6:21">
      <c r="F173" t="s">
        <v>4350</v>
      </c>
      <c r="G173" s="1">
        <f t="shared" si="10"/>
        <v>43182</v>
      </c>
      <c r="H173" t="s">
        <v>4489</v>
      </c>
      <c r="I173" t="s">
        <v>4181</v>
      </c>
      <c r="J173" t="str">
        <f t="shared" si="12"/>
        <v>Semana 49NC</v>
      </c>
      <c r="K173" t="s">
        <v>4570</v>
      </c>
      <c r="L173" s="1">
        <f t="shared" si="5"/>
        <v>43182</v>
      </c>
      <c r="M173" s="1">
        <v>43191</v>
      </c>
      <c r="O173">
        <f t="shared" si="13"/>
        <v>4</v>
      </c>
      <c r="P173">
        <f t="shared" si="8"/>
        <v>32</v>
      </c>
      <c r="Q173">
        <f t="shared" si="6"/>
        <v>5</v>
      </c>
      <c r="R173">
        <f t="shared" si="6"/>
        <v>7</v>
      </c>
      <c r="T173" t="s">
        <v>4517</v>
      </c>
      <c r="U173" s="1">
        <v>44037</v>
      </c>
    </row>
    <row r="174" spans="6:21">
      <c r="F174" t="str">
        <f t="shared" si="7"/>
        <v>M13NC</v>
      </c>
      <c r="G174" s="1">
        <f t="shared" si="10"/>
        <v>43192</v>
      </c>
      <c r="H174" t="s">
        <v>4491</v>
      </c>
      <c r="I174" t="s">
        <v>4181</v>
      </c>
      <c r="J174" t="str">
        <f t="shared" si="12"/>
        <v>Semana 50NC</v>
      </c>
      <c r="K174" t="s">
        <v>4571</v>
      </c>
      <c r="L174" s="1">
        <f t="shared" si="5"/>
        <v>43192</v>
      </c>
      <c r="M174" s="1">
        <f t="shared" si="11"/>
        <v>43198</v>
      </c>
      <c r="O174">
        <f t="shared" si="13"/>
        <v>5</v>
      </c>
      <c r="P174">
        <f t="shared" si="8"/>
        <v>40</v>
      </c>
      <c r="Q174">
        <f t="shared" si="6"/>
        <v>1</v>
      </c>
      <c r="R174">
        <f t="shared" si="6"/>
        <v>7</v>
      </c>
      <c r="T174" t="s">
        <v>4519</v>
      </c>
      <c r="U174" s="1">
        <v>44045</v>
      </c>
    </row>
    <row r="175" spans="6:21">
      <c r="F175" t="str">
        <f t="shared" si="7"/>
        <v>M13NC</v>
      </c>
      <c r="G175" s="1">
        <f t="shared" si="10"/>
        <v>43199</v>
      </c>
      <c r="H175" t="s">
        <v>4493</v>
      </c>
      <c r="I175" t="s">
        <v>4181</v>
      </c>
      <c r="J175" t="str">
        <f t="shared" si="12"/>
        <v>Semana 51NC</v>
      </c>
      <c r="K175" t="s">
        <v>4572</v>
      </c>
      <c r="L175" s="1">
        <f t="shared" si="5"/>
        <v>43199</v>
      </c>
      <c r="M175" s="1">
        <f t="shared" si="11"/>
        <v>43205</v>
      </c>
      <c r="O175">
        <f t="shared" si="13"/>
        <v>4</v>
      </c>
      <c r="P175">
        <f t="shared" si="8"/>
        <v>32</v>
      </c>
      <c r="Q175">
        <f t="shared" si="6"/>
        <v>1</v>
      </c>
      <c r="R175">
        <f t="shared" si="6"/>
        <v>7</v>
      </c>
      <c r="T175" t="s">
        <v>4521</v>
      </c>
      <c r="U175" s="1">
        <v>44058</v>
      </c>
    </row>
    <row r="176" spans="6:21">
      <c r="F176" t="str">
        <f t="shared" si="7"/>
        <v>M13NC</v>
      </c>
      <c r="G176" s="1">
        <f t="shared" si="10"/>
        <v>43206</v>
      </c>
      <c r="H176" t="s">
        <v>4495</v>
      </c>
      <c r="I176" t="s">
        <v>4181</v>
      </c>
      <c r="J176" t="str">
        <f t="shared" si="12"/>
        <v>Semana 52NC</v>
      </c>
      <c r="K176" t="s">
        <v>4573</v>
      </c>
      <c r="L176" s="1">
        <f t="shared" si="5"/>
        <v>43206</v>
      </c>
      <c r="M176" s="1">
        <v>43212</v>
      </c>
      <c r="O176">
        <f t="shared" si="13"/>
        <v>5</v>
      </c>
      <c r="P176">
        <f t="shared" si="8"/>
        <v>40</v>
      </c>
      <c r="Q176">
        <f t="shared" si="6"/>
        <v>1</v>
      </c>
      <c r="R176">
        <f t="shared" si="6"/>
        <v>7</v>
      </c>
      <c r="T176" t="s">
        <v>4523</v>
      </c>
      <c r="U176" s="1">
        <v>44089</v>
      </c>
    </row>
    <row r="177" spans="6:21">
      <c r="F177" t="s">
        <v>4354</v>
      </c>
      <c r="G177" s="1">
        <f t="shared" si="10"/>
        <v>43213</v>
      </c>
      <c r="H177" t="s">
        <v>4497</v>
      </c>
      <c r="I177" t="s">
        <v>4181</v>
      </c>
      <c r="J177" t="str">
        <f t="shared" si="12"/>
        <v>Semana 53NC</v>
      </c>
      <c r="K177" t="s">
        <v>4574</v>
      </c>
      <c r="L177" s="1">
        <f t="shared" si="5"/>
        <v>43213</v>
      </c>
      <c r="M177" s="1">
        <f t="shared" si="11"/>
        <v>43219</v>
      </c>
      <c r="O177">
        <f t="shared" si="13"/>
        <v>5</v>
      </c>
      <c r="P177">
        <f t="shared" si="8"/>
        <v>40</v>
      </c>
      <c r="Q177">
        <f t="shared" si="6"/>
        <v>1</v>
      </c>
      <c r="R177">
        <f t="shared" si="6"/>
        <v>7</v>
      </c>
      <c r="T177" t="s">
        <v>4525</v>
      </c>
      <c r="U177" s="1">
        <v>44116</v>
      </c>
    </row>
    <row r="178" spans="6:21">
      <c r="F178" t="str">
        <f t="shared" si="7"/>
        <v>M14NC</v>
      </c>
      <c r="G178" s="1">
        <f t="shared" si="10"/>
        <v>43220</v>
      </c>
      <c r="H178" t="s">
        <v>4499</v>
      </c>
      <c r="I178" t="s">
        <v>4181</v>
      </c>
      <c r="J178" t="str">
        <f t="shared" si="12"/>
        <v>Semana 54NC</v>
      </c>
      <c r="K178" t="s">
        <v>4575</v>
      </c>
      <c r="L178" s="1">
        <f t="shared" si="5"/>
        <v>43220</v>
      </c>
      <c r="M178" s="1">
        <f t="shared" si="11"/>
        <v>43226</v>
      </c>
      <c r="O178">
        <f t="shared" si="13"/>
        <v>4</v>
      </c>
      <c r="P178">
        <f t="shared" si="8"/>
        <v>32</v>
      </c>
      <c r="Q178">
        <f t="shared" si="6"/>
        <v>1</v>
      </c>
      <c r="R178">
        <f t="shared" si="6"/>
        <v>7</v>
      </c>
      <c r="T178" t="s">
        <v>4527</v>
      </c>
      <c r="U178" s="1">
        <v>44190</v>
      </c>
    </row>
    <row r="179" spans="6:21">
      <c r="F179" t="str">
        <f t="shared" si="7"/>
        <v>M14NC</v>
      </c>
      <c r="G179" s="1">
        <f t="shared" si="10"/>
        <v>43227</v>
      </c>
      <c r="H179" t="s">
        <v>4501</v>
      </c>
      <c r="I179" t="s">
        <v>4181</v>
      </c>
      <c r="J179" t="str">
        <f t="shared" si="12"/>
        <v>Semana 55NC</v>
      </c>
      <c r="K179" t="s">
        <v>4576</v>
      </c>
      <c r="L179" s="1">
        <f t="shared" si="5"/>
        <v>43227</v>
      </c>
      <c r="M179" s="1">
        <f t="shared" si="11"/>
        <v>43233</v>
      </c>
      <c r="O179">
        <f t="shared" si="13"/>
        <v>5</v>
      </c>
      <c r="P179">
        <f t="shared" si="8"/>
        <v>40</v>
      </c>
      <c r="Q179">
        <f t="shared" si="6"/>
        <v>1</v>
      </c>
      <c r="R179">
        <f t="shared" si="6"/>
        <v>7</v>
      </c>
    </row>
    <row r="180" spans="6:21">
      <c r="F180" t="str">
        <f t="shared" si="7"/>
        <v>M14NC</v>
      </c>
      <c r="G180" s="1">
        <f t="shared" si="10"/>
        <v>43234</v>
      </c>
      <c r="H180" t="s">
        <v>4503</v>
      </c>
      <c r="I180" t="s">
        <v>4181</v>
      </c>
      <c r="J180" t="str">
        <f t="shared" si="12"/>
        <v>Semana 56NC</v>
      </c>
      <c r="K180" t="s">
        <v>4577</v>
      </c>
      <c r="L180" s="1">
        <f t="shared" si="5"/>
        <v>43234</v>
      </c>
      <c r="M180" s="1">
        <v>43242</v>
      </c>
      <c r="O180">
        <f t="shared" si="13"/>
        <v>7</v>
      </c>
      <c r="P180">
        <f t="shared" si="8"/>
        <v>56</v>
      </c>
      <c r="Q180">
        <f t="shared" si="6"/>
        <v>1</v>
      </c>
      <c r="R180">
        <f t="shared" si="6"/>
        <v>2</v>
      </c>
    </row>
    <row r="181" spans="6:21">
      <c r="F181" t="s">
        <v>4357</v>
      </c>
      <c r="G181" s="1">
        <f>L181</f>
        <v>43243</v>
      </c>
      <c r="H181" t="s">
        <v>4357</v>
      </c>
      <c r="I181" t="s">
        <v>4357</v>
      </c>
      <c r="J181" t="str">
        <f t="shared" si="12"/>
        <v>NANA</v>
      </c>
      <c r="K181" s="3" t="str">
        <f>H181&amp;"
"&amp;TEXT(L181,"dd/mm/yy")&amp;" - "&amp;TEXT(M181,"dd/mm/yy")</f>
        <v>NA
23/05/yy - 23/05/yy</v>
      </c>
      <c r="L181" s="1">
        <f t="shared" si="5"/>
        <v>43243</v>
      </c>
      <c r="M181" s="1">
        <f>L181</f>
        <v>43243</v>
      </c>
      <c r="O181">
        <f t="shared" si="13"/>
        <v>1</v>
      </c>
      <c r="P181">
        <f t="shared" si="8"/>
        <v>8</v>
      </c>
      <c r="Q181">
        <f t="shared" si="6"/>
        <v>3</v>
      </c>
      <c r="R181">
        <f t="shared" si="6"/>
        <v>3</v>
      </c>
    </row>
    <row r="182" spans="6:21">
      <c r="F182" t="s">
        <v>4361</v>
      </c>
      <c r="G182" s="1">
        <f>L182</f>
        <v>43244</v>
      </c>
      <c r="H182" t="s">
        <v>4343</v>
      </c>
      <c r="I182" t="s">
        <v>4224</v>
      </c>
      <c r="J182" t="str">
        <f t="shared" si="12"/>
        <v>Semana 1NCP1</v>
      </c>
      <c r="K182" t="s">
        <v>4578</v>
      </c>
      <c r="L182" s="1">
        <f t="shared" si="5"/>
        <v>43244</v>
      </c>
      <c r="M182" s="1">
        <f>M181+11</f>
        <v>43254</v>
      </c>
      <c r="O182">
        <f t="shared" si="13"/>
        <v>7</v>
      </c>
      <c r="P182">
        <f t="shared" si="8"/>
        <v>56</v>
      </c>
      <c r="Q182">
        <f>WEEKDAY(L182,2)</f>
        <v>4</v>
      </c>
      <c r="R182">
        <f>WEEKDAY(M182,2)</f>
        <v>7</v>
      </c>
      <c r="T182" t="s">
        <v>5075</v>
      </c>
    </row>
    <row r="183" spans="6:21">
      <c r="F183" t="str">
        <f t="shared" si="7"/>
        <v>M1NCP1</v>
      </c>
      <c r="G183" s="1">
        <f>L183</f>
        <v>43255</v>
      </c>
      <c r="H183" t="s">
        <v>4347</v>
      </c>
      <c r="I183" t="s">
        <v>4224</v>
      </c>
      <c r="J183" t="str">
        <f t="shared" si="12"/>
        <v>Semana 2NCP1</v>
      </c>
      <c r="K183" t="s">
        <v>4579</v>
      </c>
      <c r="L183" s="1">
        <f t="shared" si="5"/>
        <v>43255</v>
      </c>
      <c r="M183" s="1">
        <f t="shared" si="11"/>
        <v>43261</v>
      </c>
      <c r="O183">
        <f t="shared" si="13"/>
        <v>5</v>
      </c>
      <c r="P183">
        <f t="shared" si="8"/>
        <v>40</v>
      </c>
      <c r="Q183">
        <f t="shared" ref="Q183:R237" si="14">WEEKDAY(L183,2)</f>
        <v>1</v>
      </c>
      <c r="R183">
        <f t="shared" si="14"/>
        <v>7</v>
      </c>
      <c r="T183" t="s">
        <v>4533</v>
      </c>
      <c r="U183" s="1">
        <v>44197</v>
      </c>
    </row>
    <row r="184" spans="6:21">
      <c r="F184" t="str">
        <f t="shared" si="7"/>
        <v>M1NCP1</v>
      </c>
      <c r="G184" s="1">
        <f t="shared" ref="G184:G237" si="15">L184</f>
        <v>43262</v>
      </c>
      <c r="H184" t="s">
        <v>4351</v>
      </c>
      <c r="I184" t="s">
        <v>4224</v>
      </c>
      <c r="J184" t="str">
        <f t="shared" si="12"/>
        <v>Semana 3NCP1</v>
      </c>
      <c r="K184" t="s">
        <v>4580</v>
      </c>
      <c r="L184" s="1">
        <f t="shared" si="5"/>
        <v>43262</v>
      </c>
      <c r="M184" s="1">
        <f t="shared" si="11"/>
        <v>43268</v>
      </c>
      <c r="O184">
        <f t="shared" si="13"/>
        <v>5</v>
      </c>
      <c r="P184">
        <f t="shared" si="8"/>
        <v>40</v>
      </c>
      <c r="Q184">
        <f t="shared" si="14"/>
        <v>1</v>
      </c>
      <c r="R184">
        <f t="shared" si="14"/>
        <v>7</v>
      </c>
      <c r="T184" t="s">
        <v>4535</v>
      </c>
      <c r="U184" s="1">
        <v>44287</v>
      </c>
    </row>
    <row r="185" spans="6:21">
      <c r="F185" t="str">
        <f t="shared" si="7"/>
        <v>M1NCP1</v>
      </c>
      <c r="G185" s="1">
        <f t="shared" si="15"/>
        <v>43269</v>
      </c>
      <c r="H185" t="s">
        <v>4355</v>
      </c>
      <c r="I185" t="s">
        <v>4224</v>
      </c>
      <c r="J185" t="str">
        <f t="shared" si="12"/>
        <v>Semana 4NCP1</v>
      </c>
      <c r="K185" t="s">
        <v>4581</v>
      </c>
      <c r="L185" s="1">
        <f t="shared" ref="L185:L248" si="16">M184+1</f>
        <v>43269</v>
      </c>
      <c r="M185" s="1">
        <f>M184+6</f>
        <v>43274</v>
      </c>
      <c r="O185">
        <f t="shared" si="13"/>
        <v>5</v>
      </c>
      <c r="P185">
        <f t="shared" si="8"/>
        <v>40</v>
      </c>
      <c r="Q185">
        <f t="shared" si="14"/>
        <v>1</v>
      </c>
      <c r="R185">
        <f t="shared" si="14"/>
        <v>6</v>
      </c>
      <c r="T185" t="s">
        <v>4537</v>
      </c>
      <c r="U185" s="1">
        <v>44288</v>
      </c>
    </row>
    <row r="186" spans="6:21">
      <c r="F186" t="s">
        <v>4365</v>
      </c>
      <c r="G186" s="1">
        <f t="shared" si="15"/>
        <v>43275</v>
      </c>
      <c r="H186" t="s">
        <v>4358</v>
      </c>
      <c r="I186" t="s">
        <v>4224</v>
      </c>
      <c r="J186" t="str">
        <f t="shared" si="12"/>
        <v>Semana 5NCP1</v>
      </c>
      <c r="K186" t="s">
        <v>4582</v>
      </c>
      <c r="L186" s="1">
        <f t="shared" si="16"/>
        <v>43275</v>
      </c>
      <c r="M186" s="1">
        <f>M185+8</f>
        <v>43282</v>
      </c>
      <c r="O186">
        <f t="shared" si="13"/>
        <v>5</v>
      </c>
      <c r="P186">
        <f t="shared" si="8"/>
        <v>40</v>
      </c>
      <c r="Q186">
        <f t="shared" si="14"/>
        <v>7</v>
      </c>
      <c r="R186">
        <f t="shared" si="14"/>
        <v>7</v>
      </c>
      <c r="T186" t="s">
        <v>4539</v>
      </c>
      <c r="U186" s="1">
        <v>44297</v>
      </c>
    </row>
    <row r="187" spans="6:21">
      <c r="F187" t="str">
        <f t="shared" si="7"/>
        <v>M2NCP1</v>
      </c>
      <c r="G187" s="1">
        <f t="shared" si="15"/>
        <v>43283</v>
      </c>
      <c r="H187" t="s">
        <v>4362</v>
      </c>
      <c r="I187" t="s">
        <v>4224</v>
      </c>
      <c r="J187" t="str">
        <f t="shared" si="12"/>
        <v>Semana 6NCP1</v>
      </c>
      <c r="K187" t="s">
        <v>4583</v>
      </c>
      <c r="L187" s="1">
        <f t="shared" si="16"/>
        <v>43283</v>
      </c>
      <c r="M187" s="1">
        <f t="shared" si="11"/>
        <v>43289</v>
      </c>
      <c r="O187">
        <f t="shared" si="13"/>
        <v>5</v>
      </c>
      <c r="P187">
        <f t="shared" si="8"/>
        <v>40</v>
      </c>
      <c r="Q187">
        <f t="shared" si="14"/>
        <v>1</v>
      </c>
      <c r="R187">
        <f t="shared" si="14"/>
        <v>7</v>
      </c>
      <c r="T187" t="s">
        <v>4541</v>
      </c>
      <c r="U187" s="1">
        <v>44319</v>
      </c>
    </row>
    <row r="188" spans="6:21">
      <c r="F188" t="str">
        <f t="shared" si="7"/>
        <v>M2NCP1</v>
      </c>
      <c r="G188" s="1">
        <f t="shared" si="15"/>
        <v>43290</v>
      </c>
      <c r="H188" t="s">
        <v>4366</v>
      </c>
      <c r="I188" t="s">
        <v>4224</v>
      </c>
      <c r="J188" t="str">
        <f t="shared" si="12"/>
        <v>Semana 7NCP1</v>
      </c>
      <c r="K188" t="s">
        <v>4584</v>
      </c>
      <c r="L188" s="1">
        <f t="shared" si="16"/>
        <v>43290</v>
      </c>
      <c r="M188" s="1">
        <f t="shared" si="11"/>
        <v>43296</v>
      </c>
      <c r="O188">
        <f t="shared" si="13"/>
        <v>5</v>
      </c>
      <c r="P188">
        <f t="shared" si="8"/>
        <v>40</v>
      </c>
      <c r="Q188">
        <f t="shared" si="14"/>
        <v>1</v>
      </c>
      <c r="R188">
        <f t="shared" si="14"/>
        <v>7</v>
      </c>
      <c r="T188" t="s">
        <v>4517</v>
      </c>
      <c r="U188" s="1">
        <v>44403</v>
      </c>
    </row>
    <row r="189" spans="6:21">
      <c r="F189" t="str">
        <f t="shared" si="7"/>
        <v>M2NCP1</v>
      </c>
      <c r="G189" s="1">
        <f t="shared" si="15"/>
        <v>43297</v>
      </c>
      <c r="H189" t="s">
        <v>4370</v>
      </c>
      <c r="I189" t="s">
        <v>4224</v>
      </c>
      <c r="J189" t="str">
        <f t="shared" si="12"/>
        <v>Semana 8NCP1</v>
      </c>
      <c r="K189" t="s">
        <v>4585</v>
      </c>
      <c r="L189" s="1">
        <f t="shared" si="16"/>
        <v>43297</v>
      </c>
      <c r="M189" s="1">
        <f>M188+8</f>
        <v>43304</v>
      </c>
      <c r="O189">
        <f t="shared" si="13"/>
        <v>6</v>
      </c>
      <c r="P189">
        <f t="shared" si="8"/>
        <v>48</v>
      </c>
      <c r="Q189">
        <f t="shared" si="14"/>
        <v>1</v>
      </c>
      <c r="R189">
        <f t="shared" si="14"/>
        <v>1</v>
      </c>
      <c r="T189" t="s">
        <v>4519</v>
      </c>
      <c r="U189" s="1">
        <v>44410</v>
      </c>
    </row>
    <row r="190" spans="6:21">
      <c r="F190" t="s">
        <v>4369</v>
      </c>
      <c r="G190" s="1">
        <f t="shared" si="15"/>
        <v>43305</v>
      </c>
      <c r="H190" t="s">
        <v>4374</v>
      </c>
      <c r="I190" t="s">
        <v>4224</v>
      </c>
      <c r="J190" t="str">
        <f t="shared" si="12"/>
        <v>Semana 9NCP1</v>
      </c>
      <c r="K190" t="s">
        <v>4586</v>
      </c>
      <c r="L190" s="1">
        <f t="shared" si="16"/>
        <v>43305</v>
      </c>
      <c r="M190" s="1">
        <f>M189+13</f>
        <v>43317</v>
      </c>
      <c r="O190">
        <f t="shared" si="13"/>
        <v>7</v>
      </c>
      <c r="P190">
        <f t="shared" ref="P190:P253" si="17">O190*8</f>
        <v>56</v>
      </c>
      <c r="Q190">
        <f t="shared" si="14"/>
        <v>2</v>
      </c>
      <c r="R190">
        <f t="shared" si="14"/>
        <v>7</v>
      </c>
      <c r="T190" t="s">
        <v>4521</v>
      </c>
      <c r="U190" s="1">
        <v>44423</v>
      </c>
    </row>
    <row r="191" spans="6:21">
      <c r="F191" t="str">
        <f t="shared" ref="F191:F237" si="18">F190</f>
        <v>M3NCP1</v>
      </c>
      <c r="G191" s="1">
        <f t="shared" si="15"/>
        <v>43318</v>
      </c>
      <c r="H191" t="s">
        <v>4378</v>
      </c>
      <c r="I191" t="s">
        <v>4224</v>
      </c>
      <c r="J191" t="str">
        <f t="shared" si="12"/>
        <v>Semana 10NCP1</v>
      </c>
      <c r="K191" t="s">
        <v>4587</v>
      </c>
      <c r="L191" s="1">
        <f t="shared" si="16"/>
        <v>43318</v>
      </c>
      <c r="M191" s="1">
        <f t="shared" si="11"/>
        <v>43324</v>
      </c>
      <c r="O191">
        <f t="shared" si="13"/>
        <v>5</v>
      </c>
      <c r="P191">
        <f t="shared" si="17"/>
        <v>40</v>
      </c>
      <c r="Q191">
        <f t="shared" si="14"/>
        <v>1</v>
      </c>
      <c r="R191">
        <f t="shared" si="14"/>
        <v>7</v>
      </c>
      <c r="T191" t="s">
        <v>4523</v>
      </c>
      <c r="U191" s="1">
        <v>44454</v>
      </c>
    </row>
    <row r="192" spans="6:21">
      <c r="F192" t="str">
        <f t="shared" si="18"/>
        <v>M3NCP1</v>
      </c>
      <c r="G192" s="1">
        <f t="shared" si="15"/>
        <v>43325</v>
      </c>
      <c r="H192" t="s">
        <v>4382</v>
      </c>
      <c r="I192" t="s">
        <v>4224</v>
      </c>
      <c r="J192" t="str">
        <f t="shared" si="12"/>
        <v>Semana 11NCP1</v>
      </c>
      <c r="K192" t="s">
        <v>4588</v>
      </c>
      <c r="L192" s="1">
        <f t="shared" si="16"/>
        <v>43325</v>
      </c>
      <c r="M192" s="1">
        <f t="shared" si="11"/>
        <v>43331</v>
      </c>
      <c r="O192">
        <f t="shared" si="13"/>
        <v>4</v>
      </c>
      <c r="P192">
        <f t="shared" si="17"/>
        <v>32</v>
      </c>
      <c r="Q192">
        <f t="shared" si="14"/>
        <v>1</v>
      </c>
      <c r="R192">
        <f t="shared" si="14"/>
        <v>7</v>
      </c>
      <c r="T192" t="s">
        <v>4525</v>
      </c>
      <c r="U192" s="1">
        <v>44481</v>
      </c>
    </row>
    <row r="193" spans="6:21">
      <c r="F193" t="str">
        <f t="shared" si="18"/>
        <v>M3NCP1</v>
      </c>
      <c r="G193" s="1">
        <f t="shared" si="15"/>
        <v>43332</v>
      </c>
      <c r="H193" t="s">
        <v>4386</v>
      </c>
      <c r="I193" t="s">
        <v>4224</v>
      </c>
      <c r="J193" t="str">
        <f t="shared" si="12"/>
        <v>Semana 12NCP1</v>
      </c>
      <c r="K193" t="s">
        <v>4589</v>
      </c>
      <c r="L193" s="1">
        <f t="shared" si="16"/>
        <v>43332</v>
      </c>
      <c r="M193" s="1">
        <f>M192+4</f>
        <v>43335</v>
      </c>
      <c r="O193">
        <f t="shared" si="13"/>
        <v>4</v>
      </c>
      <c r="P193">
        <f t="shared" si="17"/>
        <v>32</v>
      </c>
      <c r="Q193">
        <f t="shared" si="14"/>
        <v>1</v>
      </c>
      <c r="R193">
        <f t="shared" si="14"/>
        <v>4</v>
      </c>
      <c r="T193" t="s">
        <v>4527</v>
      </c>
      <c r="U193" s="1">
        <v>44555</v>
      </c>
    </row>
    <row r="194" spans="6:21">
      <c r="F194" t="s">
        <v>4373</v>
      </c>
      <c r="G194" s="1">
        <f t="shared" si="15"/>
        <v>43336</v>
      </c>
      <c r="H194" t="s">
        <v>4390</v>
      </c>
      <c r="I194" t="s">
        <v>4224</v>
      </c>
      <c r="J194" t="str">
        <f t="shared" si="12"/>
        <v>Semana 13NCP1</v>
      </c>
      <c r="K194" t="s">
        <v>4590</v>
      </c>
      <c r="L194" s="1">
        <f t="shared" si="16"/>
        <v>43336</v>
      </c>
      <c r="M194" s="1">
        <f>M193+10</f>
        <v>43345</v>
      </c>
      <c r="O194">
        <f t="shared" si="13"/>
        <v>6</v>
      </c>
      <c r="P194">
        <f t="shared" si="17"/>
        <v>48</v>
      </c>
      <c r="Q194">
        <f t="shared" si="14"/>
        <v>5</v>
      </c>
      <c r="R194">
        <f t="shared" si="14"/>
        <v>7</v>
      </c>
    </row>
    <row r="195" spans="6:21">
      <c r="F195" t="str">
        <f t="shared" si="18"/>
        <v>M4NCP1</v>
      </c>
      <c r="G195" s="1">
        <f t="shared" si="15"/>
        <v>43346</v>
      </c>
      <c r="H195" t="s">
        <v>4394</v>
      </c>
      <c r="I195" t="s">
        <v>4224</v>
      </c>
      <c r="J195" t="str">
        <f t="shared" si="12"/>
        <v>Semana 14NCP1</v>
      </c>
      <c r="K195" t="s">
        <v>4591</v>
      </c>
      <c r="L195" s="1">
        <f t="shared" si="16"/>
        <v>43346</v>
      </c>
      <c r="M195" s="1">
        <f t="shared" ref="M195:M236" si="19">M194+7</f>
        <v>43352</v>
      </c>
      <c r="O195">
        <f t="shared" si="13"/>
        <v>5</v>
      </c>
      <c r="P195">
        <f t="shared" si="17"/>
        <v>40</v>
      </c>
      <c r="Q195">
        <f t="shared" si="14"/>
        <v>1</v>
      </c>
      <c r="R195">
        <f t="shared" si="14"/>
        <v>7</v>
      </c>
    </row>
    <row r="196" spans="6:21">
      <c r="F196" t="str">
        <f t="shared" si="18"/>
        <v>M4NCP1</v>
      </c>
      <c r="G196" s="1">
        <f t="shared" si="15"/>
        <v>43353</v>
      </c>
      <c r="H196" t="s">
        <v>4398</v>
      </c>
      <c r="I196" t="s">
        <v>4224</v>
      </c>
      <c r="J196" t="str">
        <f t="shared" si="12"/>
        <v>Semana 15NCP1</v>
      </c>
      <c r="K196" t="s">
        <v>4592</v>
      </c>
      <c r="L196" s="1">
        <f t="shared" si="16"/>
        <v>43353</v>
      </c>
      <c r="M196" s="1">
        <f t="shared" si="19"/>
        <v>43359</v>
      </c>
      <c r="O196">
        <f t="shared" si="13"/>
        <v>5</v>
      </c>
      <c r="P196">
        <f t="shared" si="17"/>
        <v>40</v>
      </c>
      <c r="Q196">
        <f t="shared" si="14"/>
        <v>1</v>
      </c>
      <c r="R196">
        <f t="shared" si="14"/>
        <v>7</v>
      </c>
      <c r="T196" t="s">
        <v>5492</v>
      </c>
    </row>
    <row r="197" spans="6:21">
      <c r="F197" t="str">
        <f t="shared" si="18"/>
        <v>M4NCP1</v>
      </c>
      <c r="G197" s="1">
        <f t="shared" si="15"/>
        <v>43360</v>
      </c>
      <c r="H197" t="s">
        <v>4402</v>
      </c>
      <c r="I197" t="s">
        <v>4224</v>
      </c>
      <c r="J197" t="str">
        <f t="shared" si="12"/>
        <v>Semana 16NCP1</v>
      </c>
      <c r="K197" t="s">
        <v>4593</v>
      </c>
      <c r="L197" s="1">
        <f t="shared" si="16"/>
        <v>43360</v>
      </c>
      <c r="M197" s="1">
        <f>M196+7</f>
        <v>43366</v>
      </c>
      <c r="O197">
        <f t="shared" si="13"/>
        <v>5</v>
      </c>
      <c r="P197">
        <f t="shared" si="17"/>
        <v>40</v>
      </c>
      <c r="Q197">
        <f t="shared" si="14"/>
        <v>1</v>
      </c>
      <c r="R197">
        <f t="shared" si="14"/>
        <v>7</v>
      </c>
      <c r="T197" t="s">
        <v>4533</v>
      </c>
      <c r="U197" s="1">
        <v>44562</v>
      </c>
    </row>
    <row r="198" spans="6:21">
      <c r="F198" t="s">
        <v>4377</v>
      </c>
      <c r="G198" s="1">
        <f t="shared" si="15"/>
        <v>43367</v>
      </c>
      <c r="H198" t="s">
        <v>4406</v>
      </c>
      <c r="I198" t="s">
        <v>4224</v>
      </c>
      <c r="J198" t="str">
        <f t="shared" ref="J198:J261" si="20">H198&amp;I198</f>
        <v>Semana 17NCP1</v>
      </c>
      <c r="K198" t="s">
        <v>4594</v>
      </c>
      <c r="L198" s="1">
        <f t="shared" si="16"/>
        <v>43367</v>
      </c>
      <c r="M198" s="1">
        <f>M197+7</f>
        <v>43373</v>
      </c>
      <c r="O198">
        <f t="shared" si="13"/>
        <v>5</v>
      </c>
      <c r="P198">
        <f t="shared" si="17"/>
        <v>40</v>
      </c>
      <c r="Q198">
        <f t="shared" si="14"/>
        <v>1</v>
      </c>
      <c r="R198">
        <f t="shared" si="14"/>
        <v>7</v>
      </c>
      <c r="T198" t="s">
        <v>4535</v>
      </c>
      <c r="U198" s="1">
        <v>44665</v>
      </c>
    </row>
    <row r="199" spans="6:21">
      <c r="F199" t="str">
        <f t="shared" si="18"/>
        <v>M5NCP1</v>
      </c>
      <c r="G199" s="1">
        <f t="shared" si="15"/>
        <v>43374</v>
      </c>
      <c r="H199" t="s">
        <v>4410</v>
      </c>
      <c r="I199" t="s">
        <v>4224</v>
      </c>
      <c r="J199" t="str">
        <f t="shared" si="20"/>
        <v>Semana 18NCP1</v>
      </c>
      <c r="K199" t="s">
        <v>4595</v>
      </c>
      <c r="L199" s="1">
        <f t="shared" si="16"/>
        <v>43374</v>
      </c>
      <c r="M199" s="1">
        <f t="shared" si="19"/>
        <v>43380</v>
      </c>
      <c r="O199">
        <f t="shared" ref="O199:O237" si="21">NETWORKDAYS(L199,M199,$U$133:$U$152)</f>
        <v>5</v>
      </c>
      <c r="P199">
        <f t="shared" si="17"/>
        <v>40</v>
      </c>
      <c r="Q199">
        <f t="shared" si="14"/>
        <v>1</v>
      </c>
      <c r="R199">
        <f t="shared" si="14"/>
        <v>7</v>
      </c>
      <c r="T199" t="s">
        <v>4537</v>
      </c>
      <c r="U199" s="1">
        <v>44666</v>
      </c>
    </row>
    <row r="200" spans="6:21">
      <c r="F200" t="str">
        <f t="shared" si="18"/>
        <v>M5NCP1</v>
      </c>
      <c r="G200" s="1">
        <f t="shared" si="15"/>
        <v>43381</v>
      </c>
      <c r="H200" t="s">
        <v>4414</v>
      </c>
      <c r="I200" t="s">
        <v>4224</v>
      </c>
      <c r="J200" t="str">
        <f t="shared" si="20"/>
        <v>Semana 19NCP1</v>
      </c>
      <c r="K200" t="s">
        <v>4596</v>
      </c>
      <c r="L200" s="1">
        <f t="shared" si="16"/>
        <v>43381</v>
      </c>
      <c r="M200" s="1">
        <f t="shared" si="19"/>
        <v>43387</v>
      </c>
      <c r="O200">
        <f t="shared" si="21"/>
        <v>5</v>
      </c>
      <c r="P200">
        <f t="shared" si="17"/>
        <v>40</v>
      </c>
      <c r="Q200">
        <f t="shared" si="14"/>
        <v>1</v>
      </c>
      <c r="R200">
        <f t="shared" si="14"/>
        <v>7</v>
      </c>
      <c r="T200" t="s">
        <v>4539</v>
      </c>
      <c r="U200" s="1">
        <v>44662</v>
      </c>
    </row>
    <row r="201" spans="6:21">
      <c r="F201" t="str">
        <f t="shared" si="18"/>
        <v>M5NCP1</v>
      </c>
      <c r="G201" s="1">
        <f t="shared" si="15"/>
        <v>43388</v>
      </c>
      <c r="H201" t="s">
        <v>4417</v>
      </c>
      <c r="I201" t="s">
        <v>4224</v>
      </c>
      <c r="J201" t="str">
        <f t="shared" si="20"/>
        <v>Semana 20NCP1</v>
      </c>
      <c r="K201" t="s">
        <v>4597</v>
      </c>
      <c r="L201" s="1">
        <f t="shared" si="16"/>
        <v>43388</v>
      </c>
      <c r="M201" s="1">
        <f>M200+9</f>
        <v>43396</v>
      </c>
      <c r="O201">
        <f t="shared" si="21"/>
        <v>6</v>
      </c>
      <c r="P201">
        <f t="shared" si="17"/>
        <v>48</v>
      </c>
      <c r="Q201">
        <f t="shared" si="14"/>
        <v>1</v>
      </c>
      <c r="R201">
        <f t="shared" si="14"/>
        <v>2</v>
      </c>
      <c r="T201" t="s">
        <v>4541</v>
      </c>
      <c r="U201" s="1">
        <v>44682</v>
      </c>
    </row>
    <row r="202" spans="6:21">
      <c r="F202" t="s">
        <v>4381</v>
      </c>
      <c r="G202" s="1">
        <f t="shared" si="15"/>
        <v>43397</v>
      </c>
      <c r="H202" t="s">
        <v>4419</v>
      </c>
      <c r="I202" t="s">
        <v>4224</v>
      </c>
      <c r="J202" t="str">
        <f t="shared" si="20"/>
        <v>Semana 21NCP1</v>
      </c>
      <c r="K202" t="s">
        <v>4598</v>
      </c>
      <c r="L202" s="1">
        <f t="shared" si="16"/>
        <v>43397</v>
      </c>
      <c r="M202" s="1">
        <f>M201+12</f>
        <v>43408</v>
      </c>
      <c r="O202">
        <f t="shared" si="21"/>
        <v>8</v>
      </c>
      <c r="P202">
        <f t="shared" si="17"/>
        <v>64</v>
      </c>
      <c r="Q202">
        <f t="shared" si="14"/>
        <v>3</v>
      </c>
      <c r="R202">
        <f t="shared" si="14"/>
        <v>7</v>
      </c>
      <c r="T202" t="s">
        <v>4517</v>
      </c>
      <c r="U202" s="1">
        <v>44767</v>
      </c>
    </row>
    <row r="203" spans="6:21">
      <c r="F203" t="str">
        <f t="shared" si="18"/>
        <v>M6NCP1</v>
      </c>
      <c r="G203" s="1">
        <f t="shared" si="15"/>
        <v>43409</v>
      </c>
      <c r="H203" t="s">
        <v>4421</v>
      </c>
      <c r="I203" t="s">
        <v>4224</v>
      </c>
      <c r="J203" t="str">
        <f t="shared" si="20"/>
        <v>Semana 22NCP1</v>
      </c>
      <c r="K203" t="s">
        <v>4599</v>
      </c>
      <c r="L203" s="1">
        <f t="shared" si="16"/>
        <v>43409</v>
      </c>
      <c r="M203" s="1">
        <f t="shared" si="19"/>
        <v>43415</v>
      </c>
      <c r="O203">
        <f t="shared" si="21"/>
        <v>5</v>
      </c>
      <c r="P203">
        <f t="shared" si="17"/>
        <v>40</v>
      </c>
      <c r="Q203">
        <f t="shared" si="14"/>
        <v>1</v>
      </c>
      <c r="R203">
        <f t="shared" si="14"/>
        <v>7</v>
      </c>
      <c r="T203" t="s">
        <v>4519</v>
      </c>
      <c r="U203" s="1">
        <v>44775</v>
      </c>
    </row>
    <row r="204" spans="6:21">
      <c r="F204" t="str">
        <f t="shared" si="18"/>
        <v>M6NCP1</v>
      </c>
      <c r="G204" s="1">
        <f t="shared" si="15"/>
        <v>43416</v>
      </c>
      <c r="H204" t="s">
        <v>4423</v>
      </c>
      <c r="I204" t="s">
        <v>4224</v>
      </c>
      <c r="J204" t="str">
        <f t="shared" si="20"/>
        <v>Semana 23NCP1</v>
      </c>
      <c r="K204" t="s">
        <v>4600</v>
      </c>
      <c r="L204" s="1">
        <f t="shared" si="16"/>
        <v>43416</v>
      </c>
      <c r="M204" s="1">
        <f t="shared" si="19"/>
        <v>43422</v>
      </c>
      <c r="O204">
        <f t="shared" si="21"/>
        <v>5</v>
      </c>
      <c r="P204">
        <f t="shared" si="17"/>
        <v>40</v>
      </c>
      <c r="Q204">
        <f t="shared" si="14"/>
        <v>1</v>
      </c>
      <c r="R204">
        <f t="shared" si="14"/>
        <v>7</v>
      </c>
      <c r="T204" t="s">
        <v>4521</v>
      </c>
      <c r="U204" s="1">
        <v>44788</v>
      </c>
    </row>
    <row r="205" spans="6:21">
      <c r="F205" t="str">
        <f t="shared" si="18"/>
        <v>M6NCP1</v>
      </c>
      <c r="G205" s="1">
        <f t="shared" si="15"/>
        <v>43423</v>
      </c>
      <c r="H205" t="s">
        <v>4426</v>
      </c>
      <c r="I205" t="s">
        <v>4224</v>
      </c>
      <c r="J205" t="str">
        <f t="shared" si="20"/>
        <v>Semana 24NCP1</v>
      </c>
      <c r="K205" t="s">
        <v>4601</v>
      </c>
      <c r="L205" s="1">
        <f t="shared" si="16"/>
        <v>43423</v>
      </c>
      <c r="M205" s="1">
        <f>M204+5</f>
        <v>43427</v>
      </c>
      <c r="O205">
        <f t="shared" si="21"/>
        <v>5</v>
      </c>
      <c r="P205">
        <f t="shared" si="17"/>
        <v>40</v>
      </c>
      <c r="Q205">
        <f t="shared" si="14"/>
        <v>1</v>
      </c>
      <c r="R205">
        <f t="shared" si="14"/>
        <v>5</v>
      </c>
      <c r="T205" t="s">
        <v>4523</v>
      </c>
      <c r="U205" s="1">
        <v>44823</v>
      </c>
    </row>
    <row r="206" spans="6:21">
      <c r="F206" t="s">
        <v>4385</v>
      </c>
      <c r="G206" s="1">
        <f t="shared" si="15"/>
        <v>43428</v>
      </c>
      <c r="H206" t="s">
        <v>4429</v>
      </c>
      <c r="I206" t="s">
        <v>4224</v>
      </c>
      <c r="J206" t="str">
        <f t="shared" si="20"/>
        <v>Semana 25NCP1</v>
      </c>
      <c r="K206" t="s">
        <v>4602</v>
      </c>
      <c r="L206" s="1">
        <f t="shared" si="16"/>
        <v>43428</v>
      </c>
      <c r="M206" s="1">
        <f>M205+9</f>
        <v>43436</v>
      </c>
      <c r="O206">
        <f t="shared" si="21"/>
        <v>5</v>
      </c>
      <c r="P206">
        <f t="shared" si="17"/>
        <v>40</v>
      </c>
      <c r="Q206">
        <f t="shared" si="14"/>
        <v>6</v>
      </c>
      <c r="R206">
        <f t="shared" si="14"/>
        <v>7</v>
      </c>
      <c r="T206" t="s">
        <v>5493</v>
      </c>
      <c r="U206" s="1">
        <v>44900</v>
      </c>
    </row>
    <row r="207" spans="6:21">
      <c r="F207" t="str">
        <f t="shared" si="18"/>
        <v>M7NCP1</v>
      </c>
      <c r="G207" s="1">
        <f t="shared" si="15"/>
        <v>43437</v>
      </c>
      <c r="H207" t="s">
        <v>4432</v>
      </c>
      <c r="I207" t="s">
        <v>4224</v>
      </c>
      <c r="J207" t="str">
        <f t="shared" si="20"/>
        <v>Semana 26NCP1</v>
      </c>
      <c r="K207" t="s">
        <v>4603</v>
      </c>
      <c r="L207" s="1">
        <f t="shared" si="16"/>
        <v>43437</v>
      </c>
      <c r="M207" s="1">
        <f t="shared" si="19"/>
        <v>43443</v>
      </c>
      <c r="O207">
        <f t="shared" si="21"/>
        <v>5</v>
      </c>
      <c r="P207">
        <f t="shared" si="17"/>
        <v>40</v>
      </c>
      <c r="Q207">
        <f t="shared" si="14"/>
        <v>1</v>
      </c>
      <c r="R207">
        <f t="shared" si="14"/>
        <v>7</v>
      </c>
      <c r="T207" t="s">
        <v>4527</v>
      </c>
      <c r="U207" s="1">
        <v>44920</v>
      </c>
    </row>
    <row r="208" spans="6:21">
      <c r="F208" t="str">
        <f t="shared" si="18"/>
        <v>M7NCP1</v>
      </c>
      <c r="G208" s="1">
        <f t="shared" si="15"/>
        <v>43444</v>
      </c>
      <c r="H208" t="s">
        <v>4435</v>
      </c>
      <c r="I208" t="s">
        <v>4224</v>
      </c>
      <c r="J208" t="str">
        <f t="shared" si="20"/>
        <v>Semana 27NCP1</v>
      </c>
      <c r="K208" t="s">
        <v>4604</v>
      </c>
      <c r="L208" s="1">
        <f t="shared" si="16"/>
        <v>43444</v>
      </c>
      <c r="M208" s="1">
        <f t="shared" si="19"/>
        <v>43450</v>
      </c>
      <c r="O208">
        <f t="shared" si="21"/>
        <v>5</v>
      </c>
      <c r="P208">
        <f t="shared" si="17"/>
        <v>40</v>
      </c>
      <c r="Q208">
        <f t="shared" si="14"/>
        <v>1</v>
      </c>
      <c r="R208">
        <f t="shared" si="14"/>
        <v>7</v>
      </c>
    </row>
    <row r="209" spans="6:21">
      <c r="F209" t="str">
        <f t="shared" si="18"/>
        <v>M7NCP1</v>
      </c>
      <c r="G209" s="1">
        <f t="shared" si="15"/>
        <v>43451</v>
      </c>
      <c r="H209" t="s">
        <v>4438</v>
      </c>
      <c r="I209" t="s">
        <v>4224</v>
      </c>
      <c r="J209" t="str">
        <f t="shared" si="20"/>
        <v>Semana 28NCP1</v>
      </c>
      <c r="K209" t="s">
        <v>4605</v>
      </c>
      <c r="L209" s="1">
        <f t="shared" si="16"/>
        <v>43451</v>
      </c>
      <c r="M209" s="1">
        <f>M208+7</f>
        <v>43457</v>
      </c>
      <c r="O209">
        <f t="shared" si="21"/>
        <v>5</v>
      </c>
      <c r="P209">
        <f t="shared" si="17"/>
        <v>40</v>
      </c>
      <c r="Q209">
        <f t="shared" si="14"/>
        <v>1</v>
      </c>
      <c r="R209">
        <f t="shared" si="14"/>
        <v>7</v>
      </c>
    </row>
    <row r="210" spans="6:21">
      <c r="F210" t="s">
        <v>4389</v>
      </c>
      <c r="G210" s="1">
        <f t="shared" si="15"/>
        <v>43458</v>
      </c>
      <c r="H210" t="s">
        <v>4441</v>
      </c>
      <c r="I210" t="s">
        <v>4224</v>
      </c>
      <c r="J210" t="str">
        <f t="shared" si="20"/>
        <v>Semana 29NCP1</v>
      </c>
      <c r="K210" t="s">
        <v>4606</v>
      </c>
      <c r="L210" s="1">
        <f t="shared" si="16"/>
        <v>43458</v>
      </c>
      <c r="M210" s="1">
        <f>M209+7</f>
        <v>43464</v>
      </c>
      <c r="O210">
        <f t="shared" si="21"/>
        <v>4</v>
      </c>
      <c r="P210">
        <f t="shared" si="17"/>
        <v>32</v>
      </c>
      <c r="Q210">
        <f t="shared" si="14"/>
        <v>1</v>
      </c>
      <c r="R210">
        <f t="shared" si="14"/>
        <v>7</v>
      </c>
      <c r="T210" s="35" t="s">
        <v>6102</v>
      </c>
      <c r="U210" s="8"/>
    </row>
    <row r="211" spans="6:21">
      <c r="F211" t="str">
        <f t="shared" si="18"/>
        <v>M8NCP1</v>
      </c>
      <c r="G211" s="1">
        <f t="shared" si="15"/>
        <v>43465</v>
      </c>
      <c r="H211" t="s">
        <v>4445</v>
      </c>
      <c r="I211" t="s">
        <v>4224</v>
      </c>
      <c r="J211" t="str">
        <f t="shared" si="20"/>
        <v>Semana 30NCP1</v>
      </c>
      <c r="K211" t="s">
        <v>4607</v>
      </c>
      <c r="L211" s="1">
        <f t="shared" si="16"/>
        <v>43465</v>
      </c>
      <c r="M211" s="1">
        <f t="shared" si="19"/>
        <v>43471</v>
      </c>
      <c r="O211">
        <f t="shared" si="21"/>
        <v>5</v>
      </c>
      <c r="P211">
        <f t="shared" si="17"/>
        <v>40</v>
      </c>
      <c r="Q211">
        <f t="shared" si="14"/>
        <v>1</v>
      </c>
      <c r="R211">
        <f t="shared" si="14"/>
        <v>7</v>
      </c>
      <c r="T211" s="8" t="s">
        <v>4533</v>
      </c>
      <c r="U211" s="45">
        <v>44927</v>
      </c>
    </row>
    <row r="212" spans="6:21">
      <c r="F212" t="str">
        <f t="shared" si="18"/>
        <v>M8NCP1</v>
      </c>
      <c r="G212" s="1">
        <f t="shared" si="15"/>
        <v>43472</v>
      </c>
      <c r="H212" t="s">
        <v>4449</v>
      </c>
      <c r="I212" t="s">
        <v>4224</v>
      </c>
      <c r="J212" t="str">
        <f t="shared" si="20"/>
        <v>Semana 31NCP1</v>
      </c>
      <c r="K212" t="s">
        <v>4608</v>
      </c>
      <c r="L212" s="1">
        <f t="shared" si="16"/>
        <v>43472</v>
      </c>
      <c r="M212" s="1">
        <f t="shared" si="19"/>
        <v>43478</v>
      </c>
      <c r="O212">
        <f t="shared" si="21"/>
        <v>5</v>
      </c>
      <c r="P212">
        <f t="shared" si="17"/>
        <v>40</v>
      </c>
      <c r="Q212">
        <f t="shared" si="14"/>
        <v>1</v>
      </c>
      <c r="R212">
        <f t="shared" si="14"/>
        <v>7</v>
      </c>
      <c r="T212" s="8" t="s">
        <v>4535</v>
      </c>
      <c r="U212" s="45">
        <v>45022</v>
      </c>
    </row>
    <row r="213" spans="6:21">
      <c r="F213" t="str">
        <f t="shared" si="18"/>
        <v>M8NCP1</v>
      </c>
      <c r="G213" s="1">
        <f t="shared" si="15"/>
        <v>43479</v>
      </c>
      <c r="H213" t="s">
        <v>4453</v>
      </c>
      <c r="I213" t="s">
        <v>4224</v>
      </c>
      <c r="J213" t="str">
        <f t="shared" si="20"/>
        <v>Semana 32NCP1</v>
      </c>
      <c r="K213" t="s">
        <v>4609</v>
      </c>
      <c r="L213" s="1">
        <f t="shared" si="16"/>
        <v>43479</v>
      </c>
      <c r="M213" s="1">
        <f>M212+10</f>
        <v>43488</v>
      </c>
      <c r="O213">
        <f t="shared" si="21"/>
        <v>8</v>
      </c>
      <c r="P213">
        <f t="shared" si="17"/>
        <v>64</v>
      </c>
      <c r="Q213">
        <f t="shared" si="14"/>
        <v>1</v>
      </c>
      <c r="R213">
        <f t="shared" si="14"/>
        <v>3</v>
      </c>
      <c r="T213" s="8" t="s">
        <v>4537</v>
      </c>
      <c r="U213" s="45">
        <v>45023</v>
      </c>
    </row>
    <row r="214" spans="6:21">
      <c r="F214" t="s">
        <v>4393</v>
      </c>
      <c r="G214" s="1">
        <f t="shared" si="15"/>
        <v>43489</v>
      </c>
      <c r="H214" t="s">
        <v>4457</v>
      </c>
      <c r="I214" t="s">
        <v>4224</v>
      </c>
      <c r="J214" t="str">
        <f t="shared" si="20"/>
        <v>Semana 33NCP1</v>
      </c>
      <c r="K214" t="s">
        <v>4610</v>
      </c>
      <c r="L214" s="1">
        <f t="shared" si="16"/>
        <v>43489</v>
      </c>
      <c r="M214" s="1">
        <f>M213+11</f>
        <v>43499</v>
      </c>
      <c r="O214">
        <f t="shared" si="21"/>
        <v>7</v>
      </c>
      <c r="P214">
        <f t="shared" si="17"/>
        <v>56</v>
      </c>
      <c r="Q214">
        <f t="shared" si="14"/>
        <v>4</v>
      </c>
      <c r="R214">
        <f t="shared" si="14"/>
        <v>7</v>
      </c>
      <c r="T214" s="8" t="s">
        <v>4539</v>
      </c>
      <c r="U214" s="45">
        <v>45026</v>
      </c>
    </row>
    <row r="215" spans="6:21">
      <c r="F215" t="str">
        <f t="shared" si="18"/>
        <v>M9NCP1</v>
      </c>
      <c r="G215" s="1">
        <f t="shared" si="15"/>
        <v>43500</v>
      </c>
      <c r="H215" t="s">
        <v>4459</v>
      </c>
      <c r="I215" t="s">
        <v>4224</v>
      </c>
      <c r="J215" t="str">
        <f t="shared" si="20"/>
        <v>Semana 34NCP1</v>
      </c>
      <c r="K215" t="s">
        <v>4611</v>
      </c>
      <c r="L215" s="1">
        <f t="shared" si="16"/>
        <v>43500</v>
      </c>
      <c r="M215" s="1">
        <f t="shared" si="19"/>
        <v>43506</v>
      </c>
      <c r="O215">
        <f t="shared" si="21"/>
        <v>5</v>
      </c>
      <c r="P215">
        <f t="shared" si="17"/>
        <v>40</v>
      </c>
      <c r="Q215">
        <f t="shared" si="14"/>
        <v>1</v>
      </c>
      <c r="R215">
        <f t="shared" si="14"/>
        <v>7</v>
      </c>
      <c r="T215" s="8" t="s">
        <v>4541</v>
      </c>
      <c r="U215" s="45">
        <v>45047</v>
      </c>
    </row>
    <row r="216" spans="6:21">
      <c r="F216" t="str">
        <f t="shared" si="18"/>
        <v>M9NCP1</v>
      </c>
      <c r="G216" s="1">
        <f t="shared" si="15"/>
        <v>43507</v>
      </c>
      <c r="H216" t="s">
        <v>4461</v>
      </c>
      <c r="I216" t="s">
        <v>4224</v>
      </c>
      <c r="J216" t="str">
        <f t="shared" si="20"/>
        <v>Semana 35NCP1</v>
      </c>
      <c r="K216" t="s">
        <v>4612</v>
      </c>
      <c r="L216" s="1">
        <f t="shared" si="16"/>
        <v>43507</v>
      </c>
      <c r="M216" s="1">
        <f t="shared" si="19"/>
        <v>43513</v>
      </c>
      <c r="O216">
        <f t="shared" si="21"/>
        <v>5</v>
      </c>
      <c r="P216">
        <f t="shared" si="17"/>
        <v>40</v>
      </c>
      <c r="Q216">
        <f t="shared" si="14"/>
        <v>1</v>
      </c>
      <c r="R216">
        <f t="shared" si="14"/>
        <v>7</v>
      </c>
      <c r="T216" s="8" t="s">
        <v>4517</v>
      </c>
      <c r="U216" s="45">
        <v>45131</v>
      </c>
    </row>
    <row r="217" spans="6:21">
      <c r="F217" t="str">
        <f t="shared" si="18"/>
        <v>M9NCP1</v>
      </c>
      <c r="G217" s="1">
        <f t="shared" si="15"/>
        <v>43514</v>
      </c>
      <c r="H217" t="s">
        <v>4463</v>
      </c>
      <c r="I217" t="s">
        <v>4224</v>
      </c>
      <c r="J217" t="str">
        <f t="shared" si="20"/>
        <v>Semana 36NCP1</v>
      </c>
      <c r="K217" t="s">
        <v>4613</v>
      </c>
      <c r="L217" s="1">
        <f t="shared" si="16"/>
        <v>43514</v>
      </c>
      <c r="M217" s="1">
        <f>M216+6</f>
        <v>43519</v>
      </c>
      <c r="O217">
        <f t="shared" si="21"/>
        <v>5</v>
      </c>
      <c r="P217">
        <f t="shared" si="17"/>
        <v>40</v>
      </c>
      <c r="Q217">
        <f t="shared" si="14"/>
        <v>1</v>
      </c>
      <c r="R217">
        <f t="shared" si="14"/>
        <v>6</v>
      </c>
      <c r="T217" s="8" t="s">
        <v>4519</v>
      </c>
      <c r="U217" s="45">
        <v>45140</v>
      </c>
    </row>
    <row r="218" spans="6:21">
      <c r="F218" t="s">
        <v>4397</v>
      </c>
      <c r="G218" s="1">
        <f t="shared" si="15"/>
        <v>43520</v>
      </c>
      <c r="H218" t="s">
        <v>4465</v>
      </c>
      <c r="I218" t="s">
        <v>4224</v>
      </c>
      <c r="J218" t="str">
        <f t="shared" si="20"/>
        <v>Semana 37NCP1</v>
      </c>
      <c r="K218" t="s">
        <v>4614</v>
      </c>
      <c r="L218" s="1">
        <f t="shared" si="16"/>
        <v>43520</v>
      </c>
      <c r="M218" s="1">
        <f>M217+8</f>
        <v>43527</v>
      </c>
      <c r="O218">
        <f t="shared" si="21"/>
        <v>5</v>
      </c>
      <c r="P218">
        <f t="shared" si="17"/>
        <v>40</v>
      </c>
      <c r="Q218">
        <f t="shared" si="14"/>
        <v>7</v>
      </c>
      <c r="R218">
        <f t="shared" si="14"/>
        <v>7</v>
      </c>
      <c r="T218" s="8" t="s">
        <v>4521</v>
      </c>
      <c r="U218" s="45">
        <v>45152</v>
      </c>
    </row>
    <row r="219" spans="6:21">
      <c r="F219" t="str">
        <f t="shared" si="18"/>
        <v>M10NCP1</v>
      </c>
      <c r="G219" s="1">
        <f t="shared" si="15"/>
        <v>43528</v>
      </c>
      <c r="H219" t="s">
        <v>4467</v>
      </c>
      <c r="I219" t="s">
        <v>4224</v>
      </c>
      <c r="J219" t="str">
        <f t="shared" si="20"/>
        <v>Semana 38NCP1</v>
      </c>
      <c r="K219" t="s">
        <v>4615</v>
      </c>
      <c r="L219" s="1">
        <f t="shared" si="16"/>
        <v>43528</v>
      </c>
      <c r="M219" s="1">
        <f t="shared" si="19"/>
        <v>43534</v>
      </c>
      <c r="O219">
        <f t="shared" si="21"/>
        <v>5</v>
      </c>
      <c r="P219">
        <f t="shared" si="17"/>
        <v>40</v>
      </c>
      <c r="Q219">
        <f t="shared" si="14"/>
        <v>1</v>
      </c>
      <c r="R219">
        <f t="shared" si="14"/>
        <v>7</v>
      </c>
      <c r="T219" s="8" t="s">
        <v>4523</v>
      </c>
      <c r="U219" s="45">
        <v>45184</v>
      </c>
    </row>
    <row r="220" spans="6:21">
      <c r="F220" t="str">
        <f t="shared" si="18"/>
        <v>M10NCP1</v>
      </c>
      <c r="G220" s="1">
        <f t="shared" si="15"/>
        <v>43535</v>
      </c>
      <c r="H220" t="s">
        <v>4469</v>
      </c>
      <c r="I220" t="s">
        <v>4224</v>
      </c>
      <c r="J220" t="str">
        <f t="shared" si="20"/>
        <v>Semana 39NCP1</v>
      </c>
      <c r="K220" t="s">
        <v>4616</v>
      </c>
      <c r="L220" s="1">
        <f t="shared" si="16"/>
        <v>43535</v>
      </c>
      <c r="M220" s="1">
        <f t="shared" si="19"/>
        <v>43541</v>
      </c>
      <c r="O220">
        <f t="shared" si="21"/>
        <v>5</v>
      </c>
      <c r="P220">
        <f t="shared" si="17"/>
        <v>40</v>
      </c>
      <c r="Q220">
        <f t="shared" si="14"/>
        <v>1</v>
      </c>
      <c r="R220">
        <f t="shared" si="14"/>
        <v>7</v>
      </c>
      <c r="T220" s="8" t="s">
        <v>5493</v>
      </c>
      <c r="U220" s="45">
        <v>45261</v>
      </c>
    </row>
    <row r="221" spans="6:21">
      <c r="F221" t="str">
        <f t="shared" si="18"/>
        <v>M10NCP1</v>
      </c>
      <c r="G221" s="1">
        <f t="shared" si="15"/>
        <v>43542</v>
      </c>
      <c r="H221" t="s">
        <v>4471</v>
      </c>
      <c r="I221" t="s">
        <v>4224</v>
      </c>
      <c r="J221" t="str">
        <f t="shared" si="20"/>
        <v>Semana 40NCP1</v>
      </c>
      <c r="K221" t="s">
        <v>4617</v>
      </c>
      <c r="L221" s="1">
        <f t="shared" si="16"/>
        <v>43542</v>
      </c>
      <c r="M221" s="1">
        <f>M220+6</f>
        <v>43547</v>
      </c>
      <c r="O221">
        <f t="shared" si="21"/>
        <v>5</v>
      </c>
      <c r="P221">
        <f t="shared" si="17"/>
        <v>40</v>
      </c>
      <c r="Q221">
        <f t="shared" si="14"/>
        <v>1</v>
      </c>
      <c r="R221">
        <f t="shared" si="14"/>
        <v>6</v>
      </c>
      <c r="T221" s="8" t="s">
        <v>4527</v>
      </c>
      <c r="U221" s="45">
        <v>45285</v>
      </c>
    </row>
    <row r="222" spans="6:21">
      <c r="F222" t="s">
        <v>4401</v>
      </c>
      <c r="G222" s="1">
        <f t="shared" si="15"/>
        <v>43548</v>
      </c>
      <c r="H222" t="s">
        <v>4473</v>
      </c>
      <c r="I222" t="s">
        <v>4224</v>
      </c>
      <c r="J222" t="str">
        <f t="shared" si="20"/>
        <v>Semana 41NCP1</v>
      </c>
      <c r="K222" t="s">
        <v>4618</v>
      </c>
      <c r="L222" s="1">
        <f t="shared" si="16"/>
        <v>43548</v>
      </c>
      <c r="M222" s="1">
        <f>M221+8</f>
        <v>43555</v>
      </c>
      <c r="O222">
        <f t="shared" si="21"/>
        <v>5</v>
      </c>
      <c r="P222">
        <f t="shared" si="17"/>
        <v>40</v>
      </c>
      <c r="Q222">
        <f t="shared" si="14"/>
        <v>7</v>
      </c>
      <c r="R222">
        <f t="shared" si="14"/>
        <v>7</v>
      </c>
    </row>
    <row r="223" spans="6:21">
      <c r="F223" t="str">
        <f t="shared" si="18"/>
        <v>M11NCP1</v>
      </c>
      <c r="G223" s="1">
        <f t="shared" si="15"/>
        <v>43556</v>
      </c>
      <c r="H223" t="s">
        <v>4475</v>
      </c>
      <c r="I223" t="s">
        <v>4224</v>
      </c>
      <c r="J223" t="str">
        <f t="shared" si="20"/>
        <v>Semana 42NCP1</v>
      </c>
      <c r="K223" t="s">
        <v>4619</v>
      </c>
      <c r="L223" s="1">
        <f t="shared" si="16"/>
        <v>43556</v>
      </c>
      <c r="M223" s="1">
        <f t="shared" si="19"/>
        <v>43562</v>
      </c>
      <c r="O223">
        <f t="shared" si="21"/>
        <v>5</v>
      </c>
      <c r="P223">
        <f t="shared" si="17"/>
        <v>40</v>
      </c>
      <c r="Q223">
        <f t="shared" si="14"/>
        <v>1</v>
      </c>
      <c r="R223">
        <f t="shared" si="14"/>
        <v>7</v>
      </c>
    </row>
    <row r="224" spans="6:21">
      <c r="F224" t="str">
        <f t="shared" si="18"/>
        <v>M11NCP1</v>
      </c>
      <c r="G224" s="1">
        <f t="shared" si="15"/>
        <v>43563</v>
      </c>
      <c r="H224" t="s">
        <v>4477</v>
      </c>
      <c r="I224" t="s">
        <v>4224</v>
      </c>
      <c r="J224" t="str">
        <f t="shared" si="20"/>
        <v>Semana 43NCP1</v>
      </c>
      <c r="K224" t="s">
        <v>4620</v>
      </c>
      <c r="L224" s="1">
        <f t="shared" si="16"/>
        <v>43563</v>
      </c>
      <c r="M224" s="1">
        <f t="shared" si="19"/>
        <v>43569</v>
      </c>
      <c r="O224">
        <f t="shared" si="21"/>
        <v>5</v>
      </c>
      <c r="P224">
        <f t="shared" si="17"/>
        <v>40</v>
      </c>
      <c r="Q224">
        <f t="shared" si="14"/>
        <v>1</v>
      </c>
      <c r="R224">
        <f t="shared" si="14"/>
        <v>7</v>
      </c>
      <c r="T224" s="35" t="s">
        <v>6891</v>
      </c>
      <c r="U224" s="8"/>
    </row>
    <row r="225" spans="6:21">
      <c r="F225" t="str">
        <f t="shared" si="18"/>
        <v>M11NCP1</v>
      </c>
      <c r="G225" s="1">
        <f t="shared" si="15"/>
        <v>43570</v>
      </c>
      <c r="H225" t="s">
        <v>4479</v>
      </c>
      <c r="I225" t="s">
        <v>4224</v>
      </c>
      <c r="J225" t="str">
        <f t="shared" si="20"/>
        <v>Semana 44NCP1</v>
      </c>
      <c r="K225" t="s">
        <v>4621</v>
      </c>
      <c r="L225" s="1">
        <f t="shared" si="16"/>
        <v>43570</v>
      </c>
      <c r="M225" s="1">
        <f>M224+9</f>
        <v>43578</v>
      </c>
      <c r="O225">
        <f t="shared" si="21"/>
        <v>7</v>
      </c>
      <c r="P225">
        <f t="shared" si="17"/>
        <v>56</v>
      </c>
      <c r="Q225">
        <f t="shared" si="14"/>
        <v>1</v>
      </c>
      <c r="R225">
        <f t="shared" si="14"/>
        <v>2</v>
      </c>
      <c r="T225" s="8" t="s">
        <v>4533</v>
      </c>
      <c r="U225" s="45">
        <v>45292</v>
      </c>
    </row>
    <row r="226" spans="6:21">
      <c r="F226" t="s">
        <v>4405</v>
      </c>
      <c r="G226" s="1">
        <f t="shared" si="15"/>
        <v>43579</v>
      </c>
      <c r="H226" t="s">
        <v>4481</v>
      </c>
      <c r="I226" t="s">
        <v>4224</v>
      </c>
      <c r="J226" t="str">
        <f t="shared" si="20"/>
        <v>Semana 45NCP1</v>
      </c>
      <c r="K226" t="s">
        <v>4622</v>
      </c>
      <c r="L226" s="1">
        <f t="shared" si="16"/>
        <v>43579</v>
      </c>
      <c r="M226" s="1">
        <f>M225+12</f>
        <v>43590</v>
      </c>
      <c r="O226">
        <f t="shared" si="21"/>
        <v>8</v>
      </c>
      <c r="P226">
        <f t="shared" si="17"/>
        <v>64</v>
      </c>
      <c r="Q226">
        <f t="shared" si="14"/>
        <v>3</v>
      </c>
      <c r="R226">
        <f t="shared" si="14"/>
        <v>7</v>
      </c>
      <c r="T226" s="8" t="s">
        <v>4535</v>
      </c>
      <c r="U226" s="45">
        <v>45379</v>
      </c>
    </row>
    <row r="227" spans="6:21">
      <c r="F227" t="str">
        <f t="shared" si="18"/>
        <v>M12NCP1</v>
      </c>
      <c r="G227" s="1">
        <f t="shared" si="15"/>
        <v>43591</v>
      </c>
      <c r="H227" t="s">
        <v>4483</v>
      </c>
      <c r="I227" t="s">
        <v>4224</v>
      </c>
      <c r="J227" t="str">
        <f t="shared" si="20"/>
        <v>Semana 46NCP1</v>
      </c>
      <c r="K227" t="s">
        <v>4623</v>
      </c>
      <c r="L227" s="1">
        <f t="shared" si="16"/>
        <v>43591</v>
      </c>
      <c r="M227" s="1">
        <f t="shared" si="19"/>
        <v>43597</v>
      </c>
      <c r="O227">
        <f t="shared" si="21"/>
        <v>5</v>
      </c>
      <c r="P227">
        <f t="shared" si="17"/>
        <v>40</v>
      </c>
      <c r="Q227">
        <f t="shared" si="14"/>
        <v>1</v>
      </c>
      <c r="R227">
        <f t="shared" si="14"/>
        <v>7</v>
      </c>
      <c r="T227" s="8" t="s">
        <v>4537</v>
      </c>
      <c r="U227" s="45">
        <v>45380</v>
      </c>
    </row>
    <row r="228" spans="6:21">
      <c r="F228" t="str">
        <f t="shared" si="18"/>
        <v>M12NCP1</v>
      </c>
      <c r="G228" s="1">
        <f t="shared" si="15"/>
        <v>43598</v>
      </c>
      <c r="H228" t="s">
        <v>4485</v>
      </c>
      <c r="I228" t="s">
        <v>4224</v>
      </c>
      <c r="J228" t="str">
        <f t="shared" si="20"/>
        <v>Semana 47NCP1</v>
      </c>
      <c r="K228" t="s">
        <v>4624</v>
      </c>
      <c r="L228" s="1">
        <f t="shared" si="16"/>
        <v>43598</v>
      </c>
      <c r="M228" s="1">
        <f t="shared" si="19"/>
        <v>43604</v>
      </c>
      <c r="O228">
        <f t="shared" si="21"/>
        <v>5</v>
      </c>
      <c r="P228">
        <f t="shared" si="17"/>
        <v>40</v>
      </c>
      <c r="Q228">
        <f t="shared" si="14"/>
        <v>1</v>
      </c>
      <c r="R228">
        <f t="shared" si="14"/>
        <v>7</v>
      </c>
      <c r="T228" s="8" t="s">
        <v>4539</v>
      </c>
      <c r="U228" s="45">
        <v>45397</v>
      </c>
    </row>
    <row r="229" spans="6:21">
      <c r="F229" t="str">
        <f t="shared" si="18"/>
        <v>M12NCP1</v>
      </c>
      <c r="G229" s="1">
        <f t="shared" si="15"/>
        <v>43605</v>
      </c>
      <c r="H229" t="s">
        <v>4487</v>
      </c>
      <c r="I229" t="s">
        <v>4224</v>
      </c>
      <c r="J229" t="str">
        <f t="shared" si="20"/>
        <v>Semana 48NCP1</v>
      </c>
      <c r="K229" t="s">
        <v>4625</v>
      </c>
      <c r="L229" s="1">
        <f t="shared" si="16"/>
        <v>43605</v>
      </c>
      <c r="M229" s="1">
        <f>M228+4</f>
        <v>43608</v>
      </c>
      <c r="O229">
        <f t="shared" si="21"/>
        <v>4</v>
      </c>
      <c r="P229">
        <f t="shared" si="17"/>
        <v>32</v>
      </c>
      <c r="Q229">
        <f t="shared" si="14"/>
        <v>1</v>
      </c>
      <c r="R229">
        <f t="shared" si="14"/>
        <v>4</v>
      </c>
      <c r="T229" s="8" t="s">
        <v>4541</v>
      </c>
      <c r="U229" s="45">
        <v>45413</v>
      </c>
    </row>
    <row r="230" spans="6:21">
      <c r="F230" t="s">
        <v>4409</v>
      </c>
      <c r="G230" s="1">
        <f t="shared" si="15"/>
        <v>43609</v>
      </c>
      <c r="H230" t="s">
        <v>4489</v>
      </c>
      <c r="I230" t="s">
        <v>4224</v>
      </c>
      <c r="J230" t="str">
        <f t="shared" si="20"/>
        <v>Semana 49NCP1</v>
      </c>
      <c r="K230" t="s">
        <v>4626</v>
      </c>
      <c r="L230" s="1">
        <f t="shared" si="16"/>
        <v>43609</v>
      </c>
      <c r="M230" s="1">
        <f>M229+10</f>
        <v>43618</v>
      </c>
      <c r="O230">
        <f t="shared" si="21"/>
        <v>6</v>
      </c>
      <c r="P230">
        <f t="shared" si="17"/>
        <v>48</v>
      </c>
      <c r="Q230">
        <f t="shared" si="14"/>
        <v>5</v>
      </c>
      <c r="R230">
        <f t="shared" si="14"/>
        <v>7</v>
      </c>
      <c r="T230" s="8" t="s">
        <v>4517</v>
      </c>
      <c r="U230" s="45">
        <v>45502</v>
      </c>
    </row>
    <row r="231" spans="6:21">
      <c r="F231" t="str">
        <f t="shared" si="18"/>
        <v>M13NCP1</v>
      </c>
      <c r="G231" s="1">
        <f t="shared" si="15"/>
        <v>43619</v>
      </c>
      <c r="H231" t="s">
        <v>4491</v>
      </c>
      <c r="I231" t="s">
        <v>4224</v>
      </c>
      <c r="J231" t="str">
        <f t="shared" si="20"/>
        <v>Semana 50NCP1</v>
      </c>
      <c r="K231" t="s">
        <v>4627</v>
      </c>
      <c r="L231" s="1">
        <f t="shared" si="16"/>
        <v>43619</v>
      </c>
      <c r="M231" s="1">
        <f t="shared" si="19"/>
        <v>43625</v>
      </c>
      <c r="O231">
        <f t="shared" si="21"/>
        <v>5</v>
      </c>
      <c r="P231">
        <f t="shared" si="17"/>
        <v>40</v>
      </c>
      <c r="Q231">
        <f t="shared" si="14"/>
        <v>1</v>
      </c>
      <c r="R231">
        <f t="shared" si="14"/>
        <v>7</v>
      </c>
      <c r="T231" s="8" t="s">
        <v>4519</v>
      </c>
      <c r="U231" s="45">
        <v>45506</v>
      </c>
    </row>
    <row r="232" spans="6:21">
      <c r="F232" t="str">
        <f t="shared" si="18"/>
        <v>M13NCP1</v>
      </c>
      <c r="G232" s="1">
        <f t="shared" si="15"/>
        <v>43626</v>
      </c>
      <c r="H232" t="s">
        <v>4493</v>
      </c>
      <c r="I232" t="s">
        <v>4224</v>
      </c>
      <c r="J232" t="str">
        <f t="shared" si="20"/>
        <v>Semana 51NCP1</v>
      </c>
      <c r="K232" t="s">
        <v>4628</v>
      </c>
      <c r="L232" s="1">
        <f t="shared" si="16"/>
        <v>43626</v>
      </c>
      <c r="M232" s="1">
        <f t="shared" si="19"/>
        <v>43632</v>
      </c>
      <c r="O232">
        <f t="shared" si="21"/>
        <v>5</v>
      </c>
      <c r="P232">
        <f t="shared" si="17"/>
        <v>40</v>
      </c>
      <c r="Q232">
        <f t="shared" si="14"/>
        <v>1</v>
      </c>
      <c r="R232">
        <f t="shared" si="14"/>
        <v>7</v>
      </c>
      <c r="T232" s="8" t="s">
        <v>4521</v>
      </c>
      <c r="U232" s="45">
        <v>45519</v>
      </c>
    </row>
    <row r="233" spans="6:21">
      <c r="F233" t="str">
        <f t="shared" si="18"/>
        <v>M13NCP1</v>
      </c>
      <c r="G233" s="1">
        <f t="shared" si="15"/>
        <v>43633</v>
      </c>
      <c r="H233" t="s">
        <v>4495</v>
      </c>
      <c r="I233" t="s">
        <v>4224</v>
      </c>
      <c r="J233" t="str">
        <f t="shared" si="20"/>
        <v>Semana 52NCP1</v>
      </c>
      <c r="K233" t="s">
        <v>4629</v>
      </c>
      <c r="L233" s="1">
        <f t="shared" si="16"/>
        <v>43633</v>
      </c>
      <c r="M233" s="1">
        <f>M232+7</f>
        <v>43639</v>
      </c>
      <c r="O233">
        <f t="shared" si="21"/>
        <v>5</v>
      </c>
      <c r="P233">
        <f t="shared" si="17"/>
        <v>40</v>
      </c>
      <c r="Q233">
        <f t="shared" si="14"/>
        <v>1</v>
      </c>
      <c r="R233">
        <f t="shared" si="14"/>
        <v>7</v>
      </c>
      <c r="T233" s="8" t="s">
        <v>4523</v>
      </c>
      <c r="U233" s="45">
        <v>45550</v>
      </c>
    </row>
    <row r="234" spans="6:21">
      <c r="F234" t="s">
        <v>4413</v>
      </c>
      <c r="G234" s="1">
        <f t="shared" si="15"/>
        <v>43640</v>
      </c>
      <c r="H234" t="s">
        <v>4497</v>
      </c>
      <c r="I234" t="s">
        <v>4224</v>
      </c>
      <c r="J234" t="str">
        <f t="shared" si="20"/>
        <v>Semana 53NCP1</v>
      </c>
      <c r="K234" t="s">
        <v>4630</v>
      </c>
      <c r="L234" s="1">
        <f t="shared" si="16"/>
        <v>43640</v>
      </c>
      <c r="M234" s="1">
        <f>M233+7</f>
        <v>43646</v>
      </c>
      <c r="O234">
        <f t="shared" si="21"/>
        <v>5</v>
      </c>
      <c r="P234">
        <f t="shared" si="17"/>
        <v>40</v>
      </c>
      <c r="Q234">
        <f t="shared" si="14"/>
        <v>1</v>
      </c>
      <c r="R234">
        <f t="shared" si="14"/>
        <v>7</v>
      </c>
      <c r="T234" s="8" t="s">
        <v>5493</v>
      </c>
      <c r="U234" s="45">
        <v>45627</v>
      </c>
    </row>
    <row r="235" spans="6:21">
      <c r="F235" t="str">
        <f t="shared" si="18"/>
        <v>M14NCP1</v>
      </c>
      <c r="G235" s="1">
        <f t="shared" si="15"/>
        <v>43647</v>
      </c>
      <c r="H235" t="s">
        <v>4499</v>
      </c>
      <c r="I235" t="s">
        <v>4224</v>
      </c>
      <c r="J235" t="str">
        <f t="shared" si="20"/>
        <v>Semana 54NCP1</v>
      </c>
      <c r="K235" t="s">
        <v>4631</v>
      </c>
      <c r="L235" s="1">
        <f t="shared" si="16"/>
        <v>43647</v>
      </c>
      <c r="M235" s="1">
        <f t="shared" si="19"/>
        <v>43653</v>
      </c>
      <c r="O235">
        <f t="shared" si="21"/>
        <v>5</v>
      </c>
      <c r="P235">
        <f t="shared" si="17"/>
        <v>40</v>
      </c>
      <c r="Q235">
        <f t="shared" si="14"/>
        <v>1</v>
      </c>
      <c r="R235">
        <f t="shared" si="14"/>
        <v>7</v>
      </c>
      <c r="T235" s="8" t="s">
        <v>4527</v>
      </c>
      <c r="U235" s="45">
        <v>45651</v>
      </c>
    </row>
    <row r="236" spans="6:21">
      <c r="F236" t="str">
        <f t="shared" si="18"/>
        <v>M14NCP1</v>
      </c>
      <c r="G236" s="1">
        <f t="shared" si="15"/>
        <v>43654</v>
      </c>
      <c r="H236" t="s">
        <v>4501</v>
      </c>
      <c r="I236" t="s">
        <v>4224</v>
      </c>
      <c r="J236" t="str">
        <f t="shared" si="20"/>
        <v>Semana 55NCP1</v>
      </c>
      <c r="K236" t="s">
        <v>4632</v>
      </c>
      <c r="L236" s="1">
        <f t="shared" si="16"/>
        <v>43654</v>
      </c>
      <c r="M236" s="1">
        <f t="shared" si="19"/>
        <v>43660</v>
      </c>
      <c r="O236">
        <f t="shared" si="21"/>
        <v>5</v>
      </c>
      <c r="P236">
        <f t="shared" si="17"/>
        <v>40</v>
      </c>
      <c r="Q236">
        <f t="shared" si="14"/>
        <v>1</v>
      </c>
      <c r="R236">
        <f t="shared" si="14"/>
        <v>7</v>
      </c>
      <c r="T236" s="8"/>
      <c r="U236" s="8"/>
    </row>
    <row r="237" spans="6:21">
      <c r="F237" t="str">
        <f t="shared" si="18"/>
        <v>M14NCP1</v>
      </c>
      <c r="G237" s="1">
        <f t="shared" si="15"/>
        <v>43661</v>
      </c>
      <c r="H237" t="s">
        <v>4503</v>
      </c>
      <c r="I237" t="s">
        <v>4224</v>
      </c>
      <c r="J237" t="str">
        <f t="shared" si="20"/>
        <v>Semana 56NCP1</v>
      </c>
      <c r="K237" t="s">
        <v>4633</v>
      </c>
      <c r="L237" s="1">
        <f t="shared" si="16"/>
        <v>43661</v>
      </c>
      <c r="M237" s="1">
        <f>M236+9</f>
        <v>43669</v>
      </c>
      <c r="O237">
        <f t="shared" si="21"/>
        <v>7</v>
      </c>
      <c r="P237">
        <f t="shared" si="17"/>
        <v>56</v>
      </c>
      <c r="Q237">
        <f t="shared" si="14"/>
        <v>1</v>
      </c>
      <c r="R237">
        <f t="shared" si="14"/>
        <v>2</v>
      </c>
      <c r="T237" s="8"/>
      <c r="U237" s="8"/>
    </row>
    <row r="238" spans="6:21">
      <c r="F238" t="s">
        <v>4120</v>
      </c>
      <c r="G238" s="1">
        <f>L238</f>
        <v>43670</v>
      </c>
      <c r="H238" t="s">
        <v>4343</v>
      </c>
      <c r="I238" t="s">
        <v>4267</v>
      </c>
      <c r="J238" t="str">
        <f t="shared" si="20"/>
        <v>Semana 1NCP2</v>
      </c>
      <c r="K238" t="s">
        <v>4634</v>
      </c>
      <c r="L238" s="1">
        <f t="shared" si="16"/>
        <v>43670</v>
      </c>
      <c r="M238" s="1">
        <f>M237+12</f>
        <v>43681</v>
      </c>
      <c r="O238">
        <f t="shared" ref="O238:O292" si="22">NETWORKDAYS(L238,M238,$U$133:$U$200)</f>
        <v>6</v>
      </c>
      <c r="P238">
        <f t="shared" si="17"/>
        <v>48</v>
      </c>
      <c r="Q238">
        <f t="shared" ref="Q238:R293" si="23">WEEKDAY(L238,2)</f>
        <v>3</v>
      </c>
      <c r="R238">
        <f t="shared" si="23"/>
        <v>7</v>
      </c>
      <c r="T238" s="35" t="s">
        <v>6892</v>
      </c>
      <c r="U238" s="8"/>
    </row>
    <row r="239" spans="6:21">
      <c r="F239" t="str">
        <f t="shared" ref="F239:F245" si="24">F238</f>
        <v>M1NCP2</v>
      </c>
      <c r="G239" s="1">
        <f>L239</f>
        <v>43682</v>
      </c>
      <c r="H239" t="s">
        <v>4347</v>
      </c>
      <c r="I239" t="s">
        <v>4267</v>
      </c>
      <c r="J239" t="str">
        <f t="shared" si="20"/>
        <v>Semana 2NCP2</v>
      </c>
      <c r="K239" t="s">
        <v>4635</v>
      </c>
      <c r="L239" s="1">
        <f t="shared" si="16"/>
        <v>43682</v>
      </c>
      <c r="M239" s="1">
        <f t="shared" ref="M239:M292" si="25">M238+7</f>
        <v>43688</v>
      </c>
      <c r="O239">
        <f t="shared" si="22"/>
        <v>5</v>
      </c>
      <c r="P239">
        <f t="shared" si="17"/>
        <v>40</v>
      </c>
      <c r="Q239">
        <f t="shared" si="23"/>
        <v>1</v>
      </c>
      <c r="R239">
        <f t="shared" si="23"/>
        <v>7</v>
      </c>
      <c r="T239" s="8" t="s">
        <v>4533</v>
      </c>
      <c r="U239" s="45">
        <v>45658</v>
      </c>
    </row>
    <row r="240" spans="6:21">
      <c r="F240" t="str">
        <f t="shared" si="24"/>
        <v>M1NCP2</v>
      </c>
      <c r="G240" s="1">
        <f t="shared" ref="G240:G303" si="26">L240</f>
        <v>43689</v>
      </c>
      <c r="H240" t="s">
        <v>4351</v>
      </c>
      <c r="I240" t="s">
        <v>4267</v>
      </c>
      <c r="J240" t="str">
        <f t="shared" si="20"/>
        <v>Semana 3NCP2</v>
      </c>
      <c r="K240" t="s">
        <v>4636</v>
      </c>
      <c r="L240" s="1">
        <f t="shared" si="16"/>
        <v>43689</v>
      </c>
      <c r="M240" s="1">
        <f t="shared" si="25"/>
        <v>43695</v>
      </c>
      <c r="O240">
        <f t="shared" si="22"/>
        <v>4</v>
      </c>
      <c r="P240">
        <f t="shared" si="17"/>
        <v>32</v>
      </c>
      <c r="Q240">
        <f t="shared" si="23"/>
        <v>1</v>
      </c>
      <c r="R240">
        <f t="shared" si="23"/>
        <v>7</v>
      </c>
      <c r="T240" s="8" t="s">
        <v>4535</v>
      </c>
      <c r="U240" s="45">
        <v>45764</v>
      </c>
    </row>
    <row r="241" spans="6:21">
      <c r="F241" t="str">
        <f t="shared" si="24"/>
        <v>M1NCP2</v>
      </c>
      <c r="G241" s="1">
        <f t="shared" si="26"/>
        <v>43696</v>
      </c>
      <c r="H241" t="s">
        <v>4355</v>
      </c>
      <c r="I241" t="s">
        <v>4267</v>
      </c>
      <c r="J241" t="str">
        <f t="shared" si="20"/>
        <v>Semana 4NCP2</v>
      </c>
      <c r="K241" t="s">
        <v>4637</v>
      </c>
      <c r="L241" s="1">
        <f t="shared" si="16"/>
        <v>43696</v>
      </c>
      <c r="M241" s="1">
        <f>M240+5</f>
        <v>43700</v>
      </c>
      <c r="O241">
        <f t="shared" si="22"/>
        <v>5</v>
      </c>
      <c r="P241">
        <f t="shared" si="17"/>
        <v>40</v>
      </c>
      <c r="Q241">
        <f t="shared" si="23"/>
        <v>1</v>
      </c>
      <c r="R241">
        <f t="shared" si="23"/>
        <v>5</v>
      </c>
      <c r="T241" s="8" t="s">
        <v>4537</v>
      </c>
      <c r="U241" s="45">
        <v>45765</v>
      </c>
    </row>
    <row r="242" spans="6:21">
      <c r="F242" t="s">
        <v>4129</v>
      </c>
      <c r="G242" s="1">
        <f t="shared" si="26"/>
        <v>43701</v>
      </c>
      <c r="H242" t="s">
        <v>4358</v>
      </c>
      <c r="I242" t="s">
        <v>4267</v>
      </c>
      <c r="J242" t="str">
        <f t="shared" si="20"/>
        <v>Semana 5NCP2</v>
      </c>
      <c r="K242" t="s">
        <v>4638</v>
      </c>
      <c r="L242" s="1">
        <f t="shared" si="16"/>
        <v>43701</v>
      </c>
      <c r="M242" s="1">
        <f>M241+9</f>
        <v>43709</v>
      </c>
      <c r="O242">
        <f t="shared" si="22"/>
        <v>5</v>
      </c>
      <c r="P242">
        <f t="shared" si="17"/>
        <v>40</v>
      </c>
      <c r="Q242">
        <f t="shared" si="23"/>
        <v>6</v>
      </c>
      <c r="R242">
        <f t="shared" si="23"/>
        <v>7</v>
      </c>
      <c r="T242" s="8" t="s">
        <v>4539</v>
      </c>
      <c r="U242" s="45">
        <v>45758</v>
      </c>
    </row>
    <row r="243" spans="6:21">
      <c r="F243" t="str">
        <f t="shared" si="24"/>
        <v>M2NCP2</v>
      </c>
      <c r="G243" s="1">
        <f t="shared" si="26"/>
        <v>43710</v>
      </c>
      <c r="H243" t="s">
        <v>4362</v>
      </c>
      <c r="I243" t="s">
        <v>4267</v>
      </c>
      <c r="J243" t="str">
        <f t="shared" si="20"/>
        <v>Semana 6NCP2</v>
      </c>
      <c r="K243" t="s">
        <v>4639</v>
      </c>
      <c r="L243" s="1">
        <f t="shared" si="16"/>
        <v>43710</v>
      </c>
      <c r="M243" s="1">
        <f t="shared" si="25"/>
        <v>43716</v>
      </c>
      <c r="O243">
        <f t="shared" si="22"/>
        <v>5</v>
      </c>
      <c r="P243">
        <f t="shared" si="17"/>
        <v>40</v>
      </c>
      <c r="Q243">
        <f t="shared" si="23"/>
        <v>1</v>
      </c>
      <c r="R243">
        <f t="shared" si="23"/>
        <v>7</v>
      </c>
      <c r="T243" s="8" t="s">
        <v>4541</v>
      </c>
      <c r="U243" s="45">
        <v>45778</v>
      </c>
    </row>
    <row r="244" spans="6:21">
      <c r="F244" t="str">
        <f t="shared" si="24"/>
        <v>M2NCP2</v>
      </c>
      <c r="G244" s="1">
        <f t="shared" si="26"/>
        <v>43717</v>
      </c>
      <c r="H244" t="s">
        <v>4366</v>
      </c>
      <c r="I244" t="s">
        <v>4267</v>
      </c>
      <c r="J244" t="str">
        <f t="shared" si="20"/>
        <v>Semana 7NCP2</v>
      </c>
      <c r="K244" t="s">
        <v>4640</v>
      </c>
      <c r="L244" s="1">
        <f t="shared" si="16"/>
        <v>43717</v>
      </c>
      <c r="M244" s="1">
        <f t="shared" si="25"/>
        <v>43723</v>
      </c>
      <c r="O244">
        <f t="shared" si="22"/>
        <v>5</v>
      </c>
      <c r="P244">
        <f t="shared" si="17"/>
        <v>40</v>
      </c>
      <c r="Q244">
        <f t="shared" si="23"/>
        <v>1</v>
      </c>
      <c r="R244">
        <f t="shared" si="23"/>
        <v>7</v>
      </c>
      <c r="T244" s="8" t="s">
        <v>4517</v>
      </c>
      <c r="U244" s="45">
        <v>45863</v>
      </c>
    </row>
    <row r="245" spans="6:21">
      <c r="F245" t="str">
        <f t="shared" si="24"/>
        <v>M2NCP2</v>
      </c>
      <c r="G245" s="1">
        <f t="shared" si="26"/>
        <v>43724</v>
      </c>
      <c r="H245" t="s">
        <v>4370</v>
      </c>
      <c r="I245" t="s">
        <v>4267</v>
      </c>
      <c r="J245" t="str">
        <f t="shared" si="20"/>
        <v>Semana 8NCP2</v>
      </c>
      <c r="K245" t="s">
        <v>4641</v>
      </c>
      <c r="L245" s="1">
        <f t="shared" si="16"/>
        <v>43724</v>
      </c>
      <c r="M245" s="1">
        <f>M244+8</f>
        <v>43731</v>
      </c>
      <c r="O245">
        <f t="shared" si="22"/>
        <v>6</v>
      </c>
      <c r="P245">
        <f t="shared" si="17"/>
        <v>48</v>
      </c>
      <c r="Q245">
        <f t="shared" si="23"/>
        <v>1</v>
      </c>
      <c r="R245">
        <f t="shared" si="23"/>
        <v>1</v>
      </c>
      <c r="T245" s="8" t="s">
        <v>4519</v>
      </c>
      <c r="U245" s="45">
        <v>45871</v>
      </c>
    </row>
    <row r="246" spans="6:21">
      <c r="F246" t="s">
        <v>4123</v>
      </c>
      <c r="G246" s="1">
        <f t="shared" si="26"/>
        <v>43732</v>
      </c>
      <c r="H246" t="s">
        <v>4374</v>
      </c>
      <c r="I246" t="s">
        <v>4267</v>
      </c>
      <c r="J246" t="str">
        <f t="shared" si="20"/>
        <v>Semana 9NCP2</v>
      </c>
      <c r="K246" t="s">
        <v>4642</v>
      </c>
      <c r="L246" s="1">
        <f t="shared" si="16"/>
        <v>43732</v>
      </c>
      <c r="M246" s="1">
        <f>M245+6</f>
        <v>43737</v>
      </c>
      <c r="O246">
        <f t="shared" si="22"/>
        <v>4</v>
      </c>
      <c r="P246">
        <f t="shared" si="17"/>
        <v>32</v>
      </c>
      <c r="Q246">
        <f t="shared" si="23"/>
        <v>2</v>
      </c>
      <c r="R246">
        <f t="shared" si="23"/>
        <v>7</v>
      </c>
      <c r="T246" s="8" t="s">
        <v>4521</v>
      </c>
      <c r="U246" s="45">
        <v>45884</v>
      </c>
    </row>
    <row r="247" spans="6:21">
      <c r="F247" t="str">
        <f t="shared" ref="F247:F310" si="27">F246</f>
        <v>M3NCP2</v>
      </c>
      <c r="G247" s="1">
        <f t="shared" si="26"/>
        <v>43738</v>
      </c>
      <c r="H247" t="s">
        <v>4378</v>
      </c>
      <c r="I247" t="s">
        <v>4267</v>
      </c>
      <c r="J247" t="str">
        <f t="shared" si="20"/>
        <v>Semana 10NCP2</v>
      </c>
      <c r="K247" t="s">
        <v>4643</v>
      </c>
      <c r="L247" s="1">
        <f t="shared" si="16"/>
        <v>43738</v>
      </c>
      <c r="M247" s="1">
        <f t="shared" si="25"/>
        <v>43744</v>
      </c>
      <c r="O247">
        <f t="shared" si="22"/>
        <v>5</v>
      </c>
      <c r="P247">
        <f t="shared" si="17"/>
        <v>40</v>
      </c>
      <c r="Q247">
        <f t="shared" si="23"/>
        <v>1</v>
      </c>
      <c r="R247">
        <f t="shared" si="23"/>
        <v>7</v>
      </c>
      <c r="T247" s="8" t="s">
        <v>4523</v>
      </c>
      <c r="U247" s="45">
        <v>45915</v>
      </c>
    </row>
    <row r="248" spans="6:21">
      <c r="F248" t="str">
        <f t="shared" si="27"/>
        <v>M3NCP2</v>
      </c>
      <c r="G248" s="1">
        <f t="shared" si="26"/>
        <v>43745</v>
      </c>
      <c r="H248" t="s">
        <v>4382</v>
      </c>
      <c r="I248" t="s">
        <v>4267</v>
      </c>
      <c r="J248" t="str">
        <f t="shared" si="20"/>
        <v>Semana 11NCP2</v>
      </c>
      <c r="K248" t="s">
        <v>4644</v>
      </c>
      <c r="L248" s="1">
        <f t="shared" si="16"/>
        <v>43745</v>
      </c>
      <c r="M248" s="1">
        <f t="shared" si="25"/>
        <v>43751</v>
      </c>
      <c r="O248">
        <f t="shared" si="22"/>
        <v>5</v>
      </c>
      <c r="P248">
        <f t="shared" si="17"/>
        <v>40</v>
      </c>
      <c r="Q248">
        <f t="shared" si="23"/>
        <v>1</v>
      </c>
      <c r="R248">
        <f t="shared" si="23"/>
        <v>7</v>
      </c>
      <c r="T248" s="8" t="s">
        <v>5493</v>
      </c>
      <c r="U248" s="45">
        <v>45992</v>
      </c>
    </row>
    <row r="249" spans="6:21">
      <c r="F249" t="str">
        <f t="shared" si="27"/>
        <v>M3NCP2</v>
      </c>
      <c r="G249" s="1">
        <f t="shared" si="26"/>
        <v>43752</v>
      </c>
      <c r="H249" t="s">
        <v>4386</v>
      </c>
      <c r="I249" t="s">
        <v>4267</v>
      </c>
      <c r="J249" t="str">
        <f t="shared" si="20"/>
        <v>Semana 12NCP2</v>
      </c>
      <c r="K249" t="s">
        <v>4645</v>
      </c>
      <c r="L249" s="1">
        <f t="shared" ref="L249:L294" si="28">M248+1</f>
        <v>43752</v>
      </c>
      <c r="M249" s="1">
        <f>M248+10</f>
        <v>43761</v>
      </c>
      <c r="O249">
        <f t="shared" si="22"/>
        <v>7</v>
      </c>
      <c r="P249">
        <f t="shared" si="17"/>
        <v>56</v>
      </c>
      <c r="Q249">
        <f t="shared" si="23"/>
        <v>1</v>
      </c>
      <c r="R249">
        <f t="shared" si="23"/>
        <v>3</v>
      </c>
      <c r="T249" s="8" t="s">
        <v>4527</v>
      </c>
      <c r="U249" s="45">
        <v>46016</v>
      </c>
    </row>
    <row r="250" spans="6:21">
      <c r="F250" t="s">
        <v>4121</v>
      </c>
      <c r="G250" s="1">
        <f t="shared" si="26"/>
        <v>43762</v>
      </c>
      <c r="H250" t="s">
        <v>4390</v>
      </c>
      <c r="I250" t="s">
        <v>4267</v>
      </c>
      <c r="J250" t="str">
        <f t="shared" si="20"/>
        <v>Semana 13NCP2</v>
      </c>
      <c r="K250" t="s">
        <v>4646</v>
      </c>
      <c r="L250" s="1">
        <f t="shared" si="28"/>
        <v>43762</v>
      </c>
      <c r="M250" s="1">
        <f>M249+11</f>
        <v>43772</v>
      </c>
      <c r="O250">
        <f t="shared" si="22"/>
        <v>7</v>
      </c>
      <c r="P250">
        <f t="shared" si="17"/>
        <v>56</v>
      </c>
      <c r="Q250">
        <f t="shared" si="23"/>
        <v>4</v>
      </c>
      <c r="R250">
        <f t="shared" si="23"/>
        <v>7</v>
      </c>
    </row>
    <row r="251" spans="6:21">
      <c r="F251" t="str">
        <f t="shared" si="27"/>
        <v>M4NCP2</v>
      </c>
      <c r="G251" s="1">
        <f t="shared" si="26"/>
        <v>43773</v>
      </c>
      <c r="H251" t="s">
        <v>4394</v>
      </c>
      <c r="I251" t="s">
        <v>4267</v>
      </c>
      <c r="J251" t="str">
        <f t="shared" si="20"/>
        <v>Semana 14NCP2</v>
      </c>
      <c r="K251" t="s">
        <v>4647</v>
      </c>
      <c r="L251" s="1">
        <f t="shared" si="28"/>
        <v>43773</v>
      </c>
      <c r="M251" s="1">
        <f t="shared" si="25"/>
        <v>43779</v>
      </c>
      <c r="O251">
        <f t="shared" si="22"/>
        <v>5</v>
      </c>
      <c r="P251">
        <f t="shared" si="17"/>
        <v>40</v>
      </c>
      <c r="Q251">
        <f t="shared" si="23"/>
        <v>1</v>
      </c>
      <c r="R251">
        <f t="shared" si="23"/>
        <v>7</v>
      </c>
    </row>
    <row r="252" spans="6:21">
      <c r="F252" t="str">
        <f t="shared" si="27"/>
        <v>M4NCP2</v>
      </c>
      <c r="G252" s="1">
        <f t="shared" si="26"/>
        <v>43780</v>
      </c>
      <c r="H252" t="s">
        <v>4398</v>
      </c>
      <c r="I252" t="s">
        <v>4267</v>
      </c>
      <c r="J252" t="str">
        <f t="shared" si="20"/>
        <v>Semana 15NCP2</v>
      </c>
      <c r="K252" t="s">
        <v>4648</v>
      </c>
      <c r="L252" s="1">
        <f t="shared" si="28"/>
        <v>43780</v>
      </c>
      <c r="M252" s="1">
        <f t="shared" si="25"/>
        <v>43786</v>
      </c>
      <c r="O252">
        <f t="shared" si="22"/>
        <v>5</v>
      </c>
      <c r="P252">
        <f t="shared" si="17"/>
        <v>40</v>
      </c>
      <c r="Q252">
        <f t="shared" si="23"/>
        <v>1</v>
      </c>
      <c r="R252">
        <f t="shared" si="23"/>
        <v>7</v>
      </c>
    </row>
    <row r="253" spans="6:21">
      <c r="F253" t="str">
        <f t="shared" si="27"/>
        <v>M4NCP2</v>
      </c>
      <c r="G253" s="1">
        <f t="shared" si="26"/>
        <v>43787</v>
      </c>
      <c r="H253" t="s">
        <v>4402</v>
      </c>
      <c r="I253" t="s">
        <v>4267</v>
      </c>
      <c r="J253" t="str">
        <f t="shared" si="20"/>
        <v>Semana 16NCP2</v>
      </c>
      <c r="K253" t="s">
        <v>4649</v>
      </c>
      <c r="L253" s="1">
        <f t="shared" si="28"/>
        <v>43787</v>
      </c>
      <c r="M253" s="1">
        <f>M252+6</f>
        <v>43792</v>
      </c>
      <c r="O253">
        <f t="shared" si="22"/>
        <v>5</v>
      </c>
      <c r="P253">
        <f t="shared" si="17"/>
        <v>40</v>
      </c>
      <c r="Q253">
        <f t="shared" si="23"/>
        <v>1</v>
      </c>
      <c r="R253">
        <f t="shared" si="23"/>
        <v>6</v>
      </c>
    </row>
    <row r="254" spans="6:21">
      <c r="F254" t="s">
        <v>4124</v>
      </c>
      <c r="G254" s="1">
        <f t="shared" si="26"/>
        <v>43793</v>
      </c>
      <c r="H254" t="s">
        <v>4406</v>
      </c>
      <c r="I254" t="s">
        <v>4267</v>
      </c>
      <c r="J254" t="str">
        <f t="shared" si="20"/>
        <v>Semana 17NCP2</v>
      </c>
      <c r="K254" t="s">
        <v>4650</v>
      </c>
      <c r="L254" s="1">
        <f t="shared" si="28"/>
        <v>43793</v>
      </c>
      <c r="M254" s="1">
        <f>M253+8</f>
        <v>43800</v>
      </c>
      <c r="O254">
        <f t="shared" si="22"/>
        <v>5</v>
      </c>
      <c r="P254">
        <f t="shared" ref="P254:P293" si="29">O254*8</f>
        <v>40</v>
      </c>
      <c r="Q254">
        <f t="shared" si="23"/>
        <v>7</v>
      </c>
      <c r="R254">
        <f t="shared" si="23"/>
        <v>7</v>
      </c>
    </row>
    <row r="255" spans="6:21">
      <c r="F255" t="str">
        <f t="shared" si="27"/>
        <v>M5NCP2</v>
      </c>
      <c r="G255" s="1">
        <f t="shared" si="26"/>
        <v>43801</v>
      </c>
      <c r="H255" t="s">
        <v>4410</v>
      </c>
      <c r="I255" t="s">
        <v>4267</v>
      </c>
      <c r="J255" t="str">
        <f t="shared" si="20"/>
        <v>Semana 18NCP2</v>
      </c>
      <c r="K255" t="s">
        <v>4651</v>
      </c>
      <c r="L255" s="1">
        <f t="shared" si="28"/>
        <v>43801</v>
      </c>
      <c r="M255" s="1">
        <f t="shared" si="25"/>
        <v>43807</v>
      </c>
      <c r="O255">
        <f t="shared" si="22"/>
        <v>5</v>
      </c>
      <c r="P255">
        <f t="shared" si="29"/>
        <v>40</v>
      </c>
      <c r="Q255">
        <f t="shared" si="23"/>
        <v>1</v>
      </c>
      <c r="R255">
        <f t="shared" si="23"/>
        <v>7</v>
      </c>
    </row>
    <row r="256" spans="6:21">
      <c r="F256" t="str">
        <f t="shared" si="27"/>
        <v>M5NCP2</v>
      </c>
      <c r="G256" s="1">
        <f t="shared" si="26"/>
        <v>43808</v>
      </c>
      <c r="H256" t="s">
        <v>4414</v>
      </c>
      <c r="I256" t="s">
        <v>4267</v>
      </c>
      <c r="J256" t="str">
        <f t="shared" si="20"/>
        <v>Semana 19NCP2</v>
      </c>
      <c r="K256" t="s">
        <v>4652</v>
      </c>
      <c r="L256" s="1">
        <f t="shared" si="28"/>
        <v>43808</v>
      </c>
      <c r="M256" s="1">
        <f t="shared" si="25"/>
        <v>43814</v>
      </c>
      <c r="O256">
        <f t="shared" si="22"/>
        <v>5</v>
      </c>
      <c r="P256">
        <f t="shared" si="29"/>
        <v>40</v>
      </c>
      <c r="Q256">
        <f t="shared" si="23"/>
        <v>1</v>
      </c>
      <c r="R256">
        <f t="shared" si="23"/>
        <v>7</v>
      </c>
    </row>
    <row r="257" spans="6:18">
      <c r="F257" t="str">
        <f t="shared" si="27"/>
        <v>M5NCP2</v>
      </c>
      <c r="G257" s="1">
        <f t="shared" si="26"/>
        <v>43815</v>
      </c>
      <c r="H257" t="s">
        <v>4417</v>
      </c>
      <c r="I257" t="s">
        <v>4267</v>
      </c>
      <c r="J257" t="str">
        <f t="shared" si="20"/>
        <v>Semana 20NCP2</v>
      </c>
      <c r="K257" t="s">
        <v>4653</v>
      </c>
      <c r="L257" s="1">
        <f t="shared" si="28"/>
        <v>43815</v>
      </c>
      <c r="M257" s="1">
        <f>M256+8</f>
        <v>43822</v>
      </c>
      <c r="O257">
        <f t="shared" si="22"/>
        <v>6</v>
      </c>
      <c r="P257">
        <f t="shared" si="29"/>
        <v>48</v>
      </c>
      <c r="Q257">
        <f t="shared" si="23"/>
        <v>1</v>
      </c>
      <c r="R257">
        <f t="shared" si="23"/>
        <v>1</v>
      </c>
    </row>
    <row r="258" spans="6:18">
      <c r="F258" t="s">
        <v>4127</v>
      </c>
      <c r="G258" s="1">
        <f t="shared" si="26"/>
        <v>43823</v>
      </c>
      <c r="H258" t="s">
        <v>4419</v>
      </c>
      <c r="I258" t="s">
        <v>4267</v>
      </c>
      <c r="J258" t="str">
        <f t="shared" si="20"/>
        <v>Semana 21NCP2</v>
      </c>
      <c r="K258" t="s">
        <v>4654</v>
      </c>
      <c r="L258" s="1">
        <f t="shared" si="28"/>
        <v>43823</v>
      </c>
      <c r="M258" s="1">
        <f>M257+6+7</f>
        <v>43835</v>
      </c>
      <c r="O258">
        <f t="shared" si="22"/>
        <v>7</v>
      </c>
      <c r="P258">
        <f t="shared" si="29"/>
        <v>56</v>
      </c>
      <c r="Q258">
        <f t="shared" si="23"/>
        <v>2</v>
      </c>
      <c r="R258">
        <f t="shared" si="23"/>
        <v>7</v>
      </c>
    </row>
    <row r="259" spans="6:18">
      <c r="F259" t="str">
        <f t="shared" si="27"/>
        <v>M6NCP2</v>
      </c>
      <c r="G259" s="1">
        <f t="shared" si="26"/>
        <v>43836</v>
      </c>
      <c r="H259" t="s">
        <v>4421</v>
      </c>
      <c r="I259" t="s">
        <v>4267</v>
      </c>
      <c r="J259" t="str">
        <f t="shared" si="20"/>
        <v>Semana 22NCP2</v>
      </c>
      <c r="K259" t="s">
        <v>4655</v>
      </c>
      <c r="L259" s="1">
        <f t="shared" si="28"/>
        <v>43836</v>
      </c>
      <c r="M259" s="1">
        <f t="shared" si="25"/>
        <v>43842</v>
      </c>
      <c r="O259">
        <f t="shared" si="22"/>
        <v>5</v>
      </c>
      <c r="P259">
        <f t="shared" si="29"/>
        <v>40</v>
      </c>
      <c r="Q259">
        <f t="shared" si="23"/>
        <v>1</v>
      </c>
      <c r="R259">
        <f t="shared" si="23"/>
        <v>7</v>
      </c>
    </row>
    <row r="260" spans="6:18">
      <c r="F260" t="str">
        <f t="shared" si="27"/>
        <v>M6NCP2</v>
      </c>
      <c r="G260" s="1">
        <f t="shared" si="26"/>
        <v>43843</v>
      </c>
      <c r="H260" t="s">
        <v>4423</v>
      </c>
      <c r="I260" t="s">
        <v>4267</v>
      </c>
      <c r="J260" t="str">
        <f t="shared" si="20"/>
        <v>Semana 23NCP2</v>
      </c>
      <c r="K260" t="s">
        <v>4656</v>
      </c>
      <c r="L260" s="1">
        <f t="shared" si="28"/>
        <v>43843</v>
      </c>
      <c r="M260" s="1">
        <f t="shared" si="25"/>
        <v>43849</v>
      </c>
      <c r="O260">
        <f t="shared" si="22"/>
        <v>5</v>
      </c>
      <c r="P260">
        <f t="shared" si="29"/>
        <v>40</v>
      </c>
      <c r="Q260">
        <f t="shared" si="23"/>
        <v>1</v>
      </c>
      <c r="R260">
        <f t="shared" si="23"/>
        <v>7</v>
      </c>
    </row>
    <row r="261" spans="6:18">
      <c r="F261" t="str">
        <f t="shared" si="27"/>
        <v>M6NCP2</v>
      </c>
      <c r="G261" s="1">
        <f t="shared" si="26"/>
        <v>43850</v>
      </c>
      <c r="H261" t="s">
        <v>4426</v>
      </c>
      <c r="I261" t="s">
        <v>4267</v>
      </c>
      <c r="J261" t="str">
        <f t="shared" si="20"/>
        <v>Semana 24NCP2</v>
      </c>
      <c r="K261" t="s">
        <v>4657</v>
      </c>
      <c r="L261" s="1">
        <f t="shared" si="28"/>
        <v>43850</v>
      </c>
      <c r="M261" s="1">
        <f>M260+4</f>
        <v>43853</v>
      </c>
      <c r="O261">
        <f t="shared" si="22"/>
        <v>4</v>
      </c>
      <c r="P261">
        <f t="shared" si="29"/>
        <v>32</v>
      </c>
      <c r="Q261">
        <f t="shared" si="23"/>
        <v>1</v>
      </c>
      <c r="R261">
        <f t="shared" si="23"/>
        <v>4</v>
      </c>
    </row>
    <row r="262" spans="6:18">
      <c r="F262" t="s">
        <v>4122</v>
      </c>
      <c r="G262" s="1">
        <f t="shared" si="26"/>
        <v>43854</v>
      </c>
      <c r="H262" t="s">
        <v>4429</v>
      </c>
      <c r="I262" t="s">
        <v>4267</v>
      </c>
      <c r="J262" t="str">
        <f t="shared" ref="J262:J325" si="30">H262&amp;I262</f>
        <v>Semana 25NCP2</v>
      </c>
      <c r="K262" t="s">
        <v>4658</v>
      </c>
      <c r="L262" s="1">
        <f t="shared" si="28"/>
        <v>43854</v>
      </c>
      <c r="M262" s="1">
        <f>M261+10</f>
        <v>43863</v>
      </c>
      <c r="O262">
        <f t="shared" si="22"/>
        <v>6</v>
      </c>
      <c r="P262">
        <f t="shared" si="29"/>
        <v>48</v>
      </c>
      <c r="Q262">
        <f t="shared" si="23"/>
        <v>5</v>
      </c>
      <c r="R262">
        <f t="shared" si="23"/>
        <v>7</v>
      </c>
    </row>
    <row r="263" spans="6:18">
      <c r="F263" t="str">
        <f t="shared" si="27"/>
        <v>M7NCP2</v>
      </c>
      <c r="G263" s="1">
        <f t="shared" si="26"/>
        <v>43864</v>
      </c>
      <c r="H263" t="s">
        <v>4432</v>
      </c>
      <c r="I263" t="s">
        <v>4267</v>
      </c>
      <c r="J263" t="str">
        <f t="shared" si="30"/>
        <v>Semana 26NCP2</v>
      </c>
      <c r="K263" t="s">
        <v>4659</v>
      </c>
      <c r="L263" s="1">
        <f t="shared" si="28"/>
        <v>43864</v>
      </c>
      <c r="M263" s="1">
        <f t="shared" si="25"/>
        <v>43870</v>
      </c>
      <c r="O263">
        <f t="shared" si="22"/>
        <v>5</v>
      </c>
      <c r="P263">
        <f t="shared" si="29"/>
        <v>40</v>
      </c>
      <c r="Q263">
        <f t="shared" si="23"/>
        <v>1</v>
      </c>
      <c r="R263">
        <f t="shared" si="23"/>
        <v>7</v>
      </c>
    </row>
    <row r="264" spans="6:18">
      <c r="F264" t="str">
        <f t="shared" si="27"/>
        <v>M7NCP2</v>
      </c>
      <c r="G264" s="1">
        <f t="shared" si="26"/>
        <v>43871</v>
      </c>
      <c r="H264" t="s">
        <v>4435</v>
      </c>
      <c r="I264" t="s">
        <v>4267</v>
      </c>
      <c r="J264" t="str">
        <f t="shared" si="30"/>
        <v>Semana 27NCP2</v>
      </c>
      <c r="K264" t="s">
        <v>4660</v>
      </c>
      <c r="L264" s="1">
        <f t="shared" si="28"/>
        <v>43871</v>
      </c>
      <c r="M264" s="1">
        <f t="shared" si="25"/>
        <v>43877</v>
      </c>
      <c r="O264">
        <f t="shared" si="22"/>
        <v>5</v>
      </c>
      <c r="P264">
        <f t="shared" si="29"/>
        <v>40</v>
      </c>
      <c r="Q264">
        <f t="shared" si="23"/>
        <v>1</v>
      </c>
      <c r="R264">
        <f t="shared" si="23"/>
        <v>7</v>
      </c>
    </row>
    <row r="265" spans="6:18">
      <c r="F265" t="str">
        <f t="shared" si="27"/>
        <v>M7NCP2</v>
      </c>
      <c r="G265" s="1">
        <f t="shared" si="26"/>
        <v>43878</v>
      </c>
      <c r="H265" t="s">
        <v>4438</v>
      </c>
      <c r="I265" t="s">
        <v>4267</v>
      </c>
      <c r="J265" t="str">
        <f t="shared" si="30"/>
        <v>Semana 28NCP2</v>
      </c>
      <c r="K265" t="s">
        <v>4661</v>
      </c>
      <c r="L265" s="1">
        <f t="shared" si="28"/>
        <v>43878</v>
      </c>
      <c r="M265" s="1">
        <f>M264+7</f>
        <v>43884</v>
      </c>
      <c r="O265">
        <f t="shared" si="22"/>
        <v>5</v>
      </c>
      <c r="P265">
        <f t="shared" si="29"/>
        <v>40</v>
      </c>
      <c r="Q265">
        <f t="shared" si="23"/>
        <v>1</v>
      </c>
      <c r="R265">
        <f t="shared" si="23"/>
        <v>7</v>
      </c>
    </row>
    <row r="266" spans="6:18">
      <c r="F266" t="s">
        <v>4128</v>
      </c>
      <c r="G266" s="1">
        <f t="shared" si="26"/>
        <v>43885</v>
      </c>
      <c r="H266" t="s">
        <v>4441</v>
      </c>
      <c r="I266" t="s">
        <v>4267</v>
      </c>
      <c r="J266" t="str">
        <f t="shared" si="30"/>
        <v>Semana 29NCP2</v>
      </c>
      <c r="K266" t="s">
        <v>4662</v>
      </c>
      <c r="L266" s="1">
        <f t="shared" si="28"/>
        <v>43885</v>
      </c>
      <c r="M266" s="1">
        <f>M265+7</f>
        <v>43891</v>
      </c>
      <c r="O266">
        <f t="shared" si="22"/>
        <v>5</v>
      </c>
      <c r="P266">
        <f t="shared" si="29"/>
        <v>40</v>
      </c>
      <c r="Q266">
        <f t="shared" si="23"/>
        <v>1</v>
      </c>
      <c r="R266">
        <f t="shared" si="23"/>
        <v>7</v>
      </c>
    </row>
    <row r="267" spans="6:18">
      <c r="F267" t="str">
        <f t="shared" si="27"/>
        <v>M8NCP2</v>
      </c>
      <c r="G267" s="1">
        <f t="shared" si="26"/>
        <v>43892</v>
      </c>
      <c r="H267" t="s">
        <v>4445</v>
      </c>
      <c r="I267" t="s">
        <v>4267</v>
      </c>
      <c r="J267" t="str">
        <f t="shared" si="30"/>
        <v>Semana 30NCP2</v>
      </c>
      <c r="K267" t="s">
        <v>4663</v>
      </c>
      <c r="L267" s="1">
        <f t="shared" si="28"/>
        <v>43892</v>
      </c>
      <c r="M267" s="1">
        <f t="shared" si="25"/>
        <v>43898</v>
      </c>
      <c r="O267">
        <f t="shared" si="22"/>
        <v>5</v>
      </c>
      <c r="P267">
        <f t="shared" si="29"/>
        <v>40</v>
      </c>
      <c r="Q267">
        <f t="shared" si="23"/>
        <v>1</v>
      </c>
      <c r="R267">
        <f t="shared" si="23"/>
        <v>7</v>
      </c>
    </row>
    <row r="268" spans="6:18">
      <c r="F268" t="str">
        <f t="shared" si="27"/>
        <v>M8NCP2</v>
      </c>
      <c r="G268" s="1">
        <f t="shared" si="26"/>
        <v>43899</v>
      </c>
      <c r="H268" t="s">
        <v>4449</v>
      </c>
      <c r="I268" t="s">
        <v>4267</v>
      </c>
      <c r="J268" t="str">
        <f t="shared" si="30"/>
        <v>Semana 31NCP2</v>
      </c>
      <c r="K268" t="s">
        <v>4664</v>
      </c>
      <c r="L268" s="1">
        <f t="shared" si="28"/>
        <v>43899</v>
      </c>
      <c r="M268" s="1">
        <f t="shared" si="25"/>
        <v>43905</v>
      </c>
      <c r="O268">
        <f t="shared" si="22"/>
        <v>5</v>
      </c>
      <c r="P268">
        <f t="shared" si="29"/>
        <v>40</v>
      </c>
      <c r="Q268">
        <f t="shared" si="23"/>
        <v>1</v>
      </c>
      <c r="R268">
        <f t="shared" si="23"/>
        <v>7</v>
      </c>
    </row>
    <row r="269" spans="6:18">
      <c r="F269" t="str">
        <f t="shared" si="27"/>
        <v>M8NCP2</v>
      </c>
      <c r="G269" s="1">
        <f t="shared" si="26"/>
        <v>43906</v>
      </c>
      <c r="H269" t="s">
        <v>4453</v>
      </c>
      <c r="I269" t="s">
        <v>4267</v>
      </c>
      <c r="J269" t="str">
        <f t="shared" si="30"/>
        <v>Semana 32NCP2</v>
      </c>
      <c r="K269" t="s">
        <v>4665</v>
      </c>
      <c r="L269" s="1">
        <f t="shared" si="28"/>
        <v>43906</v>
      </c>
      <c r="M269" s="1">
        <f>M268+8</f>
        <v>43913</v>
      </c>
      <c r="O269">
        <f t="shared" si="22"/>
        <v>6</v>
      </c>
      <c r="P269">
        <f t="shared" si="29"/>
        <v>48</v>
      </c>
      <c r="Q269">
        <f t="shared" si="23"/>
        <v>1</v>
      </c>
      <c r="R269">
        <f t="shared" si="23"/>
        <v>1</v>
      </c>
    </row>
    <row r="270" spans="6:18">
      <c r="F270" t="s">
        <v>4125</v>
      </c>
      <c r="G270" s="1">
        <f t="shared" si="26"/>
        <v>43914</v>
      </c>
      <c r="H270" t="s">
        <v>4457</v>
      </c>
      <c r="I270" t="s">
        <v>4267</v>
      </c>
      <c r="J270" t="str">
        <f t="shared" si="30"/>
        <v>Semana 33NCP2</v>
      </c>
      <c r="K270" t="s">
        <v>4666</v>
      </c>
      <c r="L270" s="1">
        <f t="shared" si="28"/>
        <v>43914</v>
      </c>
      <c r="M270" s="1">
        <f>M269+6</f>
        <v>43919</v>
      </c>
      <c r="O270">
        <f t="shared" si="22"/>
        <v>4</v>
      </c>
      <c r="P270">
        <f t="shared" si="29"/>
        <v>32</v>
      </c>
      <c r="Q270">
        <f t="shared" si="23"/>
        <v>2</v>
      </c>
      <c r="R270">
        <f t="shared" si="23"/>
        <v>7</v>
      </c>
    </row>
    <row r="271" spans="6:18">
      <c r="F271" t="str">
        <f t="shared" si="27"/>
        <v>M9NCP2</v>
      </c>
      <c r="G271" s="1">
        <f t="shared" si="26"/>
        <v>43920</v>
      </c>
      <c r="H271" t="s">
        <v>4459</v>
      </c>
      <c r="I271" t="s">
        <v>4267</v>
      </c>
      <c r="J271" t="str">
        <f t="shared" si="30"/>
        <v>Semana 34NCP2</v>
      </c>
      <c r="K271" t="s">
        <v>4667</v>
      </c>
      <c r="L271" s="1">
        <f t="shared" si="28"/>
        <v>43920</v>
      </c>
      <c r="M271" s="1">
        <f t="shared" si="25"/>
        <v>43926</v>
      </c>
      <c r="O271">
        <f t="shared" si="22"/>
        <v>5</v>
      </c>
      <c r="P271">
        <f t="shared" si="29"/>
        <v>40</v>
      </c>
      <c r="Q271">
        <f t="shared" si="23"/>
        <v>1</v>
      </c>
      <c r="R271">
        <f t="shared" si="23"/>
        <v>7</v>
      </c>
    </row>
    <row r="272" spans="6:18">
      <c r="F272" t="str">
        <f t="shared" si="27"/>
        <v>M9NCP2</v>
      </c>
      <c r="G272" s="1">
        <f t="shared" si="26"/>
        <v>43927</v>
      </c>
      <c r="H272" t="s">
        <v>4461</v>
      </c>
      <c r="I272" t="s">
        <v>4267</v>
      </c>
      <c r="J272" t="str">
        <f t="shared" si="30"/>
        <v>Semana 35NCP2</v>
      </c>
      <c r="K272" t="s">
        <v>4668</v>
      </c>
      <c r="L272" s="1">
        <f t="shared" si="28"/>
        <v>43927</v>
      </c>
      <c r="M272" s="1">
        <f t="shared" si="25"/>
        <v>43933</v>
      </c>
      <c r="O272">
        <f t="shared" si="22"/>
        <v>3</v>
      </c>
      <c r="P272">
        <f t="shared" si="29"/>
        <v>24</v>
      </c>
      <c r="Q272">
        <f t="shared" si="23"/>
        <v>1</v>
      </c>
      <c r="R272">
        <f t="shared" si="23"/>
        <v>7</v>
      </c>
    </row>
    <row r="273" spans="6:18">
      <c r="F273" t="str">
        <f t="shared" si="27"/>
        <v>M9NCP2</v>
      </c>
      <c r="G273" s="1">
        <f t="shared" si="26"/>
        <v>43934</v>
      </c>
      <c r="H273" t="s">
        <v>4463</v>
      </c>
      <c r="I273" t="s">
        <v>4267</v>
      </c>
      <c r="J273" t="str">
        <f t="shared" si="30"/>
        <v>Semana 36NCP2</v>
      </c>
      <c r="K273" t="s">
        <v>4669</v>
      </c>
      <c r="L273" s="1">
        <f t="shared" si="28"/>
        <v>43934</v>
      </c>
      <c r="M273" s="1">
        <f>M272+11</f>
        <v>43944</v>
      </c>
      <c r="O273">
        <f t="shared" si="22"/>
        <v>9</v>
      </c>
      <c r="P273">
        <f t="shared" si="29"/>
        <v>72</v>
      </c>
      <c r="Q273">
        <f t="shared" si="23"/>
        <v>1</v>
      </c>
      <c r="R273">
        <f t="shared" si="23"/>
        <v>4</v>
      </c>
    </row>
    <row r="274" spans="6:18">
      <c r="F274" t="s">
        <v>4126</v>
      </c>
      <c r="G274" s="1">
        <f t="shared" si="26"/>
        <v>43945</v>
      </c>
      <c r="H274" t="s">
        <v>4465</v>
      </c>
      <c r="I274" t="s">
        <v>4267</v>
      </c>
      <c r="J274" t="str">
        <f t="shared" si="30"/>
        <v>Semana 37NCP2</v>
      </c>
      <c r="K274" t="s">
        <v>4670</v>
      </c>
      <c r="L274" s="1">
        <f t="shared" si="28"/>
        <v>43945</v>
      </c>
      <c r="M274" s="1">
        <f>M273+10</f>
        <v>43954</v>
      </c>
      <c r="O274">
        <f t="shared" si="22"/>
        <v>5</v>
      </c>
      <c r="P274">
        <f t="shared" si="29"/>
        <v>40</v>
      </c>
      <c r="Q274">
        <f t="shared" si="23"/>
        <v>5</v>
      </c>
      <c r="R274">
        <f t="shared" si="23"/>
        <v>7</v>
      </c>
    </row>
    <row r="275" spans="6:18">
      <c r="F275" t="str">
        <f t="shared" si="27"/>
        <v>M10NCP2</v>
      </c>
      <c r="G275" s="1">
        <f t="shared" si="26"/>
        <v>43955</v>
      </c>
      <c r="H275" t="s">
        <v>4467</v>
      </c>
      <c r="I275" t="s">
        <v>4267</v>
      </c>
      <c r="J275" t="str">
        <f t="shared" si="30"/>
        <v>Semana 38NCP2</v>
      </c>
      <c r="K275" t="s">
        <v>4671</v>
      </c>
      <c r="L275" s="1">
        <f t="shared" si="28"/>
        <v>43955</v>
      </c>
      <c r="M275" s="1">
        <f t="shared" si="25"/>
        <v>43961</v>
      </c>
      <c r="O275">
        <f t="shared" si="22"/>
        <v>5</v>
      </c>
      <c r="P275">
        <f t="shared" si="29"/>
        <v>40</v>
      </c>
      <c r="Q275">
        <f t="shared" si="23"/>
        <v>1</v>
      </c>
      <c r="R275">
        <f t="shared" si="23"/>
        <v>7</v>
      </c>
    </row>
    <row r="276" spans="6:18">
      <c r="F276" t="str">
        <f t="shared" si="27"/>
        <v>M10NCP2</v>
      </c>
      <c r="G276" s="1">
        <f t="shared" si="26"/>
        <v>43962</v>
      </c>
      <c r="H276" t="s">
        <v>4469</v>
      </c>
      <c r="I276" t="s">
        <v>4267</v>
      </c>
      <c r="J276" t="str">
        <f t="shared" si="30"/>
        <v>Semana 39NCP2</v>
      </c>
      <c r="K276" t="s">
        <v>4672</v>
      </c>
      <c r="L276" s="1">
        <f t="shared" si="28"/>
        <v>43962</v>
      </c>
      <c r="M276" s="1">
        <f t="shared" si="25"/>
        <v>43968</v>
      </c>
      <c r="O276">
        <f t="shared" si="22"/>
        <v>5</v>
      </c>
      <c r="P276">
        <f t="shared" si="29"/>
        <v>40</v>
      </c>
      <c r="Q276">
        <f t="shared" si="23"/>
        <v>1</v>
      </c>
      <c r="R276">
        <f t="shared" si="23"/>
        <v>7</v>
      </c>
    </row>
    <row r="277" spans="6:18">
      <c r="F277" t="str">
        <f t="shared" si="27"/>
        <v>M10NCP2</v>
      </c>
      <c r="G277" s="1">
        <f t="shared" si="26"/>
        <v>43969</v>
      </c>
      <c r="H277" t="s">
        <v>4471</v>
      </c>
      <c r="I277" t="s">
        <v>4267</v>
      </c>
      <c r="J277" t="str">
        <f t="shared" si="30"/>
        <v>Semana 40NCP2</v>
      </c>
      <c r="K277" t="s">
        <v>4673</v>
      </c>
      <c r="L277" s="1">
        <f t="shared" si="28"/>
        <v>43969</v>
      </c>
      <c r="M277" s="1">
        <f>M276+6</f>
        <v>43974</v>
      </c>
      <c r="O277">
        <f t="shared" si="22"/>
        <v>5</v>
      </c>
      <c r="P277">
        <f t="shared" si="29"/>
        <v>40</v>
      </c>
      <c r="Q277">
        <f t="shared" si="23"/>
        <v>1</v>
      </c>
      <c r="R277">
        <f t="shared" si="23"/>
        <v>6</v>
      </c>
    </row>
    <row r="278" spans="6:18">
      <c r="F278" t="s">
        <v>4444</v>
      </c>
      <c r="G278" s="1">
        <f t="shared" si="26"/>
        <v>43975</v>
      </c>
      <c r="H278" t="s">
        <v>4473</v>
      </c>
      <c r="I278" t="s">
        <v>4267</v>
      </c>
      <c r="J278" t="str">
        <f t="shared" si="30"/>
        <v>Semana 41NCP2</v>
      </c>
      <c r="K278" t="s">
        <v>4674</v>
      </c>
      <c r="L278" s="1">
        <f t="shared" si="28"/>
        <v>43975</v>
      </c>
      <c r="M278" s="1">
        <f>M277+8</f>
        <v>43982</v>
      </c>
      <c r="O278">
        <f t="shared" si="22"/>
        <v>5</v>
      </c>
      <c r="P278">
        <f t="shared" si="29"/>
        <v>40</v>
      </c>
      <c r="Q278">
        <f t="shared" si="23"/>
        <v>7</v>
      </c>
      <c r="R278">
        <f t="shared" si="23"/>
        <v>7</v>
      </c>
    </row>
    <row r="279" spans="6:18">
      <c r="F279" t="str">
        <f t="shared" si="27"/>
        <v>M11NCP2</v>
      </c>
      <c r="G279" s="1">
        <f t="shared" si="26"/>
        <v>43983</v>
      </c>
      <c r="H279" t="s">
        <v>4475</v>
      </c>
      <c r="I279" t="s">
        <v>4267</v>
      </c>
      <c r="J279" t="str">
        <f t="shared" si="30"/>
        <v>Semana 42NCP2</v>
      </c>
      <c r="K279" t="s">
        <v>4675</v>
      </c>
      <c r="L279" s="1">
        <f t="shared" si="28"/>
        <v>43983</v>
      </c>
      <c r="M279" s="1">
        <f t="shared" si="25"/>
        <v>43989</v>
      </c>
      <c r="O279">
        <f t="shared" si="22"/>
        <v>5</v>
      </c>
      <c r="P279">
        <f t="shared" si="29"/>
        <v>40</v>
      </c>
      <c r="Q279">
        <f t="shared" si="23"/>
        <v>1</v>
      </c>
      <c r="R279">
        <f t="shared" si="23"/>
        <v>7</v>
      </c>
    </row>
    <row r="280" spans="6:18">
      <c r="F280" t="str">
        <f t="shared" si="27"/>
        <v>M11NCP2</v>
      </c>
      <c r="G280" s="1">
        <f t="shared" si="26"/>
        <v>43990</v>
      </c>
      <c r="H280" t="s">
        <v>4477</v>
      </c>
      <c r="I280" t="s">
        <v>4267</v>
      </c>
      <c r="J280" t="str">
        <f t="shared" si="30"/>
        <v>Semana 43NCP2</v>
      </c>
      <c r="K280" t="s">
        <v>4676</v>
      </c>
      <c r="L280" s="1">
        <f t="shared" si="28"/>
        <v>43990</v>
      </c>
      <c r="M280" s="1">
        <f t="shared" si="25"/>
        <v>43996</v>
      </c>
      <c r="O280">
        <f t="shared" si="22"/>
        <v>5</v>
      </c>
      <c r="P280">
        <f t="shared" si="29"/>
        <v>40</v>
      </c>
      <c r="Q280">
        <f t="shared" si="23"/>
        <v>1</v>
      </c>
      <c r="R280">
        <f t="shared" si="23"/>
        <v>7</v>
      </c>
    </row>
    <row r="281" spans="6:18">
      <c r="F281" t="str">
        <f t="shared" si="27"/>
        <v>M11NCP2</v>
      </c>
      <c r="G281" s="1">
        <f t="shared" si="26"/>
        <v>43997</v>
      </c>
      <c r="H281" t="s">
        <v>4479</v>
      </c>
      <c r="I281" t="s">
        <v>4267</v>
      </c>
      <c r="J281" t="str">
        <f t="shared" si="30"/>
        <v>Semana 44NCP2</v>
      </c>
      <c r="K281" t="s">
        <v>4677</v>
      </c>
      <c r="L281" s="1">
        <f t="shared" si="28"/>
        <v>43997</v>
      </c>
      <c r="M281" s="1">
        <f>M280+9</f>
        <v>44005</v>
      </c>
      <c r="O281">
        <f t="shared" si="22"/>
        <v>7</v>
      </c>
      <c r="P281">
        <f t="shared" si="29"/>
        <v>56</v>
      </c>
      <c r="Q281">
        <f t="shared" si="23"/>
        <v>1</v>
      </c>
      <c r="R281">
        <f t="shared" si="23"/>
        <v>2</v>
      </c>
    </row>
    <row r="282" spans="6:18">
      <c r="F282" t="s">
        <v>4448</v>
      </c>
      <c r="G282" s="1">
        <f t="shared" si="26"/>
        <v>44006</v>
      </c>
      <c r="H282" t="s">
        <v>4481</v>
      </c>
      <c r="I282" t="s">
        <v>4267</v>
      </c>
      <c r="J282" t="str">
        <f t="shared" si="30"/>
        <v>Semana 45NCP2</v>
      </c>
      <c r="K282" t="s">
        <v>4678</v>
      </c>
      <c r="L282" s="1">
        <f t="shared" si="28"/>
        <v>44006</v>
      </c>
      <c r="M282" s="1">
        <f>M281+12</f>
        <v>44017</v>
      </c>
      <c r="O282">
        <f t="shared" si="22"/>
        <v>8</v>
      </c>
      <c r="P282">
        <f t="shared" si="29"/>
        <v>64</v>
      </c>
      <c r="Q282">
        <f t="shared" si="23"/>
        <v>3</v>
      </c>
      <c r="R282">
        <f t="shared" si="23"/>
        <v>7</v>
      </c>
    </row>
    <row r="283" spans="6:18">
      <c r="F283" t="str">
        <f t="shared" si="27"/>
        <v>M12NCP2</v>
      </c>
      <c r="G283" s="1">
        <f t="shared" si="26"/>
        <v>44018</v>
      </c>
      <c r="H283" t="s">
        <v>4483</v>
      </c>
      <c r="I283" t="s">
        <v>4267</v>
      </c>
      <c r="J283" t="str">
        <f t="shared" si="30"/>
        <v>Semana 46NCP2</v>
      </c>
      <c r="K283" t="s">
        <v>4679</v>
      </c>
      <c r="L283" s="1">
        <f t="shared" si="28"/>
        <v>44018</v>
      </c>
      <c r="M283" s="1">
        <f t="shared" si="25"/>
        <v>44024</v>
      </c>
      <c r="O283">
        <f t="shared" si="22"/>
        <v>5</v>
      </c>
      <c r="P283">
        <f t="shared" si="29"/>
        <v>40</v>
      </c>
      <c r="Q283">
        <f t="shared" si="23"/>
        <v>1</v>
      </c>
      <c r="R283">
        <f t="shared" si="23"/>
        <v>7</v>
      </c>
    </row>
    <row r="284" spans="6:18">
      <c r="F284" t="str">
        <f t="shared" si="27"/>
        <v>M12NCP2</v>
      </c>
      <c r="G284" s="1">
        <f t="shared" si="26"/>
        <v>44025</v>
      </c>
      <c r="H284" t="s">
        <v>4485</v>
      </c>
      <c r="I284" t="s">
        <v>4267</v>
      </c>
      <c r="J284" t="str">
        <f t="shared" si="30"/>
        <v>Semana 47NCP2</v>
      </c>
      <c r="K284" t="s">
        <v>4680</v>
      </c>
      <c r="L284" s="1">
        <f t="shared" si="28"/>
        <v>44025</v>
      </c>
      <c r="M284" s="1">
        <f t="shared" si="25"/>
        <v>44031</v>
      </c>
      <c r="O284">
        <f t="shared" si="22"/>
        <v>5</v>
      </c>
      <c r="P284">
        <f t="shared" si="29"/>
        <v>40</v>
      </c>
      <c r="Q284">
        <f t="shared" si="23"/>
        <v>1</v>
      </c>
      <c r="R284">
        <f t="shared" si="23"/>
        <v>7</v>
      </c>
    </row>
    <row r="285" spans="6:18">
      <c r="F285" t="str">
        <f t="shared" si="27"/>
        <v>M12NCP2</v>
      </c>
      <c r="G285" s="1">
        <f t="shared" si="26"/>
        <v>44032</v>
      </c>
      <c r="H285" t="s">
        <v>4487</v>
      </c>
      <c r="I285" t="s">
        <v>4267</v>
      </c>
      <c r="J285" t="str">
        <f t="shared" si="30"/>
        <v>Semana 48NCP2</v>
      </c>
      <c r="K285" t="s">
        <v>4681</v>
      </c>
      <c r="L285" s="1">
        <f t="shared" si="28"/>
        <v>44032</v>
      </c>
      <c r="M285" s="1">
        <f>M284+4</f>
        <v>44035</v>
      </c>
      <c r="O285">
        <f t="shared" si="22"/>
        <v>4</v>
      </c>
      <c r="P285">
        <f t="shared" si="29"/>
        <v>32</v>
      </c>
      <c r="Q285">
        <f t="shared" si="23"/>
        <v>1</v>
      </c>
      <c r="R285">
        <f t="shared" si="23"/>
        <v>4</v>
      </c>
    </row>
    <row r="286" spans="6:18">
      <c r="F286" t="s">
        <v>4452</v>
      </c>
      <c r="G286" s="1">
        <f t="shared" si="26"/>
        <v>44036</v>
      </c>
      <c r="H286" t="s">
        <v>4489</v>
      </c>
      <c r="I286" t="s">
        <v>4267</v>
      </c>
      <c r="J286" t="str">
        <f t="shared" si="30"/>
        <v>Semana 49NCP2</v>
      </c>
      <c r="K286" t="s">
        <v>4682</v>
      </c>
      <c r="L286" s="1">
        <f t="shared" si="28"/>
        <v>44036</v>
      </c>
      <c r="M286" s="1">
        <f>M285+10</f>
        <v>44045</v>
      </c>
      <c r="O286">
        <f t="shared" si="22"/>
        <v>6</v>
      </c>
      <c r="P286">
        <f t="shared" si="29"/>
        <v>48</v>
      </c>
      <c r="Q286">
        <f t="shared" si="23"/>
        <v>5</v>
      </c>
      <c r="R286">
        <f t="shared" si="23"/>
        <v>7</v>
      </c>
    </row>
    <row r="287" spans="6:18">
      <c r="F287" t="str">
        <f t="shared" si="27"/>
        <v>M13NCP2</v>
      </c>
      <c r="G287" s="1">
        <f t="shared" si="26"/>
        <v>44046</v>
      </c>
      <c r="H287" t="s">
        <v>4491</v>
      </c>
      <c r="I287" t="s">
        <v>4267</v>
      </c>
      <c r="J287" t="str">
        <f t="shared" si="30"/>
        <v>Semana 50NCP2</v>
      </c>
      <c r="K287" t="s">
        <v>4683</v>
      </c>
      <c r="L287" s="1">
        <f t="shared" si="28"/>
        <v>44046</v>
      </c>
      <c r="M287" s="1">
        <f t="shared" si="25"/>
        <v>44052</v>
      </c>
      <c r="O287">
        <f t="shared" si="22"/>
        <v>5</v>
      </c>
      <c r="P287">
        <f t="shared" si="29"/>
        <v>40</v>
      </c>
      <c r="Q287">
        <f t="shared" si="23"/>
        <v>1</v>
      </c>
      <c r="R287">
        <f t="shared" si="23"/>
        <v>7</v>
      </c>
    </row>
    <row r="288" spans="6:18">
      <c r="F288" t="str">
        <f t="shared" si="27"/>
        <v>M13NCP2</v>
      </c>
      <c r="G288" s="1">
        <f t="shared" si="26"/>
        <v>44053</v>
      </c>
      <c r="H288" t="s">
        <v>4493</v>
      </c>
      <c r="I288" t="s">
        <v>4267</v>
      </c>
      <c r="J288" t="str">
        <f t="shared" si="30"/>
        <v>Semana 51NCP2</v>
      </c>
      <c r="K288" t="s">
        <v>4684</v>
      </c>
      <c r="L288" s="1">
        <f t="shared" si="28"/>
        <v>44053</v>
      </c>
      <c r="M288" s="1">
        <f t="shared" si="25"/>
        <v>44059</v>
      </c>
      <c r="O288">
        <f t="shared" si="22"/>
        <v>5</v>
      </c>
      <c r="P288">
        <f t="shared" si="29"/>
        <v>40</v>
      </c>
      <c r="Q288">
        <f t="shared" si="23"/>
        <v>1</v>
      </c>
      <c r="R288">
        <f t="shared" si="23"/>
        <v>7</v>
      </c>
    </row>
    <row r="289" spans="6:18">
      <c r="F289" t="str">
        <f t="shared" si="27"/>
        <v>M13NCP2</v>
      </c>
      <c r="G289" s="1">
        <f t="shared" si="26"/>
        <v>44060</v>
      </c>
      <c r="H289" t="s">
        <v>4495</v>
      </c>
      <c r="I289" t="s">
        <v>4267</v>
      </c>
      <c r="J289" t="str">
        <f t="shared" si="30"/>
        <v>Semana 52NCP2</v>
      </c>
      <c r="K289" t="s">
        <v>4685</v>
      </c>
      <c r="L289" s="1">
        <f t="shared" si="28"/>
        <v>44060</v>
      </c>
      <c r="M289" s="1">
        <f>M288+7</f>
        <v>44066</v>
      </c>
      <c r="O289">
        <f t="shared" si="22"/>
        <v>5</v>
      </c>
      <c r="P289">
        <f t="shared" si="29"/>
        <v>40</v>
      </c>
      <c r="Q289">
        <f t="shared" si="23"/>
        <v>1</v>
      </c>
      <c r="R289">
        <f t="shared" si="23"/>
        <v>7</v>
      </c>
    </row>
    <row r="290" spans="6:18">
      <c r="F290" t="s">
        <v>4456</v>
      </c>
      <c r="G290" s="1">
        <f t="shared" si="26"/>
        <v>44067</v>
      </c>
      <c r="H290" t="s">
        <v>4497</v>
      </c>
      <c r="I290" t="s">
        <v>4267</v>
      </c>
      <c r="J290" t="str">
        <f t="shared" si="30"/>
        <v>Semana 53NCP2</v>
      </c>
      <c r="K290" t="s">
        <v>4686</v>
      </c>
      <c r="L290" s="1">
        <f t="shared" si="28"/>
        <v>44067</v>
      </c>
      <c r="M290" s="1">
        <f>M289+7</f>
        <v>44073</v>
      </c>
      <c r="O290">
        <f t="shared" si="22"/>
        <v>5</v>
      </c>
      <c r="P290">
        <f t="shared" si="29"/>
        <v>40</v>
      </c>
      <c r="Q290">
        <f t="shared" si="23"/>
        <v>1</v>
      </c>
      <c r="R290">
        <f t="shared" si="23"/>
        <v>7</v>
      </c>
    </row>
    <row r="291" spans="6:18">
      <c r="F291" t="str">
        <f t="shared" si="27"/>
        <v>M14NCP2</v>
      </c>
      <c r="G291" s="1">
        <f t="shared" si="26"/>
        <v>44074</v>
      </c>
      <c r="H291" t="s">
        <v>4499</v>
      </c>
      <c r="I291" t="s">
        <v>4267</v>
      </c>
      <c r="J291" t="str">
        <f t="shared" si="30"/>
        <v>Semana 54NCP2</v>
      </c>
      <c r="K291" t="s">
        <v>4687</v>
      </c>
      <c r="L291" s="1">
        <f t="shared" si="28"/>
        <v>44074</v>
      </c>
      <c r="M291" s="1">
        <f t="shared" si="25"/>
        <v>44080</v>
      </c>
      <c r="O291">
        <f t="shared" si="22"/>
        <v>5</v>
      </c>
      <c r="P291">
        <f t="shared" si="29"/>
        <v>40</v>
      </c>
      <c r="Q291">
        <f t="shared" si="23"/>
        <v>1</v>
      </c>
      <c r="R291">
        <f t="shared" si="23"/>
        <v>7</v>
      </c>
    </row>
    <row r="292" spans="6:18">
      <c r="F292" t="str">
        <f t="shared" si="27"/>
        <v>M14NCP2</v>
      </c>
      <c r="G292" s="1">
        <f t="shared" si="26"/>
        <v>44081</v>
      </c>
      <c r="H292" t="s">
        <v>4501</v>
      </c>
      <c r="I292" t="s">
        <v>4267</v>
      </c>
      <c r="J292" t="str">
        <f t="shared" si="30"/>
        <v>Semana 55NCP2</v>
      </c>
      <c r="K292" t="s">
        <v>4688</v>
      </c>
      <c r="L292" s="1">
        <f t="shared" si="28"/>
        <v>44081</v>
      </c>
      <c r="M292" s="1">
        <f t="shared" si="25"/>
        <v>44087</v>
      </c>
      <c r="O292">
        <f t="shared" si="22"/>
        <v>5</v>
      </c>
      <c r="P292">
        <f t="shared" si="29"/>
        <v>40</v>
      </c>
      <c r="Q292">
        <f t="shared" si="23"/>
        <v>1</v>
      </c>
      <c r="R292">
        <f t="shared" si="23"/>
        <v>7</v>
      </c>
    </row>
    <row r="293" spans="6:18">
      <c r="F293" t="str">
        <f t="shared" si="27"/>
        <v>M14NCP2</v>
      </c>
      <c r="G293" s="1">
        <f t="shared" si="26"/>
        <v>44088</v>
      </c>
      <c r="H293" t="s">
        <v>4503</v>
      </c>
      <c r="I293" t="s">
        <v>4267</v>
      </c>
      <c r="J293" t="str">
        <f t="shared" si="30"/>
        <v>Semana 56NCP2</v>
      </c>
      <c r="K293" t="s">
        <v>5076</v>
      </c>
      <c r="L293" s="1">
        <f t="shared" si="28"/>
        <v>44088</v>
      </c>
      <c r="M293" s="1">
        <f>M292+10</f>
        <v>44097</v>
      </c>
      <c r="O293">
        <f>NETWORKDAYS(L293,M293,$U$133:$U$200)</f>
        <v>7</v>
      </c>
      <c r="P293">
        <f t="shared" si="29"/>
        <v>56</v>
      </c>
      <c r="Q293">
        <f t="shared" si="23"/>
        <v>1</v>
      </c>
      <c r="R293">
        <f t="shared" si="23"/>
        <v>3</v>
      </c>
    </row>
    <row r="294" spans="6:18">
      <c r="F294" t="str">
        <f t="shared" si="27"/>
        <v>M14NCP2</v>
      </c>
      <c r="G294" s="1">
        <f t="shared" si="26"/>
        <v>44098</v>
      </c>
      <c r="H294" t="s">
        <v>4495</v>
      </c>
      <c r="I294" t="s">
        <v>4267</v>
      </c>
      <c r="J294" t="str">
        <f t="shared" si="30"/>
        <v>Semana 52NCP2</v>
      </c>
      <c r="K294" t="s">
        <v>4685</v>
      </c>
      <c r="L294" s="1">
        <f t="shared" si="28"/>
        <v>44098</v>
      </c>
      <c r="M294" s="1">
        <f>M293+7</f>
        <v>44104</v>
      </c>
      <c r="O294">
        <f t="shared" ref="O294:O310" si="31">NETWORKDAYS(L294,M294,$U$133:$U$200)</f>
        <v>5</v>
      </c>
      <c r="P294">
        <f t="shared" ref="P294:P399" si="32">O294*8</f>
        <v>40</v>
      </c>
      <c r="Q294">
        <f t="shared" ref="Q294:Q399" si="33">WEEKDAY(L294,2)</f>
        <v>4</v>
      </c>
      <c r="R294">
        <f t="shared" ref="R294:R399" si="34">WEEKDAY(M294,2)</f>
        <v>3</v>
      </c>
    </row>
    <row r="295" spans="6:18">
      <c r="F295" t="s">
        <v>5061</v>
      </c>
      <c r="G295" s="1">
        <f t="shared" si="26"/>
        <v>44067</v>
      </c>
      <c r="H295" t="s">
        <v>4343</v>
      </c>
      <c r="I295" t="s">
        <v>5062</v>
      </c>
      <c r="J295" t="str">
        <f t="shared" si="30"/>
        <v>Semana 1NCP3</v>
      </c>
      <c r="K295" t="s">
        <v>5077</v>
      </c>
      <c r="L295" s="34">
        <v>44067</v>
      </c>
      <c r="M295" s="34">
        <v>44073</v>
      </c>
      <c r="O295">
        <f t="shared" si="31"/>
        <v>5</v>
      </c>
      <c r="P295">
        <f t="shared" si="32"/>
        <v>40</v>
      </c>
      <c r="Q295">
        <f t="shared" si="33"/>
        <v>1</v>
      </c>
      <c r="R295">
        <f t="shared" si="34"/>
        <v>7</v>
      </c>
    </row>
    <row r="296" spans="6:18">
      <c r="F296" t="str">
        <f t="shared" ref="F296:F302" si="35">F295</f>
        <v>M1NCP3</v>
      </c>
      <c r="G296" s="1">
        <f t="shared" si="26"/>
        <v>44074</v>
      </c>
      <c r="H296" t="s">
        <v>4347</v>
      </c>
      <c r="I296" t="s">
        <v>5062</v>
      </c>
      <c r="J296" t="str">
        <f t="shared" si="30"/>
        <v>Semana 2NCP3</v>
      </c>
      <c r="K296" t="s">
        <v>5078</v>
      </c>
      <c r="L296" s="34">
        <v>44074</v>
      </c>
      <c r="M296" s="34">
        <v>44080</v>
      </c>
      <c r="O296">
        <f t="shared" si="31"/>
        <v>5</v>
      </c>
      <c r="P296">
        <f t="shared" si="32"/>
        <v>40</v>
      </c>
      <c r="Q296">
        <f t="shared" si="33"/>
        <v>1</v>
      </c>
      <c r="R296">
        <f t="shared" si="34"/>
        <v>7</v>
      </c>
    </row>
    <row r="297" spans="6:18">
      <c r="F297" t="str">
        <f t="shared" si="35"/>
        <v>M1NCP3</v>
      </c>
      <c r="G297" s="1">
        <f t="shared" si="26"/>
        <v>44081</v>
      </c>
      <c r="H297" t="s">
        <v>4351</v>
      </c>
      <c r="I297" t="s">
        <v>5062</v>
      </c>
      <c r="J297" t="str">
        <f t="shared" si="30"/>
        <v>Semana 3NCP3</v>
      </c>
      <c r="K297" t="s">
        <v>5079</v>
      </c>
      <c r="L297" s="34">
        <v>44081</v>
      </c>
      <c r="M297" s="34">
        <v>44087</v>
      </c>
      <c r="O297">
        <f t="shared" si="31"/>
        <v>5</v>
      </c>
      <c r="P297">
        <f t="shared" si="32"/>
        <v>40</v>
      </c>
      <c r="Q297">
        <f t="shared" si="33"/>
        <v>1</v>
      </c>
      <c r="R297">
        <f t="shared" si="34"/>
        <v>7</v>
      </c>
    </row>
    <row r="298" spans="6:18">
      <c r="F298" t="str">
        <f t="shared" si="35"/>
        <v>M1NCP3</v>
      </c>
      <c r="G298" s="1">
        <f t="shared" si="26"/>
        <v>44088</v>
      </c>
      <c r="H298" t="s">
        <v>4355</v>
      </c>
      <c r="I298" t="s">
        <v>5062</v>
      </c>
      <c r="J298" t="str">
        <f t="shared" si="30"/>
        <v>Semana 4NCP3</v>
      </c>
      <c r="K298" t="s">
        <v>5080</v>
      </c>
      <c r="L298" s="34">
        <v>44088</v>
      </c>
      <c r="M298" s="34">
        <v>44097</v>
      </c>
      <c r="O298">
        <f t="shared" si="31"/>
        <v>7</v>
      </c>
      <c r="P298">
        <f t="shared" si="32"/>
        <v>56</v>
      </c>
      <c r="Q298">
        <f t="shared" si="33"/>
        <v>1</v>
      </c>
      <c r="R298">
        <f t="shared" si="34"/>
        <v>3</v>
      </c>
    </row>
    <row r="299" spans="6:18">
      <c r="F299" t="s">
        <v>5063</v>
      </c>
      <c r="G299" s="1">
        <f t="shared" si="26"/>
        <v>44098</v>
      </c>
      <c r="H299" t="s">
        <v>4358</v>
      </c>
      <c r="I299" t="s">
        <v>5062</v>
      </c>
      <c r="J299" t="str">
        <f t="shared" si="30"/>
        <v>Semana 5NCP3</v>
      </c>
      <c r="K299" t="s">
        <v>5081</v>
      </c>
      <c r="L299" s="34">
        <v>44098</v>
      </c>
      <c r="M299" s="34">
        <v>44108</v>
      </c>
      <c r="O299">
        <f t="shared" si="31"/>
        <v>7</v>
      </c>
      <c r="P299">
        <f t="shared" si="32"/>
        <v>56</v>
      </c>
      <c r="Q299">
        <f t="shared" si="33"/>
        <v>4</v>
      </c>
      <c r="R299">
        <f t="shared" si="34"/>
        <v>7</v>
      </c>
    </row>
    <row r="300" spans="6:18">
      <c r="F300" t="str">
        <f t="shared" si="35"/>
        <v>M2NCP3</v>
      </c>
      <c r="G300" s="1">
        <f t="shared" si="26"/>
        <v>44109</v>
      </c>
      <c r="H300" t="s">
        <v>4362</v>
      </c>
      <c r="I300" t="s">
        <v>5062</v>
      </c>
      <c r="J300" t="str">
        <f t="shared" si="30"/>
        <v>Semana 6NCP3</v>
      </c>
      <c r="K300" t="s">
        <v>5082</v>
      </c>
      <c r="L300" s="34">
        <v>44109</v>
      </c>
      <c r="M300" s="34">
        <v>44115</v>
      </c>
      <c r="O300">
        <f t="shared" si="31"/>
        <v>5</v>
      </c>
      <c r="P300">
        <f t="shared" si="32"/>
        <v>40</v>
      </c>
      <c r="Q300">
        <f t="shared" si="33"/>
        <v>1</v>
      </c>
      <c r="R300">
        <f t="shared" si="34"/>
        <v>7</v>
      </c>
    </row>
    <row r="301" spans="6:18">
      <c r="F301" t="str">
        <f t="shared" si="35"/>
        <v>M2NCP3</v>
      </c>
      <c r="G301" s="1">
        <f t="shared" si="26"/>
        <v>44116</v>
      </c>
      <c r="H301" t="s">
        <v>4366</v>
      </c>
      <c r="I301" t="s">
        <v>5062</v>
      </c>
      <c r="J301" t="str">
        <f t="shared" si="30"/>
        <v>Semana 7NCP3</v>
      </c>
      <c r="K301" t="s">
        <v>5083</v>
      </c>
      <c r="L301" s="34">
        <v>44116</v>
      </c>
      <c r="M301" s="34">
        <v>44122</v>
      </c>
      <c r="O301">
        <f t="shared" si="31"/>
        <v>4</v>
      </c>
      <c r="P301">
        <f t="shared" si="32"/>
        <v>32</v>
      </c>
      <c r="Q301">
        <f t="shared" si="33"/>
        <v>1</v>
      </c>
      <c r="R301">
        <f t="shared" si="34"/>
        <v>7</v>
      </c>
    </row>
    <row r="302" spans="6:18">
      <c r="F302" t="str">
        <f t="shared" si="35"/>
        <v>M2NCP3</v>
      </c>
      <c r="G302" s="1">
        <f t="shared" si="26"/>
        <v>44123</v>
      </c>
      <c r="H302" t="s">
        <v>4370</v>
      </c>
      <c r="I302" t="s">
        <v>5062</v>
      </c>
      <c r="J302" t="str">
        <f t="shared" si="30"/>
        <v>Semana 8NCP3</v>
      </c>
      <c r="K302" t="s">
        <v>5084</v>
      </c>
      <c r="L302" s="34">
        <v>44123</v>
      </c>
      <c r="M302" s="34">
        <v>44127</v>
      </c>
      <c r="O302">
        <f t="shared" si="31"/>
        <v>5</v>
      </c>
      <c r="P302">
        <f t="shared" si="32"/>
        <v>40</v>
      </c>
      <c r="Q302">
        <f t="shared" si="33"/>
        <v>1</v>
      </c>
      <c r="R302">
        <f t="shared" si="34"/>
        <v>5</v>
      </c>
    </row>
    <row r="303" spans="6:18">
      <c r="F303" t="s">
        <v>5064</v>
      </c>
      <c r="G303" s="1">
        <f t="shared" si="26"/>
        <v>44128</v>
      </c>
      <c r="H303" t="s">
        <v>4374</v>
      </c>
      <c r="I303" t="s">
        <v>5062</v>
      </c>
      <c r="J303" t="str">
        <f t="shared" si="30"/>
        <v>Semana 9NCP3</v>
      </c>
      <c r="K303" t="s">
        <v>5085</v>
      </c>
      <c r="L303" s="34">
        <v>44128</v>
      </c>
      <c r="M303" s="34">
        <v>44136</v>
      </c>
      <c r="O303">
        <f t="shared" si="31"/>
        <v>5</v>
      </c>
      <c r="P303">
        <f t="shared" si="32"/>
        <v>40</v>
      </c>
      <c r="Q303">
        <f t="shared" si="33"/>
        <v>6</v>
      </c>
      <c r="R303">
        <f t="shared" si="34"/>
        <v>7</v>
      </c>
    </row>
    <row r="304" spans="6:18">
      <c r="F304" t="str">
        <f t="shared" si="27"/>
        <v>M3NCP3</v>
      </c>
      <c r="G304" s="1">
        <f t="shared" ref="G304:G400" si="36">L304</f>
        <v>44137</v>
      </c>
      <c r="H304" t="s">
        <v>4378</v>
      </c>
      <c r="I304" t="s">
        <v>5062</v>
      </c>
      <c r="J304" t="str">
        <f t="shared" si="30"/>
        <v>Semana 10NCP3</v>
      </c>
      <c r="K304" t="s">
        <v>5086</v>
      </c>
      <c r="L304" s="34">
        <v>44137</v>
      </c>
      <c r="M304" s="34">
        <v>44143</v>
      </c>
      <c r="O304">
        <f t="shared" si="31"/>
        <v>5</v>
      </c>
      <c r="P304">
        <f t="shared" si="32"/>
        <v>40</v>
      </c>
      <c r="Q304">
        <f t="shared" si="33"/>
        <v>1</v>
      </c>
      <c r="R304">
        <f t="shared" si="34"/>
        <v>7</v>
      </c>
    </row>
    <row r="305" spans="6:18">
      <c r="F305" t="str">
        <f t="shared" si="27"/>
        <v>M3NCP3</v>
      </c>
      <c r="G305" s="1">
        <f t="shared" si="36"/>
        <v>44144</v>
      </c>
      <c r="H305" t="s">
        <v>4382</v>
      </c>
      <c r="I305" t="s">
        <v>5062</v>
      </c>
      <c r="J305" t="str">
        <f t="shared" si="30"/>
        <v>Semana 11NCP3</v>
      </c>
      <c r="K305" t="s">
        <v>5087</v>
      </c>
      <c r="L305" s="34">
        <v>44144</v>
      </c>
      <c r="M305" s="34">
        <v>44150</v>
      </c>
      <c r="O305">
        <f t="shared" si="31"/>
        <v>5</v>
      </c>
      <c r="P305">
        <f t="shared" si="32"/>
        <v>40</v>
      </c>
      <c r="Q305">
        <f t="shared" si="33"/>
        <v>1</v>
      </c>
      <c r="R305">
        <f t="shared" si="34"/>
        <v>7</v>
      </c>
    </row>
    <row r="306" spans="6:18">
      <c r="F306" t="str">
        <f t="shared" si="27"/>
        <v>M3NCP3</v>
      </c>
      <c r="G306" s="1">
        <f t="shared" si="36"/>
        <v>44151</v>
      </c>
      <c r="H306" t="s">
        <v>4386</v>
      </c>
      <c r="I306" t="s">
        <v>5062</v>
      </c>
      <c r="J306" t="str">
        <f t="shared" si="30"/>
        <v>Semana 12NCP3</v>
      </c>
      <c r="K306" t="s">
        <v>5088</v>
      </c>
      <c r="L306" s="34">
        <v>44151</v>
      </c>
      <c r="M306" s="34">
        <v>44158</v>
      </c>
      <c r="O306">
        <f t="shared" si="31"/>
        <v>6</v>
      </c>
      <c r="P306">
        <f t="shared" si="32"/>
        <v>48</v>
      </c>
      <c r="Q306">
        <f t="shared" si="33"/>
        <v>1</v>
      </c>
      <c r="R306">
        <f t="shared" si="34"/>
        <v>1</v>
      </c>
    </row>
    <row r="307" spans="6:18">
      <c r="F307" t="s">
        <v>5065</v>
      </c>
      <c r="G307" s="1">
        <f t="shared" si="36"/>
        <v>44159</v>
      </c>
      <c r="H307" t="s">
        <v>4390</v>
      </c>
      <c r="I307" t="s">
        <v>5062</v>
      </c>
      <c r="J307" t="str">
        <f t="shared" si="30"/>
        <v>Semana 13NCP3</v>
      </c>
      <c r="K307" t="s">
        <v>5089</v>
      </c>
      <c r="L307" s="34">
        <v>44159</v>
      </c>
      <c r="M307" s="34">
        <v>44164</v>
      </c>
      <c r="O307">
        <f t="shared" si="31"/>
        <v>4</v>
      </c>
      <c r="P307">
        <f t="shared" si="32"/>
        <v>32</v>
      </c>
      <c r="Q307">
        <f t="shared" si="33"/>
        <v>2</v>
      </c>
      <c r="R307">
        <f t="shared" si="34"/>
        <v>7</v>
      </c>
    </row>
    <row r="308" spans="6:18">
      <c r="F308" t="str">
        <f t="shared" si="27"/>
        <v>M4NCP3</v>
      </c>
      <c r="G308" s="1">
        <f t="shared" si="36"/>
        <v>44165</v>
      </c>
      <c r="H308" t="s">
        <v>4394</v>
      </c>
      <c r="I308" t="s">
        <v>5062</v>
      </c>
      <c r="J308" t="str">
        <f t="shared" si="30"/>
        <v>Semana 14NCP3</v>
      </c>
      <c r="K308" t="s">
        <v>5090</v>
      </c>
      <c r="L308" s="34">
        <v>44165</v>
      </c>
      <c r="M308" s="34">
        <v>44171</v>
      </c>
      <c r="O308">
        <f t="shared" si="31"/>
        <v>5</v>
      </c>
      <c r="P308">
        <f t="shared" si="32"/>
        <v>40</v>
      </c>
      <c r="Q308">
        <f t="shared" si="33"/>
        <v>1</v>
      </c>
      <c r="R308">
        <f t="shared" si="34"/>
        <v>7</v>
      </c>
    </row>
    <row r="309" spans="6:18">
      <c r="F309" t="str">
        <f t="shared" si="27"/>
        <v>M4NCP3</v>
      </c>
      <c r="G309" s="1">
        <f t="shared" si="36"/>
        <v>44172</v>
      </c>
      <c r="H309" t="s">
        <v>4398</v>
      </c>
      <c r="I309" t="s">
        <v>5062</v>
      </c>
      <c r="J309" t="str">
        <f t="shared" si="30"/>
        <v>Semana 15NCP3</v>
      </c>
      <c r="K309" t="s">
        <v>5091</v>
      </c>
      <c r="L309" s="34">
        <v>44172</v>
      </c>
      <c r="M309" s="34">
        <v>44178</v>
      </c>
      <c r="O309">
        <f t="shared" si="31"/>
        <v>5</v>
      </c>
      <c r="P309">
        <f t="shared" si="32"/>
        <v>40</v>
      </c>
      <c r="Q309">
        <f t="shared" si="33"/>
        <v>1</v>
      </c>
      <c r="R309">
        <f t="shared" si="34"/>
        <v>7</v>
      </c>
    </row>
    <row r="310" spans="6:18">
      <c r="F310" t="str">
        <f t="shared" si="27"/>
        <v>M4NCP3</v>
      </c>
      <c r="G310" s="1">
        <f t="shared" si="36"/>
        <v>44179</v>
      </c>
      <c r="H310" t="s">
        <v>4402</v>
      </c>
      <c r="I310" t="s">
        <v>5062</v>
      </c>
      <c r="J310" t="str">
        <f t="shared" si="30"/>
        <v>Semana 16NCP3</v>
      </c>
      <c r="K310" t="s">
        <v>5092</v>
      </c>
      <c r="L310" s="34">
        <v>44179</v>
      </c>
      <c r="M310" s="34">
        <v>44188</v>
      </c>
      <c r="O310">
        <f t="shared" si="31"/>
        <v>8</v>
      </c>
      <c r="P310">
        <f t="shared" si="32"/>
        <v>64</v>
      </c>
      <c r="Q310">
        <f t="shared" si="33"/>
        <v>1</v>
      </c>
      <c r="R310">
        <f t="shared" si="34"/>
        <v>3</v>
      </c>
    </row>
    <row r="311" spans="6:18">
      <c r="F311" t="s">
        <v>5066</v>
      </c>
      <c r="G311" s="1">
        <f t="shared" si="36"/>
        <v>44189</v>
      </c>
      <c r="H311" t="s">
        <v>4406</v>
      </c>
      <c r="I311" t="s">
        <v>5062</v>
      </c>
      <c r="J311" t="str">
        <f t="shared" si="30"/>
        <v>Semana 17NCP3</v>
      </c>
      <c r="K311" t="s">
        <v>5093</v>
      </c>
      <c r="L311" s="34">
        <v>44189</v>
      </c>
      <c r="M311" s="34">
        <v>44199</v>
      </c>
      <c r="O311">
        <f t="shared" ref="O311:O374" si="37">NETWORKDAYS(L311,M311,$U$133:$U$1000)</f>
        <v>5</v>
      </c>
      <c r="P311">
        <f t="shared" si="32"/>
        <v>40</v>
      </c>
      <c r="Q311">
        <f t="shared" si="33"/>
        <v>4</v>
      </c>
      <c r="R311">
        <f t="shared" si="34"/>
        <v>7</v>
      </c>
    </row>
    <row r="312" spans="6:18">
      <c r="F312" t="str">
        <f t="shared" ref="F312:F314" si="38">F311</f>
        <v>M5NCP3</v>
      </c>
      <c r="G312" s="1">
        <f t="shared" si="36"/>
        <v>44200</v>
      </c>
      <c r="H312" t="s">
        <v>4410</v>
      </c>
      <c r="I312" t="s">
        <v>5062</v>
      </c>
      <c r="J312" t="str">
        <f t="shared" si="30"/>
        <v>Semana 18NCP3</v>
      </c>
      <c r="K312" t="s">
        <v>5094</v>
      </c>
      <c r="L312" s="34">
        <v>44200</v>
      </c>
      <c r="M312" s="34">
        <v>44206</v>
      </c>
      <c r="O312">
        <f t="shared" si="37"/>
        <v>5</v>
      </c>
      <c r="P312">
        <f t="shared" si="32"/>
        <v>40</v>
      </c>
      <c r="Q312">
        <f t="shared" si="33"/>
        <v>1</v>
      </c>
      <c r="R312">
        <f t="shared" si="34"/>
        <v>7</v>
      </c>
    </row>
    <row r="313" spans="6:18">
      <c r="F313" t="str">
        <f t="shared" si="38"/>
        <v>M5NCP3</v>
      </c>
      <c r="G313" s="1">
        <f t="shared" si="36"/>
        <v>44207</v>
      </c>
      <c r="H313" t="s">
        <v>4414</v>
      </c>
      <c r="I313" t="s">
        <v>5062</v>
      </c>
      <c r="J313" t="str">
        <f t="shared" si="30"/>
        <v>Semana 19NCP3</v>
      </c>
      <c r="K313" t="s">
        <v>5095</v>
      </c>
      <c r="L313" s="34">
        <v>44207</v>
      </c>
      <c r="M313" s="34">
        <v>44213</v>
      </c>
      <c r="O313">
        <f t="shared" si="37"/>
        <v>5</v>
      </c>
      <c r="P313">
        <f t="shared" si="32"/>
        <v>40</v>
      </c>
      <c r="Q313">
        <f t="shared" si="33"/>
        <v>1</v>
      </c>
      <c r="R313">
        <f t="shared" si="34"/>
        <v>7</v>
      </c>
    </row>
    <row r="314" spans="6:18">
      <c r="F314" t="str">
        <f t="shared" si="38"/>
        <v>M5NCP3</v>
      </c>
      <c r="G314" s="1">
        <f t="shared" si="36"/>
        <v>44214</v>
      </c>
      <c r="H314" t="s">
        <v>4417</v>
      </c>
      <c r="I314" t="s">
        <v>5062</v>
      </c>
      <c r="J314" t="str">
        <f t="shared" si="30"/>
        <v>Semana 20NCP3</v>
      </c>
      <c r="K314" t="s">
        <v>5096</v>
      </c>
      <c r="L314" s="34">
        <v>44214</v>
      </c>
      <c r="M314" s="34">
        <v>44219</v>
      </c>
      <c r="O314">
        <f t="shared" si="37"/>
        <v>5</v>
      </c>
      <c r="P314">
        <f t="shared" si="32"/>
        <v>40</v>
      </c>
      <c r="Q314">
        <f t="shared" si="33"/>
        <v>1</v>
      </c>
      <c r="R314">
        <f t="shared" si="34"/>
        <v>6</v>
      </c>
    </row>
    <row r="315" spans="6:18">
      <c r="F315" t="s">
        <v>5067</v>
      </c>
      <c r="G315" s="1">
        <f t="shared" si="36"/>
        <v>44220</v>
      </c>
      <c r="H315" t="s">
        <v>4419</v>
      </c>
      <c r="I315" t="s">
        <v>5062</v>
      </c>
      <c r="J315" t="str">
        <f t="shared" si="30"/>
        <v>Semana 21NCP3</v>
      </c>
      <c r="K315" t="s">
        <v>5097</v>
      </c>
      <c r="L315" s="34">
        <v>44220</v>
      </c>
      <c r="M315" s="34">
        <v>44227</v>
      </c>
      <c r="O315">
        <f t="shared" si="37"/>
        <v>5</v>
      </c>
      <c r="P315">
        <f t="shared" si="32"/>
        <v>40</v>
      </c>
      <c r="Q315">
        <f t="shared" si="33"/>
        <v>7</v>
      </c>
      <c r="R315">
        <f t="shared" si="34"/>
        <v>7</v>
      </c>
    </row>
    <row r="316" spans="6:18">
      <c r="F316" t="str">
        <f t="shared" ref="F316:F346" si="39">F315</f>
        <v>M6NCP3</v>
      </c>
      <c r="G316" s="1">
        <f t="shared" si="36"/>
        <v>44228</v>
      </c>
      <c r="H316" t="s">
        <v>4421</v>
      </c>
      <c r="I316" t="s">
        <v>5062</v>
      </c>
      <c r="J316" t="str">
        <f t="shared" si="30"/>
        <v>Semana 22NCP3</v>
      </c>
      <c r="K316" t="s">
        <v>5098</v>
      </c>
      <c r="L316" s="34">
        <v>44228</v>
      </c>
      <c r="M316" s="34">
        <v>44234</v>
      </c>
      <c r="O316">
        <f t="shared" si="37"/>
        <v>5</v>
      </c>
      <c r="P316">
        <f t="shared" si="32"/>
        <v>40</v>
      </c>
      <c r="Q316">
        <f t="shared" si="33"/>
        <v>1</v>
      </c>
      <c r="R316">
        <f t="shared" si="34"/>
        <v>7</v>
      </c>
    </row>
    <row r="317" spans="6:18">
      <c r="F317" t="str">
        <f t="shared" si="39"/>
        <v>M6NCP3</v>
      </c>
      <c r="G317" s="1">
        <f t="shared" si="36"/>
        <v>44235</v>
      </c>
      <c r="H317" t="s">
        <v>4423</v>
      </c>
      <c r="I317" t="s">
        <v>5062</v>
      </c>
      <c r="J317" t="str">
        <f t="shared" si="30"/>
        <v>Semana 23NCP3</v>
      </c>
      <c r="K317" t="s">
        <v>5099</v>
      </c>
      <c r="L317" s="34">
        <v>44235</v>
      </c>
      <c r="M317" s="34">
        <v>44241</v>
      </c>
      <c r="O317">
        <f t="shared" si="37"/>
        <v>5</v>
      </c>
      <c r="P317">
        <f t="shared" si="32"/>
        <v>40</v>
      </c>
      <c r="Q317">
        <f t="shared" si="33"/>
        <v>1</v>
      </c>
      <c r="R317">
        <f t="shared" si="34"/>
        <v>7</v>
      </c>
    </row>
    <row r="318" spans="6:18">
      <c r="F318" t="str">
        <f t="shared" si="39"/>
        <v>M6NCP3</v>
      </c>
      <c r="G318" s="1">
        <f t="shared" si="36"/>
        <v>44242</v>
      </c>
      <c r="H318" t="s">
        <v>4426</v>
      </c>
      <c r="I318" t="s">
        <v>5062</v>
      </c>
      <c r="J318" t="str">
        <f t="shared" si="30"/>
        <v>Semana 24NCP3</v>
      </c>
      <c r="K318" t="s">
        <v>5100</v>
      </c>
      <c r="L318" s="34">
        <v>44242</v>
      </c>
      <c r="M318" s="34">
        <v>44250</v>
      </c>
      <c r="O318">
        <f t="shared" si="37"/>
        <v>7</v>
      </c>
      <c r="P318">
        <f t="shared" si="32"/>
        <v>56</v>
      </c>
      <c r="Q318">
        <f t="shared" si="33"/>
        <v>1</v>
      </c>
      <c r="R318">
        <f t="shared" si="34"/>
        <v>2</v>
      </c>
    </row>
    <row r="319" spans="6:18">
      <c r="F319" t="s">
        <v>5068</v>
      </c>
      <c r="G319" s="1">
        <f t="shared" si="36"/>
        <v>44251</v>
      </c>
      <c r="H319" t="s">
        <v>4429</v>
      </c>
      <c r="I319" t="s">
        <v>5062</v>
      </c>
      <c r="J319" t="str">
        <f t="shared" si="30"/>
        <v>Semana 25NCP3</v>
      </c>
      <c r="K319" t="s">
        <v>5101</v>
      </c>
      <c r="L319" s="34">
        <v>44251</v>
      </c>
      <c r="M319" s="34">
        <v>44255</v>
      </c>
      <c r="O319">
        <f t="shared" si="37"/>
        <v>3</v>
      </c>
      <c r="P319">
        <f t="shared" si="32"/>
        <v>24</v>
      </c>
      <c r="Q319">
        <f t="shared" si="33"/>
        <v>3</v>
      </c>
      <c r="R319">
        <f t="shared" si="34"/>
        <v>7</v>
      </c>
    </row>
    <row r="320" spans="6:18">
      <c r="F320" t="str">
        <f t="shared" si="39"/>
        <v>M7NCP3</v>
      </c>
      <c r="G320" s="1">
        <f t="shared" si="36"/>
        <v>44256</v>
      </c>
      <c r="H320" t="s">
        <v>4432</v>
      </c>
      <c r="I320" t="s">
        <v>5062</v>
      </c>
      <c r="J320" t="str">
        <f t="shared" si="30"/>
        <v>Semana 26NCP3</v>
      </c>
      <c r="K320" t="s">
        <v>5102</v>
      </c>
      <c r="L320" s="34">
        <v>44256</v>
      </c>
      <c r="M320" s="34">
        <v>44262</v>
      </c>
      <c r="O320">
        <f t="shared" si="37"/>
        <v>5</v>
      </c>
      <c r="P320">
        <f t="shared" si="32"/>
        <v>40</v>
      </c>
      <c r="Q320">
        <f t="shared" si="33"/>
        <v>1</v>
      </c>
      <c r="R320">
        <f t="shared" si="34"/>
        <v>7</v>
      </c>
    </row>
    <row r="321" spans="6:18">
      <c r="F321" t="str">
        <f t="shared" si="39"/>
        <v>M7NCP3</v>
      </c>
      <c r="G321" s="1">
        <f t="shared" si="36"/>
        <v>44263</v>
      </c>
      <c r="H321" t="s">
        <v>4435</v>
      </c>
      <c r="I321" t="s">
        <v>5062</v>
      </c>
      <c r="J321" t="str">
        <f t="shared" si="30"/>
        <v>Semana 27NCP3</v>
      </c>
      <c r="K321" t="s">
        <v>5103</v>
      </c>
      <c r="L321" s="34">
        <v>44263</v>
      </c>
      <c r="M321" s="34">
        <v>44269</v>
      </c>
      <c r="O321">
        <f t="shared" si="37"/>
        <v>5</v>
      </c>
      <c r="P321">
        <f t="shared" si="32"/>
        <v>40</v>
      </c>
      <c r="Q321">
        <f t="shared" si="33"/>
        <v>1</v>
      </c>
      <c r="R321">
        <f t="shared" si="34"/>
        <v>7</v>
      </c>
    </row>
    <row r="322" spans="6:18">
      <c r="F322" t="str">
        <f t="shared" si="39"/>
        <v>M7NCP3</v>
      </c>
      <c r="G322" s="1">
        <f t="shared" si="36"/>
        <v>44270</v>
      </c>
      <c r="H322" t="s">
        <v>4438</v>
      </c>
      <c r="I322" t="s">
        <v>5062</v>
      </c>
      <c r="J322" t="str">
        <f t="shared" si="30"/>
        <v>Semana 28NCP3</v>
      </c>
      <c r="K322" t="s">
        <v>5104</v>
      </c>
      <c r="L322" s="34">
        <v>44270</v>
      </c>
      <c r="M322" s="34">
        <v>44278</v>
      </c>
      <c r="O322">
        <f t="shared" si="37"/>
        <v>7</v>
      </c>
      <c r="P322">
        <f t="shared" si="32"/>
        <v>56</v>
      </c>
      <c r="Q322">
        <f t="shared" si="33"/>
        <v>1</v>
      </c>
      <c r="R322">
        <f t="shared" si="34"/>
        <v>2</v>
      </c>
    </row>
    <row r="323" spans="6:18">
      <c r="F323" t="s">
        <v>5069</v>
      </c>
      <c r="G323" s="1">
        <f t="shared" si="36"/>
        <v>44279</v>
      </c>
      <c r="H323" t="s">
        <v>4441</v>
      </c>
      <c r="I323" t="s">
        <v>5062</v>
      </c>
      <c r="J323" t="str">
        <f t="shared" si="30"/>
        <v>Semana 29NCP3</v>
      </c>
      <c r="K323" t="s">
        <v>5105</v>
      </c>
      <c r="L323" s="34">
        <v>44279</v>
      </c>
      <c r="M323" s="34">
        <v>44290</v>
      </c>
      <c r="O323">
        <f t="shared" si="37"/>
        <v>6</v>
      </c>
      <c r="P323">
        <f t="shared" si="32"/>
        <v>48</v>
      </c>
      <c r="Q323">
        <f t="shared" si="33"/>
        <v>3</v>
      </c>
      <c r="R323">
        <f t="shared" si="34"/>
        <v>7</v>
      </c>
    </row>
    <row r="324" spans="6:18">
      <c r="F324" t="str">
        <f t="shared" si="39"/>
        <v>M8NCP3</v>
      </c>
      <c r="G324" s="1">
        <f t="shared" si="36"/>
        <v>44291</v>
      </c>
      <c r="H324" t="s">
        <v>4445</v>
      </c>
      <c r="I324" t="s">
        <v>5062</v>
      </c>
      <c r="J324" t="str">
        <f t="shared" si="30"/>
        <v>Semana 30NCP3</v>
      </c>
      <c r="K324" t="s">
        <v>5106</v>
      </c>
      <c r="L324" s="34">
        <v>44291</v>
      </c>
      <c r="M324" s="34">
        <v>44297</v>
      </c>
      <c r="O324">
        <f t="shared" si="37"/>
        <v>5</v>
      </c>
      <c r="P324">
        <f t="shared" si="32"/>
        <v>40</v>
      </c>
      <c r="Q324">
        <f t="shared" si="33"/>
        <v>1</v>
      </c>
      <c r="R324">
        <f t="shared" si="34"/>
        <v>7</v>
      </c>
    </row>
    <row r="325" spans="6:18">
      <c r="F325" t="str">
        <f t="shared" si="39"/>
        <v>M8NCP3</v>
      </c>
      <c r="G325" s="1">
        <f t="shared" si="36"/>
        <v>44298</v>
      </c>
      <c r="H325" t="s">
        <v>4449</v>
      </c>
      <c r="I325" t="s">
        <v>5062</v>
      </c>
      <c r="J325" t="str">
        <f t="shared" si="30"/>
        <v>Semana 31NCP3</v>
      </c>
      <c r="K325" t="s">
        <v>5107</v>
      </c>
      <c r="L325" s="34">
        <v>44298</v>
      </c>
      <c r="M325" s="34">
        <v>44304</v>
      </c>
      <c r="O325">
        <f t="shared" si="37"/>
        <v>5</v>
      </c>
      <c r="P325">
        <f t="shared" si="32"/>
        <v>40</v>
      </c>
      <c r="Q325">
        <f t="shared" si="33"/>
        <v>1</v>
      </c>
      <c r="R325">
        <f t="shared" si="34"/>
        <v>7</v>
      </c>
    </row>
    <row r="326" spans="6:18">
      <c r="F326" t="str">
        <f t="shared" si="39"/>
        <v>M8NCP3</v>
      </c>
      <c r="G326" s="1">
        <f t="shared" si="36"/>
        <v>44305</v>
      </c>
      <c r="H326" t="s">
        <v>4453</v>
      </c>
      <c r="I326" t="s">
        <v>5062</v>
      </c>
      <c r="J326" t="str">
        <f t="shared" ref="J326:J399" si="40">H326&amp;I326</f>
        <v>Semana 32NCP3</v>
      </c>
      <c r="K326" t="s">
        <v>5108</v>
      </c>
      <c r="L326" s="34">
        <v>44305</v>
      </c>
      <c r="M326" s="34">
        <v>44309</v>
      </c>
      <c r="O326">
        <f t="shared" si="37"/>
        <v>5</v>
      </c>
      <c r="P326">
        <f t="shared" si="32"/>
        <v>40</v>
      </c>
      <c r="Q326">
        <f t="shared" si="33"/>
        <v>1</v>
      </c>
      <c r="R326">
        <f t="shared" si="34"/>
        <v>5</v>
      </c>
    </row>
    <row r="327" spans="6:18">
      <c r="F327" t="s">
        <v>5070</v>
      </c>
      <c r="G327" s="1">
        <f t="shared" si="36"/>
        <v>44310</v>
      </c>
      <c r="H327" t="s">
        <v>4457</v>
      </c>
      <c r="I327" t="s">
        <v>5062</v>
      </c>
      <c r="J327" t="str">
        <f t="shared" si="40"/>
        <v>Semana 33NCP3</v>
      </c>
      <c r="K327" t="s">
        <v>5109</v>
      </c>
      <c r="L327" s="34">
        <v>44310</v>
      </c>
      <c r="M327" s="34">
        <v>44318</v>
      </c>
      <c r="O327">
        <f t="shared" si="37"/>
        <v>5</v>
      </c>
      <c r="P327">
        <f t="shared" si="32"/>
        <v>40</v>
      </c>
      <c r="Q327">
        <f t="shared" si="33"/>
        <v>6</v>
      </c>
      <c r="R327">
        <f t="shared" si="34"/>
        <v>7</v>
      </c>
    </row>
    <row r="328" spans="6:18">
      <c r="F328" t="str">
        <f t="shared" si="39"/>
        <v>M9NCP3</v>
      </c>
      <c r="G328" s="1">
        <f t="shared" si="36"/>
        <v>44319</v>
      </c>
      <c r="H328" t="s">
        <v>4459</v>
      </c>
      <c r="I328" t="s">
        <v>5062</v>
      </c>
      <c r="J328" t="str">
        <f t="shared" si="40"/>
        <v>Semana 34NCP3</v>
      </c>
      <c r="K328" t="s">
        <v>5110</v>
      </c>
      <c r="L328" s="34">
        <v>44319</v>
      </c>
      <c r="M328" s="34">
        <v>44325</v>
      </c>
      <c r="O328">
        <f t="shared" si="37"/>
        <v>4</v>
      </c>
      <c r="P328">
        <f t="shared" si="32"/>
        <v>32</v>
      </c>
      <c r="Q328">
        <f t="shared" si="33"/>
        <v>1</v>
      </c>
      <c r="R328">
        <f t="shared" si="34"/>
        <v>7</v>
      </c>
    </row>
    <row r="329" spans="6:18">
      <c r="F329" t="str">
        <f t="shared" si="39"/>
        <v>M9NCP3</v>
      </c>
      <c r="G329" s="1">
        <f t="shared" si="36"/>
        <v>44326</v>
      </c>
      <c r="H329" t="s">
        <v>4461</v>
      </c>
      <c r="I329" t="s">
        <v>5062</v>
      </c>
      <c r="J329" t="str">
        <f t="shared" si="40"/>
        <v>Semana 35NCP3</v>
      </c>
      <c r="K329" t="s">
        <v>5111</v>
      </c>
      <c r="L329" s="34">
        <v>44326</v>
      </c>
      <c r="M329" s="34">
        <v>44332</v>
      </c>
      <c r="O329">
        <f t="shared" si="37"/>
        <v>5</v>
      </c>
      <c r="P329">
        <f t="shared" si="32"/>
        <v>40</v>
      </c>
      <c r="Q329">
        <f t="shared" si="33"/>
        <v>1</v>
      </c>
      <c r="R329">
        <f t="shared" si="34"/>
        <v>7</v>
      </c>
    </row>
    <row r="330" spans="6:18">
      <c r="F330" t="str">
        <f t="shared" si="39"/>
        <v>M9NCP3</v>
      </c>
      <c r="G330" s="1">
        <f t="shared" si="36"/>
        <v>44333</v>
      </c>
      <c r="H330" t="s">
        <v>4463</v>
      </c>
      <c r="I330" t="s">
        <v>5062</v>
      </c>
      <c r="J330" t="str">
        <f t="shared" si="40"/>
        <v>Semana 36NCP3</v>
      </c>
      <c r="K330" t="s">
        <v>5112</v>
      </c>
      <c r="L330" s="34">
        <v>44333</v>
      </c>
      <c r="M330" s="34">
        <v>44339</v>
      </c>
      <c r="O330">
        <f t="shared" si="37"/>
        <v>5</v>
      </c>
      <c r="P330">
        <f t="shared" si="32"/>
        <v>40</v>
      </c>
      <c r="Q330">
        <f t="shared" si="33"/>
        <v>1</v>
      </c>
      <c r="R330">
        <f t="shared" si="34"/>
        <v>7</v>
      </c>
    </row>
    <row r="331" spans="6:18">
      <c r="F331" t="s">
        <v>5071</v>
      </c>
      <c r="G331" s="1">
        <f t="shared" si="36"/>
        <v>44340</v>
      </c>
      <c r="H331" t="s">
        <v>4465</v>
      </c>
      <c r="I331" t="s">
        <v>5062</v>
      </c>
      <c r="J331" t="str">
        <f t="shared" si="40"/>
        <v>Semana 37NCP3</v>
      </c>
      <c r="K331" t="s">
        <v>5113</v>
      </c>
      <c r="L331" s="34">
        <v>44340</v>
      </c>
      <c r="M331" s="34">
        <v>44346</v>
      </c>
      <c r="O331">
        <f t="shared" si="37"/>
        <v>5</v>
      </c>
      <c r="P331">
        <f t="shared" si="32"/>
        <v>40</v>
      </c>
      <c r="Q331">
        <f t="shared" si="33"/>
        <v>1</v>
      </c>
      <c r="R331">
        <f t="shared" si="34"/>
        <v>7</v>
      </c>
    </row>
    <row r="332" spans="6:18">
      <c r="F332" t="str">
        <f t="shared" si="39"/>
        <v>M10NCP3</v>
      </c>
      <c r="G332" s="1">
        <f t="shared" si="36"/>
        <v>44347</v>
      </c>
      <c r="H332" t="s">
        <v>4467</v>
      </c>
      <c r="I332" t="s">
        <v>5062</v>
      </c>
      <c r="J332" t="str">
        <f t="shared" si="40"/>
        <v>Semana 38NCP3</v>
      </c>
      <c r="K332" t="s">
        <v>5114</v>
      </c>
      <c r="L332" s="34">
        <v>44347</v>
      </c>
      <c r="M332" s="34">
        <v>44353</v>
      </c>
      <c r="O332">
        <f t="shared" si="37"/>
        <v>5</v>
      </c>
      <c r="P332">
        <f t="shared" si="32"/>
        <v>40</v>
      </c>
      <c r="Q332">
        <f t="shared" si="33"/>
        <v>1</v>
      </c>
      <c r="R332">
        <f t="shared" si="34"/>
        <v>7</v>
      </c>
    </row>
    <row r="333" spans="6:18">
      <c r="F333" t="str">
        <f t="shared" si="39"/>
        <v>M10NCP3</v>
      </c>
      <c r="G333" s="1">
        <f t="shared" si="36"/>
        <v>44354</v>
      </c>
      <c r="H333" t="s">
        <v>4469</v>
      </c>
      <c r="I333" t="s">
        <v>5062</v>
      </c>
      <c r="J333" t="str">
        <f t="shared" si="40"/>
        <v>Semana 39NCP3</v>
      </c>
      <c r="K333" t="s">
        <v>5115</v>
      </c>
      <c r="L333" s="34">
        <v>44354</v>
      </c>
      <c r="M333" s="34">
        <v>44360</v>
      </c>
      <c r="O333">
        <f t="shared" si="37"/>
        <v>5</v>
      </c>
      <c r="P333">
        <f t="shared" si="32"/>
        <v>40</v>
      </c>
      <c r="Q333">
        <f t="shared" si="33"/>
        <v>1</v>
      </c>
      <c r="R333">
        <f t="shared" si="34"/>
        <v>7</v>
      </c>
    </row>
    <row r="334" spans="6:18">
      <c r="F334" t="str">
        <f t="shared" si="39"/>
        <v>M10NCP3</v>
      </c>
      <c r="G334" s="1">
        <f t="shared" si="36"/>
        <v>44361</v>
      </c>
      <c r="H334" t="s">
        <v>4471</v>
      </c>
      <c r="I334" t="s">
        <v>5062</v>
      </c>
      <c r="J334" t="str">
        <f t="shared" si="40"/>
        <v>Semana 40NCP3</v>
      </c>
      <c r="K334" t="s">
        <v>5116</v>
      </c>
      <c r="L334" s="34">
        <v>44361</v>
      </c>
      <c r="M334" s="34">
        <v>44370</v>
      </c>
      <c r="O334">
        <f t="shared" si="37"/>
        <v>8</v>
      </c>
      <c r="P334">
        <f t="shared" si="32"/>
        <v>64</v>
      </c>
      <c r="Q334">
        <f t="shared" si="33"/>
        <v>1</v>
      </c>
      <c r="R334">
        <f t="shared" si="34"/>
        <v>3</v>
      </c>
    </row>
    <row r="335" spans="6:18">
      <c r="F335" t="s">
        <v>5072</v>
      </c>
      <c r="G335" s="1">
        <f t="shared" si="36"/>
        <v>44371</v>
      </c>
      <c r="H335" t="s">
        <v>4473</v>
      </c>
      <c r="I335" t="s">
        <v>5062</v>
      </c>
      <c r="J335" t="str">
        <f t="shared" si="40"/>
        <v>Semana 41NCP3</v>
      </c>
      <c r="K335" t="s">
        <v>5117</v>
      </c>
      <c r="L335" s="34">
        <v>44371</v>
      </c>
      <c r="M335" s="34">
        <v>44381</v>
      </c>
      <c r="O335">
        <f t="shared" si="37"/>
        <v>7</v>
      </c>
      <c r="P335">
        <f t="shared" si="32"/>
        <v>56</v>
      </c>
      <c r="Q335">
        <f t="shared" si="33"/>
        <v>4</v>
      </c>
      <c r="R335">
        <f t="shared" si="34"/>
        <v>7</v>
      </c>
    </row>
    <row r="336" spans="6:18">
      <c r="F336" t="str">
        <f t="shared" si="39"/>
        <v>M11NCP3</v>
      </c>
      <c r="G336" s="1">
        <f t="shared" si="36"/>
        <v>44382</v>
      </c>
      <c r="H336" t="s">
        <v>4475</v>
      </c>
      <c r="I336" t="s">
        <v>5062</v>
      </c>
      <c r="J336" t="str">
        <f t="shared" si="40"/>
        <v>Semana 42NCP3</v>
      </c>
      <c r="K336" t="s">
        <v>5118</v>
      </c>
      <c r="L336" s="34">
        <v>44382</v>
      </c>
      <c r="M336" s="34">
        <v>44388</v>
      </c>
      <c r="O336">
        <f t="shared" si="37"/>
        <v>5</v>
      </c>
      <c r="P336">
        <f t="shared" si="32"/>
        <v>40</v>
      </c>
      <c r="Q336">
        <f t="shared" si="33"/>
        <v>1</v>
      </c>
      <c r="R336">
        <f t="shared" si="34"/>
        <v>7</v>
      </c>
    </row>
    <row r="337" spans="6:18">
      <c r="F337" t="str">
        <f t="shared" si="39"/>
        <v>M11NCP3</v>
      </c>
      <c r="G337" s="1">
        <f t="shared" si="36"/>
        <v>44389</v>
      </c>
      <c r="H337" t="s">
        <v>4477</v>
      </c>
      <c r="I337" t="s">
        <v>5062</v>
      </c>
      <c r="J337" t="str">
        <f t="shared" si="40"/>
        <v>Semana 43NCP3</v>
      </c>
      <c r="K337" t="s">
        <v>5119</v>
      </c>
      <c r="L337" s="34">
        <v>44389</v>
      </c>
      <c r="M337" s="34">
        <v>44395</v>
      </c>
      <c r="O337">
        <f t="shared" si="37"/>
        <v>5</v>
      </c>
      <c r="P337">
        <f t="shared" si="32"/>
        <v>40</v>
      </c>
      <c r="Q337">
        <f t="shared" si="33"/>
        <v>1</v>
      </c>
      <c r="R337">
        <f t="shared" si="34"/>
        <v>7</v>
      </c>
    </row>
    <row r="338" spans="6:18">
      <c r="F338" t="str">
        <f t="shared" si="39"/>
        <v>M11NCP3</v>
      </c>
      <c r="G338" s="1">
        <f t="shared" si="36"/>
        <v>44396</v>
      </c>
      <c r="H338" t="s">
        <v>4479</v>
      </c>
      <c r="I338" t="s">
        <v>5062</v>
      </c>
      <c r="J338" t="str">
        <f t="shared" si="40"/>
        <v>Semana 44NCP3</v>
      </c>
      <c r="K338" t="s">
        <v>5120</v>
      </c>
      <c r="L338" s="34">
        <v>44396</v>
      </c>
      <c r="M338" s="34">
        <v>44400</v>
      </c>
      <c r="O338">
        <f t="shared" si="37"/>
        <v>5</v>
      </c>
      <c r="P338">
        <f t="shared" si="32"/>
        <v>40</v>
      </c>
      <c r="Q338">
        <f t="shared" si="33"/>
        <v>1</v>
      </c>
      <c r="R338">
        <f t="shared" si="34"/>
        <v>5</v>
      </c>
    </row>
    <row r="339" spans="6:18">
      <c r="F339" t="s">
        <v>5073</v>
      </c>
      <c r="G339" s="1">
        <f t="shared" si="36"/>
        <v>44401</v>
      </c>
      <c r="H339" t="s">
        <v>4481</v>
      </c>
      <c r="I339" t="s">
        <v>5062</v>
      </c>
      <c r="J339" t="str">
        <f t="shared" si="40"/>
        <v>Semana 45NCP3</v>
      </c>
      <c r="K339" t="s">
        <v>5121</v>
      </c>
      <c r="L339" s="34">
        <v>44401</v>
      </c>
      <c r="M339" s="34">
        <v>44409</v>
      </c>
      <c r="O339">
        <f t="shared" si="37"/>
        <v>4</v>
      </c>
      <c r="P339">
        <f t="shared" si="32"/>
        <v>32</v>
      </c>
      <c r="Q339">
        <f t="shared" si="33"/>
        <v>6</v>
      </c>
      <c r="R339">
        <f t="shared" si="34"/>
        <v>7</v>
      </c>
    </row>
    <row r="340" spans="6:18">
      <c r="F340" t="str">
        <f t="shared" si="39"/>
        <v>M12NCP3</v>
      </c>
      <c r="G340" s="1">
        <f t="shared" si="36"/>
        <v>44410</v>
      </c>
      <c r="H340" t="s">
        <v>4483</v>
      </c>
      <c r="I340" t="s">
        <v>5062</v>
      </c>
      <c r="J340" t="str">
        <f t="shared" si="40"/>
        <v>Semana 46NCP3</v>
      </c>
      <c r="K340" t="s">
        <v>5122</v>
      </c>
      <c r="L340" s="34">
        <v>44410</v>
      </c>
      <c r="M340" s="34">
        <v>44416</v>
      </c>
      <c r="O340">
        <f t="shared" si="37"/>
        <v>4</v>
      </c>
      <c r="P340">
        <f t="shared" si="32"/>
        <v>32</v>
      </c>
      <c r="Q340">
        <f t="shared" si="33"/>
        <v>1</v>
      </c>
      <c r="R340">
        <f t="shared" si="34"/>
        <v>7</v>
      </c>
    </row>
    <row r="341" spans="6:18">
      <c r="F341" t="str">
        <f t="shared" si="39"/>
        <v>M12NCP3</v>
      </c>
      <c r="G341" s="1">
        <f t="shared" si="36"/>
        <v>44417</v>
      </c>
      <c r="H341" t="s">
        <v>4485</v>
      </c>
      <c r="I341" t="s">
        <v>5062</v>
      </c>
      <c r="J341" t="str">
        <f t="shared" si="40"/>
        <v>Semana 47NCP3</v>
      </c>
      <c r="K341" t="s">
        <v>5123</v>
      </c>
      <c r="L341" s="34">
        <v>44417</v>
      </c>
      <c r="M341" s="34">
        <v>44423</v>
      </c>
      <c r="O341">
        <f t="shared" si="37"/>
        <v>5</v>
      </c>
      <c r="P341">
        <f t="shared" si="32"/>
        <v>40</v>
      </c>
      <c r="Q341">
        <f t="shared" si="33"/>
        <v>1</v>
      </c>
      <c r="R341">
        <f t="shared" si="34"/>
        <v>7</v>
      </c>
    </row>
    <row r="342" spans="6:18">
      <c r="F342" t="str">
        <f t="shared" si="39"/>
        <v>M12NCP3</v>
      </c>
      <c r="G342" s="1">
        <f t="shared" si="36"/>
        <v>44424</v>
      </c>
      <c r="H342" t="s">
        <v>4487</v>
      </c>
      <c r="I342" t="s">
        <v>5062</v>
      </c>
      <c r="J342" t="str">
        <f t="shared" si="40"/>
        <v>Semana 48NCP3</v>
      </c>
      <c r="K342" t="s">
        <v>5124</v>
      </c>
      <c r="L342" s="34">
        <v>44424</v>
      </c>
      <c r="M342" s="34">
        <v>44431</v>
      </c>
      <c r="O342">
        <f t="shared" si="37"/>
        <v>6</v>
      </c>
      <c r="P342">
        <f t="shared" si="32"/>
        <v>48</v>
      </c>
      <c r="Q342">
        <f t="shared" si="33"/>
        <v>1</v>
      </c>
      <c r="R342">
        <f t="shared" si="34"/>
        <v>1</v>
      </c>
    </row>
    <row r="343" spans="6:18">
      <c r="F343" t="s">
        <v>5074</v>
      </c>
      <c r="G343" s="1">
        <f t="shared" si="36"/>
        <v>44432</v>
      </c>
      <c r="H343" t="s">
        <v>4489</v>
      </c>
      <c r="I343" t="s">
        <v>5062</v>
      </c>
      <c r="J343" t="str">
        <f t="shared" si="40"/>
        <v>Semana 49NCP3</v>
      </c>
      <c r="K343" t="s">
        <v>5125</v>
      </c>
      <c r="L343" s="34">
        <v>44432</v>
      </c>
      <c r="M343" s="34">
        <v>44437</v>
      </c>
      <c r="O343">
        <f t="shared" si="37"/>
        <v>4</v>
      </c>
      <c r="P343">
        <f t="shared" si="32"/>
        <v>32</v>
      </c>
      <c r="Q343">
        <f t="shared" si="33"/>
        <v>2</v>
      </c>
      <c r="R343">
        <f t="shared" si="34"/>
        <v>7</v>
      </c>
    </row>
    <row r="344" spans="6:18">
      <c r="F344" t="str">
        <f t="shared" si="39"/>
        <v>M13NCP3</v>
      </c>
      <c r="G344" s="1">
        <f t="shared" si="36"/>
        <v>44438</v>
      </c>
      <c r="H344" t="s">
        <v>4491</v>
      </c>
      <c r="I344" t="s">
        <v>5062</v>
      </c>
      <c r="J344" t="str">
        <f t="shared" si="40"/>
        <v>Semana 50NCP3</v>
      </c>
      <c r="K344" t="s">
        <v>5126</v>
      </c>
      <c r="L344" s="34">
        <v>44438</v>
      </c>
      <c r="M344" s="34">
        <v>44444</v>
      </c>
      <c r="O344">
        <f t="shared" si="37"/>
        <v>5</v>
      </c>
      <c r="P344">
        <f t="shared" si="32"/>
        <v>40</v>
      </c>
      <c r="Q344">
        <f t="shared" si="33"/>
        <v>1</v>
      </c>
      <c r="R344">
        <f t="shared" si="34"/>
        <v>7</v>
      </c>
    </row>
    <row r="345" spans="6:18">
      <c r="F345" t="str">
        <f t="shared" si="39"/>
        <v>M13NCP3</v>
      </c>
      <c r="G345" s="1">
        <f t="shared" si="36"/>
        <v>44445</v>
      </c>
      <c r="H345" t="s">
        <v>4493</v>
      </c>
      <c r="I345" t="s">
        <v>5062</v>
      </c>
      <c r="J345" t="str">
        <f t="shared" si="40"/>
        <v>Semana 51NCP3</v>
      </c>
      <c r="K345" t="s">
        <v>5127</v>
      </c>
      <c r="L345" s="34">
        <v>44445</v>
      </c>
      <c r="M345" s="34">
        <v>44451</v>
      </c>
      <c r="O345">
        <f t="shared" si="37"/>
        <v>5</v>
      </c>
      <c r="P345">
        <f t="shared" si="32"/>
        <v>40</v>
      </c>
      <c r="Q345">
        <f t="shared" si="33"/>
        <v>1</v>
      </c>
      <c r="R345">
        <f t="shared" si="34"/>
        <v>7</v>
      </c>
    </row>
    <row r="346" spans="6:18">
      <c r="F346" t="str">
        <f t="shared" si="39"/>
        <v>M13NCP3</v>
      </c>
      <c r="G346" s="1">
        <f t="shared" si="36"/>
        <v>44452</v>
      </c>
      <c r="H346" t="s">
        <v>4495</v>
      </c>
      <c r="I346" t="s">
        <v>5062</v>
      </c>
      <c r="J346" t="str">
        <f t="shared" si="40"/>
        <v>Semana 52NCP3</v>
      </c>
      <c r="K346" s="3" t="str">
        <f t="shared" ref="K346" si="41">H346&amp;"
"&amp;TEXT(L346,"dd/mm/aa")&amp;" - "&amp;TEXT(M346,"dd/mm/aa")</f>
        <v>Semana 52
13/09/21 - 23/09/21</v>
      </c>
      <c r="L346" s="34">
        <v>44452</v>
      </c>
      <c r="M346" s="34">
        <v>44462</v>
      </c>
      <c r="O346">
        <f t="shared" si="37"/>
        <v>8</v>
      </c>
      <c r="P346">
        <f t="shared" si="32"/>
        <v>64</v>
      </c>
      <c r="Q346">
        <f t="shared" si="33"/>
        <v>1</v>
      </c>
      <c r="R346">
        <f t="shared" si="34"/>
        <v>4</v>
      </c>
    </row>
    <row r="347" spans="6:18">
      <c r="F347" t="s">
        <v>5384</v>
      </c>
      <c r="G347" s="1">
        <f t="shared" si="36"/>
        <v>44471</v>
      </c>
      <c r="H347" t="s">
        <v>4343</v>
      </c>
      <c r="I347" t="s">
        <v>5385</v>
      </c>
      <c r="J347" t="str">
        <f t="shared" si="40"/>
        <v>Semana 1NCA</v>
      </c>
      <c r="K347" t="str">
        <f t="shared" ref="K347:K410" si="42">H347&amp;"
"&amp;TEXT(L347,"dd/mm/ee")&amp;" - "&amp;TEXT(M347,"dd/mm/ee")</f>
        <v>Semana 1
02/10/2021 - 10/10/2021</v>
      </c>
      <c r="L347" s="1">
        <v>44471</v>
      </c>
      <c r="M347" s="1">
        <v>44479</v>
      </c>
      <c r="O347">
        <f t="shared" si="37"/>
        <v>5</v>
      </c>
      <c r="P347">
        <f t="shared" si="32"/>
        <v>40</v>
      </c>
      <c r="Q347">
        <f t="shared" si="33"/>
        <v>6</v>
      </c>
      <c r="R347">
        <f t="shared" si="34"/>
        <v>7</v>
      </c>
    </row>
    <row r="348" spans="6:18">
      <c r="F348" t="str">
        <f t="shared" ref="F348:F378" si="43">F347</f>
        <v>M1NCA</v>
      </c>
      <c r="G348" s="1">
        <f t="shared" si="36"/>
        <v>44480</v>
      </c>
      <c r="H348" t="s">
        <v>4347</v>
      </c>
      <c r="I348" t="s">
        <v>5385</v>
      </c>
      <c r="J348" t="str">
        <f t="shared" si="40"/>
        <v>Semana 2NCA</v>
      </c>
      <c r="K348" t="str">
        <f t="shared" si="42"/>
        <v>Semana 2
11/10/2021 - 17/10/2021</v>
      </c>
      <c r="L348" s="1">
        <f>M347+1</f>
        <v>44480</v>
      </c>
      <c r="M348" s="1">
        <f>M347+7</f>
        <v>44486</v>
      </c>
      <c r="O348">
        <f t="shared" si="37"/>
        <v>4</v>
      </c>
      <c r="P348">
        <f t="shared" si="32"/>
        <v>32</v>
      </c>
      <c r="Q348">
        <f t="shared" si="33"/>
        <v>1</v>
      </c>
      <c r="R348">
        <f t="shared" si="34"/>
        <v>7</v>
      </c>
    </row>
    <row r="349" spans="6:18">
      <c r="F349" t="str">
        <f t="shared" si="43"/>
        <v>M1NCA</v>
      </c>
      <c r="G349" s="1">
        <f t="shared" si="36"/>
        <v>44487</v>
      </c>
      <c r="H349" t="s">
        <v>4351</v>
      </c>
      <c r="I349" t="s">
        <v>5385</v>
      </c>
      <c r="J349" t="str">
        <f t="shared" si="40"/>
        <v>Semana 3NCA</v>
      </c>
      <c r="K349" t="str">
        <f t="shared" si="42"/>
        <v>Semana 3
18/10/2021 - 24/10/2021</v>
      </c>
      <c r="L349" s="1">
        <f t="shared" ref="L349:L398" si="44">M348+1</f>
        <v>44487</v>
      </c>
      <c r="M349" s="1">
        <f t="shared" ref="M349:M397" si="45">M348+7</f>
        <v>44493</v>
      </c>
      <c r="O349">
        <f t="shared" si="37"/>
        <v>5</v>
      </c>
      <c r="P349">
        <f t="shared" si="32"/>
        <v>40</v>
      </c>
      <c r="Q349">
        <f t="shared" si="33"/>
        <v>1</v>
      </c>
      <c r="R349">
        <f t="shared" si="34"/>
        <v>7</v>
      </c>
    </row>
    <row r="350" spans="6:18">
      <c r="F350" t="str">
        <f t="shared" si="43"/>
        <v>M1NCA</v>
      </c>
      <c r="G350" s="1">
        <f t="shared" si="36"/>
        <v>44494</v>
      </c>
      <c r="H350" t="s">
        <v>4355</v>
      </c>
      <c r="I350" t="s">
        <v>5385</v>
      </c>
      <c r="J350" t="str">
        <f t="shared" si="40"/>
        <v>Semana 4NCA</v>
      </c>
      <c r="K350" t="str">
        <f t="shared" si="42"/>
        <v>Semana 4
25/10/2021 - 01/11/2021</v>
      </c>
      <c r="L350" s="1">
        <f t="shared" si="44"/>
        <v>44494</v>
      </c>
      <c r="M350" s="1">
        <v>44501</v>
      </c>
      <c r="O350">
        <f t="shared" si="37"/>
        <v>6</v>
      </c>
      <c r="P350">
        <f t="shared" si="32"/>
        <v>48</v>
      </c>
      <c r="Q350">
        <f t="shared" si="33"/>
        <v>1</v>
      </c>
      <c r="R350">
        <f t="shared" si="34"/>
        <v>1</v>
      </c>
    </row>
    <row r="351" spans="6:18">
      <c r="F351" t="s">
        <v>5386</v>
      </c>
      <c r="G351" s="1">
        <f t="shared" si="36"/>
        <v>44502</v>
      </c>
      <c r="H351" t="s">
        <v>4358</v>
      </c>
      <c r="I351" t="s">
        <v>5385</v>
      </c>
      <c r="J351" t="str">
        <f t="shared" si="40"/>
        <v>Semana 5NCA</v>
      </c>
      <c r="K351" t="str">
        <f t="shared" si="42"/>
        <v>Semana 5
02/11/2021 - 07/11/2021</v>
      </c>
      <c r="L351" s="1">
        <f t="shared" si="44"/>
        <v>44502</v>
      </c>
      <c r="M351" s="1">
        <f>M350+6</f>
        <v>44507</v>
      </c>
      <c r="O351">
        <f t="shared" si="37"/>
        <v>4</v>
      </c>
      <c r="P351">
        <f t="shared" si="32"/>
        <v>32</v>
      </c>
      <c r="Q351">
        <f t="shared" si="33"/>
        <v>2</v>
      </c>
      <c r="R351">
        <f t="shared" si="34"/>
        <v>7</v>
      </c>
    </row>
    <row r="352" spans="6:18">
      <c r="F352" t="str">
        <f t="shared" si="43"/>
        <v>M2NCA</v>
      </c>
      <c r="G352" s="1">
        <f t="shared" si="36"/>
        <v>44508</v>
      </c>
      <c r="H352" t="s">
        <v>4362</v>
      </c>
      <c r="I352" t="s">
        <v>5385</v>
      </c>
      <c r="J352" t="str">
        <f t="shared" si="40"/>
        <v>Semana 6NCA</v>
      </c>
      <c r="K352" t="str">
        <f t="shared" si="42"/>
        <v>Semana 6
08/11/2021 - 14/11/2021</v>
      </c>
      <c r="L352" s="1">
        <f t="shared" si="44"/>
        <v>44508</v>
      </c>
      <c r="M352" s="1">
        <f t="shared" si="45"/>
        <v>44514</v>
      </c>
      <c r="O352">
        <f t="shared" si="37"/>
        <v>5</v>
      </c>
      <c r="P352">
        <f t="shared" si="32"/>
        <v>40</v>
      </c>
      <c r="Q352">
        <f t="shared" si="33"/>
        <v>1</v>
      </c>
      <c r="R352">
        <f t="shared" si="34"/>
        <v>7</v>
      </c>
    </row>
    <row r="353" spans="6:18">
      <c r="F353" t="str">
        <f t="shared" si="43"/>
        <v>M2NCA</v>
      </c>
      <c r="G353" s="1">
        <f t="shared" si="36"/>
        <v>44515</v>
      </c>
      <c r="H353" t="s">
        <v>4366</v>
      </c>
      <c r="I353" t="s">
        <v>5385</v>
      </c>
      <c r="J353" t="str">
        <f t="shared" si="40"/>
        <v>Semana 7NCA</v>
      </c>
      <c r="K353" t="str">
        <f t="shared" si="42"/>
        <v>Semana 7
15/11/2021 - 21/11/2021</v>
      </c>
      <c r="L353" s="1">
        <f t="shared" si="44"/>
        <v>44515</v>
      </c>
      <c r="M353" s="1">
        <f t="shared" si="45"/>
        <v>44521</v>
      </c>
      <c r="O353">
        <f t="shared" si="37"/>
        <v>5</v>
      </c>
      <c r="P353">
        <f t="shared" si="32"/>
        <v>40</v>
      </c>
      <c r="Q353">
        <f t="shared" si="33"/>
        <v>1</v>
      </c>
      <c r="R353">
        <f t="shared" si="34"/>
        <v>7</v>
      </c>
    </row>
    <row r="354" spans="6:18">
      <c r="F354" t="str">
        <f t="shared" si="43"/>
        <v>M2NCA</v>
      </c>
      <c r="G354" s="1">
        <f t="shared" si="36"/>
        <v>44522</v>
      </c>
      <c r="H354" t="s">
        <v>4370</v>
      </c>
      <c r="I354" t="s">
        <v>5385</v>
      </c>
      <c r="J354" t="str">
        <f t="shared" si="40"/>
        <v>Semana 8NCA</v>
      </c>
      <c r="K354" t="str">
        <f t="shared" si="42"/>
        <v>Semana 8
22/11/2021 - 01/12/2021</v>
      </c>
      <c r="L354" s="1">
        <f t="shared" si="44"/>
        <v>44522</v>
      </c>
      <c r="M354" s="1">
        <v>44531</v>
      </c>
      <c r="O354">
        <f t="shared" si="37"/>
        <v>8</v>
      </c>
      <c r="P354">
        <f t="shared" si="32"/>
        <v>64</v>
      </c>
      <c r="Q354">
        <f t="shared" si="33"/>
        <v>1</v>
      </c>
      <c r="R354">
        <f t="shared" si="34"/>
        <v>3</v>
      </c>
    </row>
    <row r="355" spans="6:18">
      <c r="F355" t="s">
        <v>5387</v>
      </c>
      <c r="G355" s="1">
        <f t="shared" si="36"/>
        <v>44532</v>
      </c>
      <c r="H355" t="s">
        <v>4374</v>
      </c>
      <c r="I355" t="s">
        <v>5385</v>
      </c>
      <c r="J355" t="str">
        <f t="shared" si="40"/>
        <v>Semana 9NCA</v>
      </c>
      <c r="K355" t="str">
        <f t="shared" si="42"/>
        <v>Semana 9
02/12/2021 - 12/12/2021</v>
      </c>
      <c r="L355" s="1">
        <f t="shared" si="44"/>
        <v>44532</v>
      </c>
      <c r="M355" s="1">
        <f>M354+11</f>
        <v>44542</v>
      </c>
      <c r="O355">
        <f t="shared" si="37"/>
        <v>7</v>
      </c>
      <c r="P355">
        <f t="shared" si="32"/>
        <v>56</v>
      </c>
      <c r="Q355">
        <f t="shared" si="33"/>
        <v>4</v>
      </c>
      <c r="R355">
        <f t="shared" si="34"/>
        <v>7</v>
      </c>
    </row>
    <row r="356" spans="6:18">
      <c r="F356" t="str">
        <f t="shared" si="43"/>
        <v>M3NCA</v>
      </c>
      <c r="G356" s="1">
        <f t="shared" si="36"/>
        <v>44543</v>
      </c>
      <c r="H356" t="s">
        <v>4378</v>
      </c>
      <c r="I356" t="s">
        <v>5385</v>
      </c>
      <c r="J356" t="str">
        <f t="shared" si="40"/>
        <v>Semana 10NCA</v>
      </c>
      <c r="K356" t="str">
        <f t="shared" si="42"/>
        <v>Semana 10
13/12/2021 - 19/12/2021</v>
      </c>
      <c r="L356" s="1">
        <f t="shared" si="44"/>
        <v>44543</v>
      </c>
      <c r="M356" s="1">
        <f t="shared" si="45"/>
        <v>44549</v>
      </c>
      <c r="O356">
        <f t="shared" si="37"/>
        <v>5</v>
      </c>
      <c r="P356">
        <f t="shared" si="32"/>
        <v>40</v>
      </c>
      <c r="Q356">
        <f t="shared" si="33"/>
        <v>1</v>
      </c>
      <c r="R356">
        <f t="shared" si="34"/>
        <v>7</v>
      </c>
    </row>
    <row r="357" spans="6:18">
      <c r="F357" t="str">
        <f t="shared" si="43"/>
        <v>M3NCA</v>
      </c>
      <c r="G357" s="1">
        <f t="shared" si="36"/>
        <v>44550</v>
      </c>
      <c r="H357" t="s">
        <v>4382</v>
      </c>
      <c r="I357" t="s">
        <v>5385</v>
      </c>
      <c r="J357" t="str">
        <f t="shared" si="40"/>
        <v>Semana 11NCA</v>
      </c>
      <c r="K357" t="str">
        <f t="shared" si="42"/>
        <v>Semana 11
20/12/2021 - 26/12/2021</v>
      </c>
      <c r="L357" s="1">
        <f t="shared" si="44"/>
        <v>44550</v>
      </c>
      <c r="M357" s="1">
        <f t="shared" si="45"/>
        <v>44556</v>
      </c>
      <c r="O357">
        <f t="shared" si="37"/>
        <v>5</v>
      </c>
      <c r="P357">
        <f t="shared" si="32"/>
        <v>40</v>
      </c>
      <c r="Q357">
        <f t="shared" si="33"/>
        <v>1</v>
      </c>
      <c r="R357">
        <f t="shared" si="34"/>
        <v>7</v>
      </c>
    </row>
    <row r="358" spans="6:18">
      <c r="F358" t="str">
        <f t="shared" si="43"/>
        <v>M3NCA</v>
      </c>
      <c r="G358" s="1">
        <f t="shared" si="36"/>
        <v>44557</v>
      </c>
      <c r="H358" t="s">
        <v>4386</v>
      </c>
      <c r="I358" t="s">
        <v>5385</v>
      </c>
      <c r="J358" t="str">
        <f t="shared" si="40"/>
        <v>Semana 12NCA</v>
      </c>
      <c r="K358" t="str">
        <f t="shared" si="42"/>
        <v>Semana 12
27/12/2021 - 01/01/2022</v>
      </c>
      <c r="L358" s="1">
        <f t="shared" si="44"/>
        <v>44557</v>
      </c>
      <c r="M358" s="1">
        <v>44562</v>
      </c>
      <c r="O358">
        <f t="shared" si="37"/>
        <v>5</v>
      </c>
      <c r="P358">
        <f t="shared" si="32"/>
        <v>40</v>
      </c>
      <c r="Q358">
        <f t="shared" si="33"/>
        <v>1</v>
      </c>
      <c r="R358">
        <f t="shared" si="34"/>
        <v>6</v>
      </c>
    </row>
    <row r="359" spans="6:18">
      <c r="F359" t="s">
        <v>5388</v>
      </c>
      <c r="G359" s="1">
        <f t="shared" si="36"/>
        <v>44563</v>
      </c>
      <c r="H359" t="s">
        <v>4390</v>
      </c>
      <c r="I359" t="s">
        <v>5385</v>
      </c>
      <c r="J359" t="str">
        <f t="shared" si="40"/>
        <v>Semana 13NCA</v>
      </c>
      <c r="K359" t="str">
        <f t="shared" si="42"/>
        <v>Semana 13
02/01/2022 - 09/01/2022</v>
      </c>
      <c r="L359" s="1">
        <f t="shared" si="44"/>
        <v>44563</v>
      </c>
      <c r="M359" s="1">
        <f>M358+8</f>
        <v>44570</v>
      </c>
      <c r="O359">
        <f t="shared" si="37"/>
        <v>5</v>
      </c>
      <c r="P359">
        <f t="shared" si="32"/>
        <v>40</v>
      </c>
      <c r="Q359">
        <f t="shared" si="33"/>
        <v>7</v>
      </c>
      <c r="R359">
        <f t="shared" si="34"/>
        <v>7</v>
      </c>
    </row>
    <row r="360" spans="6:18">
      <c r="F360" t="str">
        <f t="shared" si="43"/>
        <v>M4NCA</v>
      </c>
      <c r="G360" s="1">
        <f t="shared" si="36"/>
        <v>44571</v>
      </c>
      <c r="H360" t="s">
        <v>4394</v>
      </c>
      <c r="I360" t="s">
        <v>5385</v>
      </c>
      <c r="J360" t="str">
        <f t="shared" si="40"/>
        <v>Semana 14NCA</v>
      </c>
      <c r="K360" t="str">
        <f t="shared" si="42"/>
        <v>Semana 14
10/01/2022 - 16/01/2022</v>
      </c>
      <c r="L360" s="1">
        <f t="shared" si="44"/>
        <v>44571</v>
      </c>
      <c r="M360" s="1">
        <f t="shared" si="45"/>
        <v>44577</v>
      </c>
      <c r="O360">
        <f t="shared" si="37"/>
        <v>5</v>
      </c>
      <c r="P360">
        <f t="shared" si="32"/>
        <v>40</v>
      </c>
      <c r="Q360">
        <f t="shared" si="33"/>
        <v>1</v>
      </c>
      <c r="R360">
        <f t="shared" si="34"/>
        <v>7</v>
      </c>
    </row>
    <row r="361" spans="6:18">
      <c r="F361" t="str">
        <f t="shared" si="43"/>
        <v>M4NCA</v>
      </c>
      <c r="G361" s="1">
        <f t="shared" si="36"/>
        <v>44578</v>
      </c>
      <c r="H361" t="s">
        <v>4398</v>
      </c>
      <c r="I361" t="s">
        <v>5385</v>
      </c>
      <c r="J361" t="str">
        <f t="shared" si="40"/>
        <v>Semana 15NCA</v>
      </c>
      <c r="K361" t="str">
        <f t="shared" si="42"/>
        <v>Semana 15
17/01/2022 - 23/01/2022</v>
      </c>
      <c r="L361" s="1">
        <f t="shared" si="44"/>
        <v>44578</v>
      </c>
      <c r="M361" s="1">
        <f t="shared" si="45"/>
        <v>44584</v>
      </c>
      <c r="O361">
        <f t="shared" si="37"/>
        <v>5</v>
      </c>
      <c r="P361">
        <f t="shared" si="32"/>
        <v>40</v>
      </c>
      <c r="Q361">
        <f t="shared" si="33"/>
        <v>1</v>
      </c>
      <c r="R361">
        <f t="shared" si="34"/>
        <v>7</v>
      </c>
    </row>
    <row r="362" spans="6:18">
      <c r="F362" t="str">
        <f t="shared" si="43"/>
        <v>M4NCA</v>
      </c>
      <c r="G362" s="1">
        <f t="shared" si="36"/>
        <v>44585</v>
      </c>
      <c r="H362" t="s">
        <v>4402</v>
      </c>
      <c r="I362" t="s">
        <v>5385</v>
      </c>
      <c r="J362" t="str">
        <f t="shared" si="40"/>
        <v>Semana 16NCA</v>
      </c>
      <c r="K362" t="str">
        <f t="shared" si="42"/>
        <v>Semana 16
24/01/2022 - 01/02/2022</v>
      </c>
      <c r="L362" s="1">
        <f t="shared" si="44"/>
        <v>44585</v>
      </c>
      <c r="M362" s="1">
        <v>44593</v>
      </c>
      <c r="O362">
        <f t="shared" si="37"/>
        <v>7</v>
      </c>
      <c r="P362">
        <f t="shared" si="32"/>
        <v>56</v>
      </c>
      <c r="Q362">
        <f t="shared" si="33"/>
        <v>1</v>
      </c>
      <c r="R362">
        <f t="shared" si="34"/>
        <v>2</v>
      </c>
    </row>
    <row r="363" spans="6:18">
      <c r="F363" t="s">
        <v>5389</v>
      </c>
      <c r="G363" s="1">
        <f t="shared" si="36"/>
        <v>44594</v>
      </c>
      <c r="H363" t="s">
        <v>4406</v>
      </c>
      <c r="I363" t="s">
        <v>5385</v>
      </c>
      <c r="J363" t="str">
        <f t="shared" si="40"/>
        <v>Semana 17NCA</v>
      </c>
      <c r="K363" t="str">
        <f t="shared" si="42"/>
        <v>Semana 17
02/02/2022 - 06/02/2022</v>
      </c>
      <c r="L363" s="1">
        <f t="shared" si="44"/>
        <v>44594</v>
      </c>
      <c r="M363" s="1">
        <f>M362+5</f>
        <v>44598</v>
      </c>
      <c r="O363">
        <f t="shared" si="37"/>
        <v>3</v>
      </c>
      <c r="P363">
        <f t="shared" si="32"/>
        <v>24</v>
      </c>
      <c r="Q363">
        <f t="shared" si="33"/>
        <v>3</v>
      </c>
      <c r="R363">
        <f t="shared" si="34"/>
        <v>7</v>
      </c>
    </row>
    <row r="364" spans="6:18">
      <c r="F364" t="str">
        <f t="shared" si="43"/>
        <v>M5NCA</v>
      </c>
      <c r="G364" s="1">
        <f t="shared" si="36"/>
        <v>44599</v>
      </c>
      <c r="H364" t="s">
        <v>4410</v>
      </c>
      <c r="I364" t="s">
        <v>5385</v>
      </c>
      <c r="J364" t="str">
        <f t="shared" si="40"/>
        <v>Semana 18NCA</v>
      </c>
      <c r="K364" t="str">
        <f t="shared" si="42"/>
        <v>Semana 18
07/02/2022 - 13/02/2022</v>
      </c>
      <c r="L364" s="1">
        <f t="shared" si="44"/>
        <v>44599</v>
      </c>
      <c r="M364" s="1">
        <f t="shared" si="45"/>
        <v>44605</v>
      </c>
      <c r="O364">
        <f t="shared" si="37"/>
        <v>5</v>
      </c>
      <c r="P364">
        <f t="shared" si="32"/>
        <v>40</v>
      </c>
      <c r="Q364">
        <f t="shared" si="33"/>
        <v>1</v>
      </c>
      <c r="R364">
        <f t="shared" si="34"/>
        <v>7</v>
      </c>
    </row>
    <row r="365" spans="6:18">
      <c r="F365" t="str">
        <f t="shared" si="43"/>
        <v>M5NCA</v>
      </c>
      <c r="G365" s="1">
        <f t="shared" si="36"/>
        <v>44606</v>
      </c>
      <c r="H365" t="s">
        <v>4414</v>
      </c>
      <c r="I365" t="s">
        <v>5385</v>
      </c>
      <c r="J365" t="str">
        <f t="shared" si="40"/>
        <v>Semana 19NCA</v>
      </c>
      <c r="K365" t="str">
        <f t="shared" si="42"/>
        <v>Semana 19
14/02/2022 - 20/02/2022</v>
      </c>
      <c r="L365" s="1">
        <f t="shared" si="44"/>
        <v>44606</v>
      </c>
      <c r="M365" s="1">
        <f t="shared" si="45"/>
        <v>44612</v>
      </c>
      <c r="O365">
        <f t="shared" si="37"/>
        <v>5</v>
      </c>
      <c r="P365">
        <f t="shared" si="32"/>
        <v>40</v>
      </c>
      <c r="Q365">
        <f t="shared" si="33"/>
        <v>1</v>
      </c>
      <c r="R365">
        <f t="shared" si="34"/>
        <v>7</v>
      </c>
    </row>
    <row r="366" spans="6:18">
      <c r="F366" t="str">
        <f t="shared" si="43"/>
        <v>M5NCA</v>
      </c>
      <c r="G366" s="1">
        <f t="shared" si="36"/>
        <v>44613</v>
      </c>
      <c r="H366" t="s">
        <v>4417</v>
      </c>
      <c r="I366" t="s">
        <v>5385</v>
      </c>
      <c r="J366" t="str">
        <f t="shared" si="40"/>
        <v>Semana 20NCA</v>
      </c>
      <c r="K366" t="str">
        <f t="shared" si="42"/>
        <v>Semana 20
21/02/2022 - 01/03/2022</v>
      </c>
      <c r="L366" s="1">
        <f t="shared" si="44"/>
        <v>44613</v>
      </c>
      <c r="M366" s="1">
        <v>44621</v>
      </c>
      <c r="O366">
        <f t="shared" si="37"/>
        <v>7</v>
      </c>
      <c r="P366">
        <f t="shared" si="32"/>
        <v>56</v>
      </c>
      <c r="Q366">
        <f t="shared" si="33"/>
        <v>1</v>
      </c>
      <c r="R366">
        <f t="shared" si="34"/>
        <v>2</v>
      </c>
    </row>
    <row r="367" spans="6:18">
      <c r="F367" t="s">
        <v>5390</v>
      </c>
      <c r="G367" s="1">
        <f t="shared" si="36"/>
        <v>44622</v>
      </c>
      <c r="H367" t="s">
        <v>4419</v>
      </c>
      <c r="I367" t="s">
        <v>5385</v>
      </c>
      <c r="J367" t="str">
        <f t="shared" si="40"/>
        <v>Semana 21NCA</v>
      </c>
      <c r="K367" t="str">
        <f t="shared" si="42"/>
        <v>Semana 21
02/03/2022 - 13/03/2022</v>
      </c>
      <c r="L367" s="1">
        <f t="shared" si="44"/>
        <v>44622</v>
      </c>
      <c r="M367" s="1">
        <f>M366+12</f>
        <v>44633</v>
      </c>
      <c r="O367">
        <f t="shared" si="37"/>
        <v>8</v>
      </c>
      <c r="P367">
        <f t="shared" si="32"/>
        <v>64</v>
      </c>
      <c r="Q367">
        <f t="shared" si="33"/>
        <v>3</v>
      </c>
      <c r="R367">
        <f t="shared" si="34"/>
        <v>7</v>
      </c>
    </row>
    <row r="368" spans="6:18">
      <c r="F368" t="str">
        <f t="shared" si="43"/>
        <v>M6NCA</v>
      </c>
      <c r="G368" s="1">
        <f t="shared" si="36"/>
        <v>44634</v>
      </c>
      <c r="H368" t="s">
        <v>4421</v>
      </c>
      <c r="I368" t="s">
        <v>5385</v>
      </c>
      <c r="J368" t="str">
        <f t="shared" si="40"/>
        <v>Semana 22NCA</v>
      </c>
      <c r="K368" t="str">
        <f t="shared" si="42"/>
        <v>Semana 22
14/03/2022 - 20/03/2022</v>
      </c>
      <c r="L368" s="1">
        <f t="shared" si="44"/>
        <v>44634</v>
      </c>
      <c r="M368" s="1">
        <f t="shared" si="45"/>
        <v>44640</v>
      </c>
      <c r="O368">
        <f t="shared" si="37"/>
        <v>5</v>
      </c>
      <c r="P368">
        <f t="shared" si="32"/>
        <v>40</v>
      </c>
      <c r="Q368">
        <f t="shared" si="33"/>
        <v>1</v>
      </c>
      <c r="R368">
        <f t="shared" si="34"/>
        <v>7</v>
      </c>
    </row>
    <row r="369" spans="6:18">
      <c r="F369" t="str">
        <f t="shared" si="43"/>
        <v>M6NCA</v>
      </c>
      <c r="G369" s="1">
        <f t="shared" si="36"/>
        <v>44641</v>
      </c>
      <c r="H369" t="s">
        <v>4423</v>
      </c>
      <c r="I369" t="s">
        <v>5385</v>
      </c>
      <c r="J369" t="str">
        <f t="shared" si="40"/>
        <v>Semana 23NCA</v>
      </c>
      <c r="K369" t="str">
        <f t="shared" si="42"/>
        <v>Semana 23
21/03/2022 - 27/03/2022</v>
      </c>
      <c r="L369" s="1">
        <f t="shared" si="44"/>
        <v>44641</v>
      </c>
      <c r="M369" s="1">
        <f t="shared" si="45"/>
        <v>44647</v>
      </c>
      <c r="O369">
        <f t="shared" si="37"/>
        <v>5</v>
      </c>
      <c r="P369">
        <f t="shared" si="32"/>
        <v>40</v>
      </c>
      <c r="Q369">
        <f t="shared" si="33"/>
        <v>1</v>
      </c>
      <c r="R369">
        <f t="shared" si="34"/>
        <v>7</v>
      </c>
    </row>
    <row r="370" spans="6:18">
      <c r="F370" t="str">
        <f t="shared" si="43"/>
        <v>M6NCA</v>
      </c>
      <c r="G370" s="1">
        <f t="shared" si="36"/>
        <v>44648</v>
      </c>
      <c r="H370" t="s">
        <v>4426</v>
      </c>
      <c r="I370" t="s">
        <v>5385</v>
      </c>
      <c r="J370" t="str">
        <f t="shared" si="40"/>
        <v>Semana 24NCA</v>
      </c>
      <c r="K370" t="str">
        <f t="shared" si="42"/>
        <v>Semana 24
28/03/2022 - 01/04/2022</v>
      </c>
      <c r="L370" s="1">
        <f t="shared" si="44"/>
        <v>44648</v>
      </c>
      <c r="M370" s="1">
        <v>44652</v>
      </c>
      <c r="O370">
        <f t="shared" si="37"/>
        <v>5</v>
      </c>
      <c r="P370">
        <f t="shared" si="32"/>
        <v>40</v>
      </c>
      <c r="Q370">
        <f t="shared" si="33"/>
        <v>1</v>
      </c>
      <c r="R370">
        <f t="shared" si="34"/>
        <v>5</v>
      </c>
    </row>
    <row r="371" spans="6:18">
      <c r="F371" t="s">
        <v>5391</v>
      </c>
      <c r="G371" s="1">
        <f t="shared" si="36"/>
        <v>44653</v>
      </c>
      <c r="H371" t="s">
        <v>4429</v>
      </c>
      <c r="I371" t="s">
        <v>5385</v>
      </c>
      <c r="J371" t="str">
        <f t="shared" si="40"/>
        <v>Semana 25NCA</v>
      </c>
      <c r="K371" t="str">
        <f t="shared" si="42"/>
        <v>Semana 25
02/04/2022 - 10/04/2022</v>
      </c>
      <c r="L371" s="1">
        <f t="shared" si="44"/>
        <v>44653</v>
      </c>
      <c r="M371" s="1">
        <f>M370+9</f>
        <v>44661</v>
      </c>
      <c r="O371">
        <f t="shared" si="37"/>
        <v>5</v>
      </c>
      <c r="P371">
        <f t="shared" si="32"/>
        <v>40</v>
      </c>
      <c r="Q371">
        <f t="shared" si="33"/>
        <v>6</v>
      </c>
      <c r="R371">
        <f t="shared" si="34"/>
        <v>7</v>
      </c>
    </row>
    <row r="372" spans="6:18">
      <c r="F372" t="str">
        <f t="shared" si="43"/>
        <v>M7NCA</v>
      </c>
      <c r="G372" s="1">
        <f t="shared" si="36"/>
        <v>44662</v>
      </c>
      <c r="H372" t="s">
        <v>4432</v>
      </c>
      <c r="I372" t="s">
        <v>5385</v>
      </c>
      <c r="J372" t="str">
        <f t="shared" si="40"/>
        <v>Semana 26NCA</v>
      </c>
      <c r="K372" t="str">
        <f t="shared" si="42"/>
        <v>Semana 26
11/04/2022 - 17/04/2022</v>
      </c>
      <c r="L372" s="1">
        <f t="shared" si="44"/>
        <v>44662</v>
      </c>
      <c r="M372" s="1">
        <f t="shared" si="45"/>
        <v>44668</v>
      </c>
      <c r="O372">
        <f t="shared" si="37"/>
        <v>2</v>
      </c>
      <c r="P372">
        <f t="shared" si="32"/>
        <v>16</v>
      </c>
      <c r="Q372">
        <f t="shared" si="33"/>
        <v>1</v>
      </c>
      <c r="R372">
        <f t="shared" si="34"/>
        <v>7</v>
      </c>
    </row>
    <row r="373" spans="6:18">
      <c r="F373" t="str">
        <f t="shared" si="43"/>
        <v>M7NCA</v>
      </c>
      <c r="G373" s="1">
        <f t="shared" si="36"/>
        <v>44669</v>
      </c>
      <c r="H373" t="s">
        <v>4435</v>
      </c>
      <c r="I373" t="s">
        <v>5385</v>
      </c>
      <c r="J373" t="str">
        <f t="shared" si="40"/>
        <v>Semana 27NCA</v>
      </c>
      <c r="K373" t="str">
        <f t="shared" si="42"/>
        <v>Semana 27
18/04/2022 - 24/04/2022</v>
      </c>
      <c r="L373" s="1">
        <f t="shared" si="44"/>
        <v>44669</v>
      </c>
      <c r="M373" s="1">
        <f t="shared" si="45"/>
        <v>44675</v>
      </c>
      <c r="O373">
        <f t="shared" si="37"/>
        <v>5</v>
      </c>
      <c r="P373">
        <f t="shared" si="32"/>
        <v>40</v>
      </c>
      <c r="Q373">
        <f t="shared" si="33"/>
        <v>1</v>
      </c>
      <c r="R373">
        <f t="shared" si="34"/>
        <v>7</v>
      </c>
    </row>
    <row r="374" spans="6:18">
      <c r="F374" t="str">
        <f t="shared" si="43"/>
        <v>M7NCA</v>
      </c>
      <c r="G374" s="1">
        <f t="shared" si="36"/>
        <v>44676</v>
      </c>
      <c r="H374" t="s">
        <v>4438</v>
      </c>
      <c r="I374" t="s">
        <v>5385</v>
      </c>
      <c r="J374" t="str">
        <f t="shared" si="40"/>
        <v>Semana 28NCA</v>
      </c>
      <c r="K374" t="str">
        <f t="shared" si="42"/>
        <v>Semana 28
25/04/2022 - 01/05/2022</v>
      </c>
      <c r="L374" s="1">
        <f t="shared" si="44"/>
        <v>44676</v>
      </c>
      <c r="M374" s="1">
        <v>44682</v>
      </c>
      <c r="O374">
        <f t="shared" si="37"/>
        <v>5</v>
      </c>
      <c r="P374">
        <f t="shared" si="32"/>
        <v>40</v>
      </c>
      <c r="Q374">
        <f t="shared" si="33"/>
        <v>1</v>
      </c>
      <c r="R374">
        <f t="shared" si="34"/>
        <v>7</v>
      </c>
    </row>
    <row r="375" spans="6:18">
      <c r="F375" t="s">
        <v>5392</v>
      </c>
      <c r="G375" s="1">
        <f t="shared" si="36"/>
        <v>44683</v>
      </c>
      <c r="H375" t="s">
        <v>4441</v>
      </c>
      <c r="I375" t="s">
        <v>5385</v>
      </c>
      <c r="J375" t="str">
        <f t="shared" si="40"/>
        <v>Semana 29NCA</v>
      </c>
      <c r="K375" t="str">
        <f t="shared" si="42"/>
        <v>Semana 29
02/05/2022 - 08/05/2022</v>
      </c>
      <c r="L375" s="1">
        <f t="shared" si="44"/>
        <v>44683</v>
      </c>
      <c r="M375" s="1">
        <f t="shared" si="45"/>
        <v>44689</v>
      </c>
      <c r="O375">
        <f t="shared" ref="O375:O398" si="46">NETWORKDAYS(L375,M375,$U$133:$U$1000)</f>
        <v>5</v>
      </c>
      <c r="P375">
        <f t="shared" si="32"/>
        <v>40</v>
      </c>
      <c r="Q375">
        <f t="shared" si="33"/>
        <v>1</v>
      </c>
      <c r="R375">
        <f t="shared" si="34"/>
        <v>7</v>
      </c>
    </row>
    <row r="376" spans="6:18">
      <c r="F376" t="str">
        <f t="shared" si="43"/>
        <v>M8NCA</v>
      </c>
      <c r="G376" s="1">
        <f t="shared" si="36"/>
        <v>44690</v>
      </c>
      <c r="H376" t="s">
        <v>4445</v>
      </c>
      <c r="I376" t="s">
        <v>5385</v>
      </c>
      <c r="J376" t="str">
        <f t="shared" si="40"/>
        <v>Semana 30NCA</v>
      </c>
      <c r="K376" t="str">
        <f t="shared" si="42"/>
        <v>Semana 30
09/05/2022 - 15/05/2022</v>
      </c>
      <c r="L376" s="1">
        <f t="shared" si="44"/>
        <v>44690</v>
      </c>
      <c r="M376" s="1">
        <f t="shared" si="45"/>
        <v>44696</v>
      </c>
      <c r="O376">
        <f t="shared" si="46"/>
        <v>5</v>
      </c>
      <c r="P376">
        <f t="shared" si="32"/>
        <v>40</v>
      </c>
      <c r="Q376">
        <f t="shared" si="33"/>
        <v>1</v>
      </c>
      <c r="R376">
        <f t="shared" si="34"/>
        <v>7</v>
      </c>
    </row>
    <row r="377" spans="6:18">
      <c r="F377" t="str">
        <f t="shared" si="43"/>
        <v>M8NCA</v>
      </c>
      <c r="G377" s="1">
        <f t="shared" si="36"/>
        <v>44697</v>
      </c>
      <c r="H377" t="s">
        <v>4449</v>
      </c>
      <c r="I377" t="s">
        <v>5385</v>
      </c>
      <c r="J377" t="str">
        <f t="shared" si="40"/>
        <v>Semana 31NCA</v>
      </c>
      <c r="K377" t="str">
        <f t="shared" si="42"/>
        <v>Semana 31
16/05/2022 - 22/05/2022</v>
      </c>
      <c r="L377" s="1">
        <f t="shared" si="44"/>
        <v>44697</v>
      </c>
      <c r="M377" s="1">
        <f t="shared" si="45"/>
        <v>44703</v>
      </c>
      <c r="O377">
        <f t="shared" si="46"/>
        <v>5</v>
      </c>
      <c r="P377">
        <f t="shared" si="32"/>
        <v>40</v>
      </c>
      <c r="Q377">
        <f t="shared" si="33"/>
        <v>1</v>
      </c>
      <c r="R377">
        <f t="shared" si="34"/>
        <v>7</v>
      </c>
    </row>
    <row r="378" spans="6:18">
      <c r="F378" t="str">
        <f t="shared" si="43"/>
        <v>M8NCA</v>
      </c>
      <c r="G378" s="1">
        <f t="shared" si="36"/>
        <v>44704</v>
      </c>
      <c r="H378" t="s">
        <v>4453</v>
      </c>
      <c r="I378" t="s">
        <v>5385</v>
      </c>
      <c r="J378" t="str">
        <f t="shared" si="40"/>
        <v>Semana 32NCA</v>
      </c>
      <c r="K378" t="str">
        <f t="shared" si="42"/>
        <v>Semana 32
23/05/2022 - 01/06/2022</v>
      </c>
      <c r="L378" s="1">
        <f t="shared" si="44"/>
        <v>44704</v>
      </c>
      <c r="M378" s="1">
        <v>44713</v>
      </c>
      <c r="O378">
        <f t="shared" si="46"/>
        <v>8</v>
      </c>
      <c r="P378">
        <f t="shared" si="32"/>
        <v>64</v>
      </c>
      <c r="Q378">
        <f t="shared" si="33"/>
        <v>1</v>
      </c>
      <c r="R378">
        <f t="shared" si="34"/>
        <v>3</v>
      </c>
    </row>
    <row r="379" spans="6:18">
      <c r="F379" t="s">
        <v>5393</v>
      </c>
      <c r="G379" s="1">
        <f t="shared" si="36"/>
        <v>44714</v>
      </c>
      <c r="H379" t="s">
        <v>4457</v>
      </c>
      <c r="I379" t="s">
        <v>5385</v>
      </c>
      <c r="J379" t="str">
        <f t="shared" si="40"/>
        <v>Semana 33NCA</v>
      </c>
      <c r="K379" t="str">
        <f t="shared" si="42"/>
        <v>Semana 33
02/06/2022 - 12/06/2022</v>
      </c>
      <c r="L379" s="1">
        <f t="shared" si="44"/>
        <v>44714</v>
      </c>
      <c r="M379" s="1">
        <f>M378+11</f>
        <v>44724</v>
      </c>
      <c r="O379">
        <f t="shared" si="46"/>
        <v>7</v>
      </c>
      <c r="P379">
        <f t="shared" si="32"/>
        <v>56</v>
      </c>
      <c r="Q379">
        <f t="shared" si="33"/>
        <v>4</v>
      </c>
      <c r="R379">
        <f t="shared" si="34"/>
        <v>7</v>
      </c>
    </row>
    <row r="380" spans="6:18">
      <c r="F380" t="str">
        <f t="shared" ref="F380:F398" si="47">F379</f>
        <v>M9NCA</v>
      </c>
      <c r="G380" s="1">
        <f t="shared" si="36"/>
        <v>44725</v>
      </c>
      <c r="H380" t="s">
        <v>4459</v>
      </c>
      <c r="I380" t="s">
        <v>5385</v>
      </c>
      <c r="J380" t="str">
        <f t="shared" si="40"/>
        <v>Semana 34NCA</v>
      </c>
      <c r="K380" t="str">
        <f t="shared" si="42"/>
        <v>Semana 34
13/06/2022 - 19/06/2022</v>
      </c>
      <c r="L380" s="1">
        <f t="shared" si="44"/>
        <v>44725</v>
      </c>
      <c r="M380" s="1">
        <f t="shared" si="45"/>
        <v>44731</v>
      </c>
      <c r="O380">
        <f t="shared" si="46"/>
        <v>5</v>
      </c>
      <c r="P380">
        <f t="shared" si="32"/>
        <v>40</v>
      </c>
      <c r="Q380">
        <f t="shared" si="33"/>
        <v>1</v>
      </c>
      <c r="R380">
        <f t="shared" si="34"/>
        <v>7</v>
      </c>
    </row>
    <row r="381" spans="6:18">
      <c r="F381" t="str">
        <f t="shared" si="47"/>
        <v>M9NCA</v>
      </c>
      <c r="G381" s="1">
        <f t="shared" si="36"/>
        <v>44732</v>
      </c>
      <c r="H381" t="s">
        <v>4461</v>
      </c>
      <c r="I381" t="s">
        <v>5385</v>
      </c>
      <c r="J381" t="str">
        <f t="shared" si="40"/>
        <v>Semana 35NCA</v>
      </c>
      <c r="K381" t="str">
        <f t="shared" si="42"/>
        <v>Semana 35
20/06/2022 - 26/06/2022</v>
      </c>
      <c r="L381" s="1">
        <f t="shared" si="44"/>
        <v>44732</v>
      </c>
      <c r="M381" s="1">
        <f t="shared" si="45"/>
        <v>44738</v>
      </c>
      <c r="O381">
        <f t="shared" si="46"/>
        <v>5</v>
      </c>
      <c r="P381">
        <f t="shared" si="32"/>
        <v>40</v>
      </c>
      <c r="Q381">
        <f t="shared" si="33"/>
        <v>1</v>
      </c>
      <c r="R381">
        <f t="shared" si="34"/>
        <v>7</v>
      </c>
    </row>
    <row r="382" spans="6:18">
      <c r="F382" t="str">
        <f t="shared" si="47"/>
        <v>M9NCA</v>
      </c>
      <c r="G382" s="1">
        <f t="shared" si="36"/>
        <v>44739</v>
      </c>
      <c r="H382" t="s">
        <v>4463</v>
      </c>
      <c r="I382" t="s">
        <v>5385</v>
      </c>
      <c r="J382" t="str">
        <f t="shared" si="40"/>
        <v>Semana 36NCA</v>
      </c>
      <c r="K382" t="str">
        <f t="shared" si="42"/>
        <v>Semana 36
27/06/2022 - 01/07/2022</v>
      </c>
      <c r="L382" s="1">
        <f t="shared" si="44"/>
        <v>44739</v>
      </c>
      <c r="M382" s="1">
        <v>44743</v>
      </c>
      <c r="O382">
        <f t="shared" si="46"/>
        <v>5</v>
      </c>
      <c r="P382">
        <f t="shared" si="32"/>
        <v>40</v>
      </c>
      <c r="Q382">
        <f t="shared" si="33"/>
        <v>1</v>
      </c>
      <c r="R382">
        <f t="shared" si="34"/>
        <v>5</v>
      </c>
    </row>
    <row r="383" spans="6:18">
      <c r="F383" t="s">
        <v>5394</v>
      </c>
      <c r="G383" s="1">
        <f t="shared" si="36"/>
        <v>44744</v>
      </c>
      <c r="H383" t="s">
        <v>4465</v>
      </c>
      <c r="I383" t="s">
        <v>5385</v>
      </c>
      <c r="J383" t="str">
        <f t="shared" si="40"/>
        <v>Semana 37NCA</v>
      </c>
      <c r="K383" t="str">
        <f t="shared" si="42"/>
        <v>Semana 37
02/07/2022 - 10/07/2022</v>
      </c>
      <c r="L383" s="1">
        <f t="shared" si="44"/>
        <v>44744</v>
      </c>
      <c r="M383" s="1">
        <f>M382+9</f>
        <v>44752</v>
      </c>
      <c r="O383">
        <f t="shared" si="46"/>
        <v>5</v>
      </c>
      <c r="P383">
        <f t="shared" si="32"/>
        <v>40</v>
      </c>
      <c r="Q383">
        <f t="shared" si="33"/>
        <v>6</v>
      </c>
      <c r="R383">
        <f t="shared" si="34"/>
        <v>7</v>
      </c>
    </row>
    <row r="384" spans="6:18">
      <c r="F384" t="str">
        <f t="shared" si="47"/>
        <v>M10NCA</v>
      </c>
      <c r="G384" s="1">
        <f t="shared" si="36"/>
        <v>44753</v>
      </c>
      <c r="H384" t="s">
        <v>4467</v>
      </c>
      <c r="I384" t="s">
        <v>5385</v>
      </c>
      <c r="J384" t="str">
        <f t="shared" si="40"/>
        <v>Semana 38NCA</v>
      </c>
      <c r="K384" t="str">
        <f t="shared" si="42"/>
        <v>Semana 38
11/07/2022 - 17/07/2022</v>
      </c>
      <c r="L384" s="1">
        <f t="shared" si="44"/>
        <v>44753</v>
      </c>
      <c r="M384" s="1">
        <f t="shared" si="45"/>
        <v>44759</v>
      </c>
      <c r="O384">
        <f t="shared" si="46"/>
        <v>5</v>
      </c>
      <c r="P384">
        <f t="shared" si="32"/>
        <v>40</v>
      </c>
      <c r="Q384">
        <f t="shared" si="33"/>
        <v>1</v>
      </c>
      <c r="R384">
        <f t="shared" si="34"/>
        <v>7</v>
      </c>
    </row>
    <row r="385" spans="5:18">
      <c r="F385" t="str">
        <f t="shared" si="47"/>
        <v>M10NCA</v>
      </c>
      <c r="G385" s="1">
        <f t="shared" si="36"/>
        <v>44760</v>
      </c>
      <c r="H385" t="s">
        <v>4469</v>
      </c>
      <c r="I385" t="s">
        <v>5385</v>
      </c>
      <c r="J385" t="str">
        <f t="shared" si="40"/>
        <v>Semana 39NCA</v>
      </c>
      <c r="K385" t="str">
        <f t="shared" si="42"/>
        <v>Semana 39
18/07/2022 - 24/07/2022</v>
      </c>
      <c r="L385" s="1">
        <f t="shared" si="44"/>
        <v>44760</v>
      </c>
      <c r="M385" s="1">
        <f t="shared" si="45"/>
        <v>44766</v>
      </c>
      <c r="O385">
        <f t="shared" si="46"/>
        <v>5</v>
      </c>
      <c r="P385">
        <f t="shared" si="32"/>
        <v>40</v>
      </c>
      <c r="Q385">
        <f t="shared" si="33"/>
        <v>1</v>
      </c>
      <c r="R385">
        <f t="shared" si="34"/>
        <v>7</v>
      </c>
    </row>
    <row r="386" spans="5:18">
      <c r="F386" t="str">
        <f t="shared" si="47"/>
        <v>M10NCA</v>
      </c>
      <c r="G386" s="1">
        <f t="shared" si="36"/>
        <v>44767</v>
      </c>
      <c r="H386" t="s">
        <v>4471</v>
      </c>
      <c r="I386" t="s">
        <v>5385</v>
      </c>
      <c r="J386" t="str">
        <f t="shared" si="40"/>
        <v>Semana 40NCA</v>
      </c>
      <c r="K386" t="str">
        <f t="shared" si="42"/>
        <v>Semana 40
25/07/2022 - 01/08/2022</v>
      </c>
      <c r="L386" s="1">
        <f t="shared" si="44"/>
        <v>44767</v>
      </c>
      <c r="M386" s="1">
        <v>44774</v>
      </c>
      <c r="O386">
        <f t="shared" si="46"/>
        <v>5</v>
      </c>
      <c r="P386">
        <f t="shared" si="32"/>
        <v>40</v>
      </c>
      <c r="Q386">
        <f t="shared" si="33"/>
        <v>1</v>
      </c>
      <c r="R386">
        <f t="shared" si="34"/>
        <v>1</v>
      </c>
    </row>
    <row r="387" spans="5:18">
      <c r="F387" t="s">
        <v>5395</v>
      </c>
      <c r="G387" s="1">
        <f t="shared" si="36"/>
        <v>44775</v>
      </c>
      <c r="H387" t="s">
        <v>4473</v>
      </c>
      <c r="I387" t="s">
        <v>5385</v>
      </c>
      <c r="J387" t="str">
        <f t="shared" si="40"/>
        <v>Semana 41NCA</v>
      </c>
      <c r="K387" t="str">
        <f t="shared" si="42"/>
        <v>Semana 41
02/08/2022 - 14/08/2022</v>
      </c>
      <c r="L387" s="1">
        <f t="shared" si="44"/>
        <v>44775</v>
      </c>
      <c r="M387" s="39">
        <f>M386+13</f>
        <v>44787</v>
      </c>
      <c r="O387" s="3">
        <f t="shared" si="46"/>
        <v>8</v>
      </c>
      <c r="P387">
        <f t="shared" si="32"/>
        <v>64</v>
      </c>
      <c r="Q387">
        <f t="shared" si="33"/>
        <v>2</v>
      </c>
      <c r="R387">
        <f t="shared" si="34"/>
        <v>7</v>
      </c>
    </row>
    <row r="388" spans="5:18">
      <c r="F388" t="str">
        <f t="shared" si="47"/>
        <v>M11NCA</v>
      </c>
      <c r="G388" s="1">
        <f t="shared" si="36"/>
        <v>44788</v>
      </c>
      <c r="H388" t="s">
        <v>4475</v>
      </c>
      <c r="I388" t="s">
        <v>5385</v>
      </c>
      <c r="J388" t="str">
        <f t="shared" si="40"/>
        <v>Semana 42NCA</v>
      </c>
      <c r="K388" t="str">
        <f t="shared" si="42"/>
        <v>Semana 42
15/08/2022 - 21/08/2022</v>
      </c>
      <c r="L388" s="1">
        <f t="shared" si="44"/>
        <v>44788</v>
      </c>
      <c r="M388" s="1">
        <f t="shared" si="45"/>
        <v>44794</v>
      </c>
      <c r="O388">
        <f t="shared" si="46"/>
        <v>4</v>
      </c>
      <c r="P388">
        <f t="shared" si="32"/>
        <v>32</v>
      </c>
      <c r="Q388">
        <f t="shared" si="33"/>
        <v>1</v>
      </c>
      <c r="R388">
        <f t="shared" si="34"/>
        <v>7</v>
      </c>
    </row>
    <row r="389" spans="5:18">
      <c r="F389" t="str">
        <f t="shared" si="47"/>
        <v>M11NCA</v>
      </c>
      <c r="G389" s="1">
        <f t="shared" si="36"/>
        <v>44795</v>
      </c>
      <c r="H389" t="s">
        <v>4477</v>
      </c>
      <c r="I389" t="s">
        <v>5385</v>
      </c>
      <c r="J389" t="str">
        <f t="shared" si="40"/>
        <v>Semana 43NCA</v>
      </c>
      <c r="K389" t="str">
        <f t="shared" si="42"/>
        <v>Semana 43
22/08/2022 - 28/08/2022</v>
      </c>
      <c r="L389" s="1">
        <f t="shared" si="44"/>
        <v>44795</v>
      </c>
      <c r="M389" s="1">
        <f t="shared" si="45"/>
        <v>44801</v>
      </c>
      <c r="O389">
        <f t="shared" si="46"/>
        <v>5</v>
      </c>
      <c r="P389">
        <f t="shared" si="32"/>
        <v>40</v>
      </c>
      <c r="Q389">
        <f t="shared" si="33"/>
        <v>1</v>
      </c>
      <c r="R389">
        <f t="shared" si="34"/>
        <v>7</v>
      </c>
    </row>
    <row r="390" spans="5:18">
      <c r="F390" t="str">
        <f t="shared" si="47"/>
        <v>M11NCA</v>
      </c>
      <c r="G390" s="1">
        <f t="shared" si="36"/>
        <v>44802</v>
      </c>
      <c r="H390" t="s">
        <v>4479</v>
      </c>
      <c r="I390" t="s">
        <v>5385</v>
      </c>
      <c r="J390" t="str">
        <f t="shared" si="40"/>
        <v>Semana 44NCA</v>
      </c>
      <c r="K390" t="str">
        <f t="shared" si="42"/>
        <v>Semana 44
29/08/2022 - 01/09/2022</v>
      </c>
      <c r="L390" s="1">
        <f t="shared" si="44"/>
        <v>44802</v>
      </c>
      <c r="M390" s="1">
        <v>44805</v>
      </c>
      <c r="O390">
        <f t="shared" si="46"/>
        <v>4</v>
      </c>
      <c r="P390">
        <f t="shared" si="32"/>
        <v>32</v>
      </c>
      <c r="Q390">
        <f t="shared" si="33"/>
        <v>1</v>
      </c>
      <c r="R390">
        <f t="shared" si="34"/>
        <v>4</v>
      </c>
    </row>
    <row r="391" spans="5:18">
      <c r="F391" t="s">
        <v>5396</v>
      </c>
      <c r="G391" s="1">
        <f t="shared" si="36"/>
        <v>44806</v>
      </c>
      <c r="H391" t="s">
        <v>4481</v>
      </c>
      <c r="I391" t="s">
        <v>5385</v>
      </c>
      <c r="J391" t="str">
        <f t="shared" si="40"/>
        <v>Semana 45NCA</v>
      </c>
      <c r="K391" t="str">
        <f t="shared" si="42"/>
        <v>Semana 45
02/09/2022 - 11/09/2022</v>
      </c>
      <c r="L391" s="1">
        <f t="shared" si="44"/>
        <v>44806</v>
      </c>
      <c r="M391" s="1">
        <f>M390+10</f>
        <v>44815</v>
      </c>
      <c r="O391">
        <f t="shared" si="46"/>
        <v>6</v>
      </c>
      <c r="P391">
        <f t="shared" si="32"/>
        <v>48</v>
      </c>
      <c r="Q391">
        <f t="shared" si="33"/>
        <v>5</v>
      </c>
      <c r="R391">
        <f t="shared" si="34"/>
        <v>7</v>
      </c>
    </row>
    <row r="392" spans="5:18">
      <c r="F392" t="str">
        <f t="shared" si="47"/>
        <v>M12NCA</v>
      </c>
      <c r="G392" s="1">
        <f t="shared" si="36"/>
        <v>44816</v>
      </c>
      <c r="H392" t="s">
        <v>4483</v>
      </c>
      <c r="I392" t="s">
        <v>5385</v>
      </c>
      <c r="J392" t="str">
        <f t="shared" si="40"/>
        <v>Semana 46NCA</v>
      </c>
      <c r="K392" t="str">
        <f t="shared" si="42"/>
        <v>Semana 46
12/09/2022 - 18/09/2022</v>
      </c>
      <c r="L392" s="1">
        <f t="shared" si="44"/>
        <v>44816</v>
      </c>
      <c r="M392" s="1">
        <f t="shared" si="45"/>
        <v>44822</v>
      </c>
      <c r="O392">
        <f t="shared" si="46"/>
        <v>5</v>
      </c>
      <c r="P392">
        <f t="shared" si="32"/>
        <v>40</v>
      </c>
      <c r="Q392">
        <f t="shared" si="33"/>
        <v>1</v>
      </c>
      <c r="R392">
        <f t="shared" si="34"/>
        <v>7</v>
      </c>
    </row>
    <row r="393" spans="5:18">
      <c r="F393" t="str">
        <f t="shared" si="47"/>
        <v>M12NCA</v>
      </c>
      <c r="G393" s="1">
        <f t="shared" si="36"/>
        <v>44823</v>
      </c>
      <c r="H393" t="s">
        <v>4485</v>
      </c>
      <c r="I393" t="s">
        <v>5385</v>
      </c>
      <c r="J393" t="str">
        <f t="shared" si="40"/>
        <v>Semana 47NCA</v>
      </c>
      <c r="K393" t="str">
        <f t="shared" si="42"/>
        <v>Semana 47
19/09/2022 - 25/09/2022</v>
      </c>
      <c r="L393" s="1">
        <f t="shared" si="44"/>
        <v>44823</v>
      </c>
      <c r="M393" s="1">
        <f t="shared" si="45"/>
        <v>44829</v>
      </c>
      <c r="O393">
        <f t="shared" si="46"/>
        <v>4</v>
      </c>
      <c r="P393">
        <f t="shared" si="32"/>
        <v>32</v>
      </c>
      <c r="Q393">
        <f t="shared" si="33"/>
        <v>1</v>
      </c>
      <c r="R393">
        <f t="shared" si="34"/>
        <v>7</v>
      </c>
    </row>
    <row r="394" spans="5:18">
      <c r="F394" t="str">
        <f t="shared" si="47"/>
        <v>M12NCA</v>
      </c>
      <c r="G394" s="1">
        <f t="shared" si="36"/>
        <v>44830</v>
      </c>
      <c r="H394" t="s">
        <v>4487</v>
      </c>
      <c r="I394" t="s">
        <v>5385</v>
      </c>
      <c r="J394" t="str">
        <f t="shared" si="40"/>
        <v>Semana 48NCA</v>
      </c>
      <c r="K394" t="str">
        <f t="shared" si="42"/>
        <v>Semana 48
26/09/2022 - 01/10/2022</v>
      </c>
      <c r="L394" s="1">
        <f t="shared" si="44"/>
        <v>44830</v>
      </c>
      <c r="M394" s="1">
        <v>44835</v>
      </c>
      <c r="O394">
        <f t="shared" si="46"/>
        <v>5</v>
      </c>
      <c r="P394">
        <f t="shared" si="32"/>
        <v>40</v>
      </c>
      <c r="Q394">
        <f t="shared" si="33"/>
        <v>1</v>
      </c>
      <c r="R394">
        <f t="shared" si="34"/>
        <v>6</v>
      </c>
    </row>
    <row r="395" spans="5:18">
      <c r="F395" t="s">
        <v>5397</v>
      </c>
      <c r="G395" s="1">
        <f t="shared" si="36"/>
        <v>44836</v>
      </c>
      <c r="H395" t="s">
        <v>4489</v>
      </c>
      <c r="I395" t="s">
        <v>5385</v>
      </c>
      <c r="J395" t="str">
        <f t="shared" si="40"/>
        <v>Semana 49NCA</v>
      </c>
      <c r="K395" t="str">
        <f t="shared" si="42"/>
        <v>Semana 49
02/10/2022 - 09/10/2022</v>
      </c>
      <c r="L395" s="1">
        <f t="shared" si="44"/>
        <v>44836</v>
      </c>
      <c r="M395" s="1">
        <f>M394+8</f>
        <v>44843</v>
      </c>
      <c r="O395">
        <f t="shared" si="46"/>
        <v>5</v>
      </c>
      <c r="P395">
        <f t="shared" si="32"/>
        <v>40</v>
      </c>
      <c r="Q395">
        <f t="shared" si="33"/>
        <v>7</v>
      </c>
      <c r="R395">
        <f t="shared" si="34"/>
        <v>7</v>
      </c>
    </row>
    <row r="396" spans="5:18">
      <c r="F396" t="str">
        <f t="shared" si="47"/>
        <v>M13NCA</v>
      </c>
      <c r="G396" s="1">
        <f t="shared" si="36"/>
        <v>44844</v>
      </c>
      <c r="H396" t="s">
        <v>4491</v>
      </c>
      <c r="I396" t="s">
        <v>5385</v>
      </c>
      <c r="J396" t="str">
        <f t="shared" si="40"/>
        <v>Semana 50NCA</v>
      </c>
      <c r="K396" t="str">
        <f t="shared" si="42"/>
        <v>Semana 50
10/10/2022 - 16/10/2022</v>
      </c>
      <c r="L396" s="1">
        <f t="shared" si="44"/>
        <v>44844</v>
      </c>
      <c r="M396" s="1">
        <f t="shared" si="45"/>
        <v>44850</v>
      </c>
      <c r="O396">
        <f t="shared" si="46"/>
        <v>5</v>
      </c>
      <c r="P396">
        <f t="shared" si="32"/>
        <v>40</v>
      </c>
      <c r="Q396">
        <f t="shared" si="33"/>
        <v>1</v>
      </c>
      <c r="R396">
        <f t="shared" si="34"/>
        <v>7</v>
      </c>
    </row>
    <row r="397" spans="5:18">
      <c r="F397" t="str">
        <f t="shared" si="47"/>
        <v>M13NCA</v>
      </c>
      <c r="G397" s="1">
        <f t="shared" si="36"/>
        <v>44851</v>
      </c>
      <c r="H397" t="s">
        <v>4493</v>
      </c>
      <c r="I397" t="s">
        <v>5385</v>
      </c>
      <c r="J397" t="str">
        <f t="shared" si="40"/>
        <v>Semana 51NCA</v>
      </c>
      <c r="K397" t="str">
        <f t="shared" si="42"/>
        <v>Semana 51
17/10/2022 - 23/10/2022</v>
      </c>
      <c r="L397" s="1">
        <f t="shared" si="44"/>
        <v>44851</v>
      </c>
      <c r="M397" s="1">
        <f t="shared" si="45"/>
        <v>44857</v>
      </c>
      <c r="O397">
        <f t="shared" si="46"/>
        <v>5</v>
      </c>
      <c r="P397">
        <f t="shared" si="32"/>
        <v>40</v>
      </c>
      <c r="Q397">
        <f t="shared" si="33"/>
        <v>1</v>
      </c>
      <c r="R397">
        <f t="shared" si="34"/>
        <v>7</v>
      </c>
    </row>
    <row r="398" spans="5:18">
      <c r="F398" t="str">
        <f t="shared" si="47"/>
        <v>M13NCA</v>
      </c>
      <c r="G398" s="1">
        <f t="shared" si="36"/>
        <v>44858</v>
      </c>
      <c r="H398" t="s">
        <v>4495</v>
      </c>
      <c r="I398" t="s">
        <v>5385</v>
      </c>
      <c r="J398" t="str">
        <f t="shared" si="40"/>
        <v>Semana 52NCA</v>
      </c>
      <c r="K398" s="3" t="str">
        <f t="shared" si="42"/>
        <v>Semana 52
24/10/2022 - 01/11/2022</v>
      </c>
      <c r="L398" s="1">
        <f t="shared" si="44"/>
        <v>44858</v>
      </c>
      <c r="M398" s="1">
        <v>44866</v>
      </c>
      <c r="O398">
        <f t="shared" si="46"/>
        <v>7</v>
      </c>
      <c r="P398">
        <f t="shared" si="32"/>
        <v>56</v>
      </c>
      <c r="Q398">
        <f t="shared" si="33"/>
        <v>1</v>
      </c>
      <c r="R398">
        <f t="shared" si="34"/>
        <v>2</v>
      </c>
    </row>
    <row r="399" spans="5:18">
      <c r="F399" t="s">
        <v>5973</v>
      </c>
      <c r="G399" s="1">
        <f t="shared" si="36"/>
        <v>44867</v>
      </c>
      <c r="H399" t="s">
        <v>5299</v>
      </c>
      <c r="J399" t="str">
        <f t="shared" si="40"/>
        <v>Semana Inv</v>
      </c>
      <c r="K399" t="str">
        <f t="shared" si="42"/>
        <v>Semana Inv
02/11/2022 - 27/12/2022</v>
      </c>
      <c r="L399" s="1">
        <f>M398+1</f>
        <v>44867</v>
      </c>
      <c r="M399" s="1">
        <v>44922</v>
      </c>
      <c r="O399">
        <f>NETWORKDAYS(L399,M399,$U$133:$U$1000)</f>
        <v>39</v>
      </c>
      <c r="P399">
        <f t="shared" si="32"/>
        <v>312</v>
      </c>
      <c r="Q399">
        <f t="shared" si="33"/>
        <v>3</v>
      </c>
      <c r="R399">
        <f t="shared" si="34"/>
        <v>2</v>
      </c>
    </row>
    <row r="400" spans="5:18">
      <c r="E400">
        <v>1</v>
      </c>
      <c r="F400" t="str">
        <f>"M"&amp;TEXT(E400,"00")&amp;I400</f>
        <v>M01CI</v>
      </c>
      <c r="G400" s="1">
        <f t="shared" si="36"/>
        <v>44923</v>
      </c>
      <c r="H400" s="8" t="s">
        <v>5974</v>
      </c>
      <c r="I400" t="s">
        <v>304</v>
      </c>
      <c r="J400" t="str">
        <f>H400</f>
        <v>Semana 01CI</v>
      </c>
      <c r="K400" t="str">
        <f t="shared" si="42"/>
        <v>Semana 01CI
28/12/2022 - 08/01/2023</v>
      </c>
      <c r="L400" s="34">
        <v>44923</v>
      </c>
      <c r="M400" s="34">
        <v>44934</v>
      </c>
      <c r="O400" s="32">
        <v>8</v>
      </c>
      <c r="P400">
        <v>64</v>
      </c>
    </row>
    <row r="401" spans="5:16">
      <c r="E401">
        <v>1</v>
      </c>
      <c r="F401" t="str">
        <f t="shared" ref="F401:F447" si="48">"M"&amp;TEXT(E401,"00")&amp;I401</f>
        <v>M01CI</v>
      </c>
      <c r="G401" s="1">
        <f t="shared" ref="G401:G464" si="49">L401</f>
        <v>44935</v>
      </c>
      <c r="H401" s="8" t="s">
        <v>5975</v>
      </c>
      <c r="I401" t="s">
        <v>304</v>
      </c>
      <c r="J401" t="str">
        <f t="shared" ref="J401:J447" si="50">H401</f>
        <v>Semana 02CI</v>
      </c>
      <c r="K401" t="str">
        <f t="shared" si="42"/>
        <v>Semana 02CI
09/01/2023 - 15/01/2023</v>
      </c>
      <c r="L401" s="34">
        <v>44935</v>
      </c>
      <c r="M401" s="34">
        <v>44941</v>
      </c>
      <c r="O401" s="32">
        <v>5</v>
      </c>
      <c r="P401">
        <v>40</v>
      </c>
    </row>
    <row r="402" spans="5:16">
      <c r="E402">
        <v>1</v>
      </c>
      <c r="F402" t="str">
        <f t="shared" si="48"/>
        <v>M01CI</v>
      </c>
      <c r="G402" s="1">
        <f t="shared" si="49"/>
        <v>44942</v>
      </c>
      <c r="H402" s="8" t="s">
        <v>5976</v>
      </c>
      <c r="I402" t="s">
        <v>304</v>
      </c>
      <c r="J402" t="str">
        <f t="shared" si="50"/>
        <v>Semana 03CI</v>
      </c>
      <c r="K402" t="str">
        <f t="shared" si="42"/>
        <v>Semana 03CI
16/01/2023 - 22/01/2023</v>
      </c>
      <c r="L402" s="34">
        <v>44942</v>
      </c>
      <c r="M402" s="34">
        <v>44948</v>
      </c>
      <c r="O402" s="32">
        <v>5</v>
      </c>
      <c r="P402">
        <v>40</v>
      </c>
    </row>
    <row r="403" spans="5:16">
      <c r="E403">
        <v>1</v>
      </c>
      <c r="F403" t="str">
        <f t="shared" si="48"/>
        <v>M01CI</v>
      </c>
      <c r="G403" s="1">
        <f t="shared" si="49"/>
        <v>44949</v>
      </c>
      <c r="H403" s="8" t="s">
        <v>5977</v>
      </c>
      <c r="I403" t="s">
        <v>304</v>
      </c>
      <c r="J403" t="str">
        <f t="shared" si="50"/>
        <v>Semana 04CI</v>
      </c>
      <c r="K403" t="str">
        <f t="shared" si="42"/>
        <v>Semana 04CI
23/01/2023 - 27/01/2023</v>
      </c>
      <c r="L403" s="34">
        <v>44949</v>
      </c>
      <c r="M403" s="34">
        <v>44953</v>
      </c>
      <c r="O403" s="32">
        <v>5</v>
      </c>
      <c r="P403">
        <v>40</v>
      </c>
    </row>
    <row r="404" spans="5:16">
      <c r="E404">
        <f>E400+1</f>
        <v>2</v>
      </c>
      <c r="F404" t="str">
        <f t="shared" si="48"/>
        <v>M02CI</v>
      </c>
      <c r="G404" s="1">
        <f t="shared" si="49"/>
        <v>44954</v>
      </c>
      <c r="H404" s="8" t="s">
        <v>5978</v>
      </c>
      <c r="I404" t="s">
        <v>304</v>
      </c>
      <c r="J404" t="str">
        <f t="shared" si="50"/>
        <v>Semana 05CI</v>
      </c>
      <c r="K404" t="str">
        <f t="shared" si="42"/>
        <v>Semana 05CI
28/01/2023 - 05/02/2023</v>
      </c>
      <c r="L404" s="34">
        <v>44954</v>
      </c>
      <c r="M404" s="34">
        <v>44962</v>
      </c>
      <c r="O404" s="32">
        <v>5</v>
      </c>
      <c r="P404">
        <v>40</v>
      </c>
    </row>
    <row r="405" spans="5:16">
      <c r="E405">
        <f t="shared" ref="E405:E447" si="51">E401+1</f>
        <v>2</v>
      </c>
      <c r="F405" t="str">
        <f t="shared" si="48"/>
        <v>M02CI</v>
      </c>
      <c r="G405" s="1">
        <f t="shared" si="49"/>
        <v>44963</v>
      </c>
      <c r="H405" s="8" t="s">
        <v>5979</v>
      </c>
      <c r="I405" t="s">
        <v>304</v>
      </c>
      <c r="J405" t="str">
        <f t="shared" si="50"/>
        <v>Semana 06CI</v>
      </c>
      <c r="K405" t="str">
        <f t="shared" si="42"/>
        <v>Semana 06CI
06/02/2023 - 12/02/2023</v>
      </c>
      <c r="L405" s="34">
        <v>44963</v>
      </c>
      <c r="M405" s="34">
        <v>44969</v>
      </c>
      <c r="O405" s="32">
        <v>5</v>
      </c>
      <c r="P405">
        <v>40</v>
      </c>
    </row>
    <row r="406" spans="5:16">
      <c r="E406">
        <f t="shared" si="51"/>
        <v>2</v>
      </c>
      <c r="F406" t="str">
        <f t="shared" si="48"/>
        <v>M02CI</v>
      </c>
      <c r="G406" s="1">
        <f t="shared" si="49"/>
        <v>44970</v>
      </c>
      <c r="H406" s="8" t="s">
        <v>5980</v>
      </c>
      <c r="I406" t="s">
        <v>304</v>
      </c>
      <c r="J406" t="str">
        <f t="shared" si="50"/>
        <v>Semana 07CI</v>
      </c>
      <c r="K406" t="str">
        <f t="shared" si="42"/>
        <v>Semana 07CI
13/02/2023 - 19/02/2023</v>
      </c>
      <c r="L406" s="34">
        <v>44970</v>
      </c>
      <c r="M406" s="34">
        <v>44976</v>
      </c>
      <c r="O406" s="32">
        <v>5</v>
      </c>
      <c r="P406">
        <v>40</v>
      </c>
    </row>
    <row r="407" spans="5:16">
      <c r="E407">
        <f t="shared" si="51"/>
        <v>2</v>
      </c>
      <c r="F407" t="str">
        <f t="shared" si="48"/>
        <v>M02CI</v>
      </c>
      <c r="G407" s="1">
        <f t="shared" si="49"/>
        <v>44977</v>
      </c>
      <c r="H407" s="8" t="s">
        <v>5981</v>
      </c>
      <c r="I407" t="s">
        <v>304</v>
      </c>
      <c r="J407" t="str">
        <f t="shared" si="50"/>
        <v>Semana 08CI</v>
      </c>
      <c r="K407" t="str">
        <f t="shared" si="42"/>
        <v>Semana 08CI
20/02/2023 - 27/02/2023</v>
      </c>
      <c r="L407" s="34">
        <v>44977</v>
      </c>
      <c r="M407" s="34">
        <v>44984</v>
      </c>
      <c r="O407" s="32">
        <v>6</v>
      </c>
      <c r="P407">
        <v>48</v>
      </c>
    </row>
    <row r="408" spans="5:16">
      <c r="E408">
        <f t="shared" si="51"/>
        <v>3</v>
      </c>
      <c r="F408" t="str">
        <f t="shared" si="48"/>
        <v>M03CI</v>
      </c>
      <c r="G408" s="1">
        <f t="shared" si="49"/>
        <v>44985</v>
      </c>
      <c r="H408" s="8" t="s">
        <v>5982</v>
      </c>
      <c r="I408" t="s">
        <v>304</v>
      </c>
      <c r="J408" t="str">
        <f t="shared" si="50"/>
        <v>Semana 09CI</v>
      </c>
      <c r="K408" t="str">
        <f t="shared" si="42"/>
        <v>Semana 09CI
28/02/2023 - 05/03/2023</v>
      </c>
      <c r="L408" s="34">
        <v>44985</v>
      </c>
      <c r="M408" s="34">
        <v>44990</v>
      </c>
      <c r="O408" s="32">
        <v>4</v>
      </c>
      <c r="P408">
        <v>32</v>
      </c>
    </row>
    <row r="409" spans="5:16">
      <c r="E409">
        <f t="shared" si="51"/>
        <v>3</v>
      </c>
      <c r="F409" t="str">
        <f t="shared" si="48"/>
        <v>M03CI</v>
      </c>
      <c r="G409" s="1">
        <f t="shared" si="49"/>
        <v>44991</v>
      </c>
      <c r="H409" s="8" t="s">
        <v>5983</v>
      </c>
      <c r="I409" t="s">
        <v>304</v>
      </c>
      <c r="J409" t="str">
        <f t="shared" si="50"/>
        <v>Semana 10CI</v>
      </c>
      <c r="K409" t="str">
        <f t="shared" si="42"/>
        <v>Semana 10CI
06/03/2023 - 12/03/2023</v>
      </c>
      <c r="L409" s="34">
        <v>44991</v>
      </c>
      <c r="M409" s="34">
        <v>44997</v>
      </c>
      <c r="O409" s="32">
        <v>5</v>
      </c>
      <c r="P409">
        <v>40</v>
      </c>
    </row>
    <row r="410" spans="5:16">
      <c r="E410">
        <f t="shared" si="51"/>
        <v>3</v>
      </c>
      <c r="F410" t="str">
        <f t="shared" si="48"/>
        <v>M03CI</v>
      </c>
      <c r="G410" s="1">
        <f t="shared" si="49"/>
        <v>44998</v>
      </c>
      <c r="H410" s="8" t="s">
        <v>5984</v>
      </c>
      <c r="I410" t="s">
        <v>304</v>
      </c>
      <c r="J410" t="str">
        <f t="shared" si="50"/>
        <v>Semana 11CI</v>
      </c>
      <c r="K410" t="str">
        <f t="shared" si="42"/>
        <v>Semana 11CI
13/03/2023 - 19/03/2023</v>
      </c>
      <c r="L410" s="34">
        <v>44998</v>
      </c>
      <c r="M410" s="34">
        <v>45004</v>
      </c>
      <c r="O410" s="32">
        <v>5</v>
      </c>
      <c r="P410">
        <v>40</v>
      </c>
    </row>
    <row r="411" spans="5:16">
      <c r="E411">
        <f t="shared" si="51"/>
        <v>3</v>
      </c>
      <c r="F411" t="str">
        <f t="shared" si="48"/>
        <v>M03CI</v>
      </c>
      <c r="G411" s="1">
        <f t="shared" si="49"/>
        <v>45005</v>
      </c>
      <c r="H411" s="8" t="s">
        <v>5985</v>
      </c>
      <c r="I411" t="s">
        <v>304</v>
      </c>
      <c r="J411" t="str">
        <f t="shared" si="50"/>
        <v>Semana 12CI</v>
      </c>
      <c r="K411" t="str">
        <f t="shared" ref="K411:K474" si="52">H411&amp;"
"&amp;TEXT(L411,"dd/mm/ee")&amp;" - "&amp;TEXT(M411,"dd/mm/ee")</f>
        <v>Semana 12CI
20/03/2023 - 27/03/2023</v>
      </c>
      <c r="L411" s="34">
        <v>45005</v>
      </c>
      <c r="M411" s="34">
        <v>45012</v>
      </c>
      <c r="O411" s="32">
        <v>6</v>
      </c>
      <c r="P411">
        <v>48</v>
      </c>
    </row>
    <row r="412" spans="5:16">
      <c r="E412">
        <f t="shared" si="51"/>
        <v>4</v>
      </c>
      <c r="F412" t="str">
        <f t="shared" si="48"/>
        <v>M04CI</v>
      </c>
      <c r="G412" s="1">
        <f t="shared" si="49"/>
        <v>45013</v>
      </c>
      <c r="H412" s="8" t="s">
        <v>5986</v>
      </c>
      <c r="I412" t="s">
        <v>304</v>
      </c>
      <c r="J412" t="str">
        <f t="shared" si="50"/>
        <v>Semana 13CI</v>
      </c>
      <c r="K412" t="str">
        <f t="shared" si="52"/>
        <v>Semana 13CI
28/03/2023 - 09/04/2023</v>
      </c>
      <c r="L412" s="34">
        <v>45013</v>
      </c>
      <c r="M412" s="34">
        <v>45025</v>
      </c>
      <c r="O412" s="32">
        <v>7</v>
      </c>
      <c r="P412">
        <v>56</v>
      </c>
    </row>
    <row r="413" spans="5:16">
      <c r="E413">
        <f t="shared" si="51"/>
        <v>4</v>
      </c>
      <c r="F413" t="str">
        <f t="shared" si="48"/>
        <v>M04CI</v>
      </c>
      <c r="G413" s="1">
        <f t="shared" si="49"/>
        <v>45026</v>
      </c>
      <c r="H413" s="8" t="s">
        <v>5987</v>
      </c>
      <c r="I413" t="s">
        <v>304</v>
      </c>
      <c r="J413" t="str">
        <f t="shared" si="50"/>
        <v>Semana 14CI</v>
      </c>
      <c r="K413" t="str">
        <f t="shared" si="52"/>
        <v>Semana 14CI
10/04/2023 - 16/04/2023</v>
      </c>
      <c r="L413" s="34">
        <v>45026</v>
      </c>
      <c r="M413" s="34">
        <v>45032</v>
      </c>
      <c r="O413" s="32">
        <v>4</v>
      </c>
      <c r="P413">
        <v>32</v>
      </c>
    </row>
    <row r="414" spans="5:16">
      <c r="E414">
        <f t="shared" si="51"/>
        <v>4</v>
      </c>
      <c r="F414" t="str">
        <f t="shared" si="48"/>
        <v>M04CI</v>
      </c>
      <c r="G414" s="1">
        <f t="shared" si="49"/>
        <v>45033</v>
      </c>
      <c r="H414" s="8" t="s">
        <v>5988</v>
      </c>
      <c r="I414" t="s">
        <v>304</v>
      </c>
      <c r="J414" t="str">
        <f t="shared" si="50"/>
        <v>Semana 15CI</v>
      </c>
      <c r="K414" t="str">
        <f t="shared" si="52"/>
        <v>Semana 15CI
17/04/2023 - 23/04/2023</v>
      </c>
      <c r="L414" s="34">
        <v>45033</v>
      </c>
      <c r="M414" s="34">
        <v>45039</v>
      </c>
      <c r="O414" s="32">
        <v>5</v>
      </c>
      <c r="P414">
        <v>40</v>
      </c>
    </row>
    <row r="415" spans="5:16">
      <c r="E415">
        <f t="shared" si="51"/>
        <v>4</v>
      </c>
      <c r="F415" t="str">
        <f t="shared" si="48"/>
        <v>M04CI</v>
      </c>
      <c r="G415" s="1">
        <f t="shared" si="49"/>
        <v>45040</v>
      </c>
      <c r="H415" s="8" t="s">
        <v>5989</v>
      </c>
      <c r="I415" t="s">
        <v>304</v>
      </c>
      <c r="J415" t="str">
        <f t="shared" si="50"/>
        <v>Semana 16CI</v>
      </c>
      <c r="K415" t="str">
        <f t="shared" si="52"/>
        <v>Semana 16CI
24/04/2023 - 27/04/2023</v>
      </c>
      <c r="L415" s="34">
        <v>45040</v>
      </c>
      <c r="M415" s="34">
        <v>45043</v>
      </c>
      <c r="O415" s="32">
        <v>4</v>
      </c>
      <c r="P415">
        <v>32</v>
      </c>
    </row>
    <row r="416" spans="5:16">
      <c r="E416">
        <f t="shared" si="51"/>
        <v>5</v>
      </c>
      <c r="F416" t="str">
        <f t="shared" si="48"/>
        <v>M05CI</v>
      </c>
      <c r="G416" s="1">
        <f t="shared" si="49"/>
        <v>45044</v>
      </c>
      <c r="H416" s="8" t="s">
        <v>5990</v>
      </c>
      <c r="I416" t="s">
        <v>304</v>
      </c>
      <c r="J416" t="str">
        <f t="shared" si="50"/>
        <v>Semana 17CI</v>
      </c>
      <c r="K416" t="str">
        <f t="shared" si="52"/>
        <v>Semana 17CI
28/04/2023 - 07/05/2023</v>
      </c>
      <c r="L416" s="34">
        <v>45044</v>
      </c>
      <c r="M416" s="34">
        <v>45053</v>
      </c>
      <c r="O416" s="32">
        <v>5</v>
      </c>
      <c r="P416">
        <v>40</v>
      </c>
    </row>
    <row r="417" spans="5:16">
      <c r="E417">
        <f t="shared" si="51"/>
        <v>5</v>
      </c>
      <c r="F417" t="str">
        <f t="shared" si="48"/>
        <v>M05CI</v>
      </c>
      <c r="G417" s="1">
        <f t="shared" si="49"/>
        <v>45054</v>
      </c>
      <c r="H417" s="8" t="s">
        <v>5991</v>
      </c>
      <c r="I417" t="s">
        <v>304</v>
      </c>
      <c r="J417" t="str">
        <f t="shared" si="50"/>
        <v>Semana 18CI</v>
      </c>
      <c r="K417" t="str">
        <f t="shared" si="52"/>
        <v>Semana 18CI
08/05/2023 - 14/05/2023</v>
      </c>
      <c r="L417" s="34">
        <v>45054</v>
      </c>
      <c r="M417" s="34">
        <v>45060</v>
      </c>
      <c r="O417" s="32">
        <v>5</v>
      </c>
      <c r="P417">
        <v>40</v>
      </c>
    </row>
    <row r="418" spans="5:16">
      <c r="E418">
        <f t="shared" si="51"/>
        <v>5</v>
      </c>
      <c r="F418" t="str">
        <f t="shared" si="48"/>
        <v>M05CI</v>
      </c>
      <c r="G418" s="1">
        <f t="shared" si="49"/>
        <v>45061</v>
      </c>
      <c r="H418" s="8" t="s">
        <v>5992</v>
      </c>
      <c r="I418" t="s">
        <v>304</v>
      </c>
      <c r="J418" t="str">
        <f t="shared" si="50"/>
        <v>Semana 19CI</v>
      </c>
      <c r="K418" t="str">
        <f t="shared" si="52"/>
        <v>Semana 19CI
15/05/2023 - 21/05/2023</v>
      </c>
      <c r="L418" s="34">
        <v>45061</v>
      </c>
      <c r="M418" s="34">
        <v>45067</v>
      </c>
      <c r="O418" s="32">
        <v>5</v>
      </c>
      <c r="P418">
        <v>40</v>
      </c>
    </row>
    <row r="419" spans="5:16">
      <c r="E419">
        <f t="shared" si="51"/>
        <v>5</v>
      </c>
      <c r="F419" t="str">
        <f t="shared" si="48"/>
        <v>M05CI</v>
      </c>
      <c r="G419" s="1">
        <f t="shared" si="49"/>
        <v>45068</v>
      </c>
      <c r="H419" s="8" t="s">
        <v>5993</v>
      </c>
      <c r="I419" t="s">
        <v>304</v>
      </c>
      <c r="J419" t="str">
        <f t="shared" si="50"/>
        <v>Semana 20CI</v>
      </c>
      <c r="K419" t="str">
        <f t="shared" si="52"/>
        <v>Semana 20CI
22/05/2023 - 27/05/2023</v>
      </c>
      <c r="L419" s="34">
        <v>45068</v>
      </c>
      <c r="M419" s="34">
        <v>45073</v>
      </c>
      <c r="O419" s="32">
        <v>5</v>
      </c>
      <c r="P419">
        <v>40</v>
      </c>
    </row>
    <row r="420" spans="5:16">
      <c r="E420">
        <f t="shared" si="51"/>
        <v>6</v>
      </c>
      <c r="F420" t="str">
        <f t="shared" si="48"/>
        <v>M06CI</v>
      </c>
      <c r="G420" s="1">
        <f t="shared" si="49"/>
        <v>45074</v>
      </c>
      <c r="H420" s="8" t="s">
        <v>5994</v>
      </c>
      <c r="I420" t="s">
        <v>304</v>
      </c>
      <c r="J420" t="str">
        <f t="shared" si="50"/>
        <v>Semana 21CI</v>
      </c>
      <c r="K420" t="str">
        <f t="shared" si="52"/>
        <v>Semana 21CI
28/05/2023 - 04/06/2023</v>
      </c>
      <c r="L420" s="34">
        <v>45074</v>
      </c>
      <c r="M420" s="34">
        <v>45081</v>
      </c>
      <c r="O420" s="32">
        <v>5</v>
      </c>
      <c r="P420">
        <v>40</v>
      </c>
    </row>
    <row r="421" spans="5:16">
      <c r="E421">
        <f t="shared" si="51"/>
        <v>6</v>
      </c>
      <c r="F421" t="str">
        <f t="shared" si="48"/>
        <v>M06CI</v>
      </c>
      <c r="G421" s="1">
        <f t="shared" si="49"/>
        <v>45082</v>
      </c>
      <c r="H421" s="8" t="s">
        <v>5995</v>
      </c>
      <c r="I421" t="s">
        <v>304</v>
      </c>
      <c r="J421" t="str">
        <f t="shared" si="50"/>
        <v>Semana 22CI</v>
      </c>
      <c r="K421" t="str">
        <f t="shared" si="52"/>
        <v>Semana 22CI
05/06/2023 - 11/06/2023</v>
      </c>
      <c r="L421" s="34">
        <v>45082</v>
      </c>
      <c r="M421" s="34">
        <v>45088</v>
      </c>
      <c r="O421" s="32">
        <v>5</v>
      </c>
      <c r="P421">
        <v>40</v>
      </c>
    </row>
    <row r="422" spans="5:16">
      <c r="E422">
        <f t="shared" si="51"/>
        <v>6</v>
      </c>
      <c r="F422" t="str">
        <f t="shared" si="48"/>
        <v>M06CI</v>
      </c>
      <c r="G422" s="1">
        <f t="shared" si="49"/>
        <v>45089</v>
      </c>
      <c r="H422" s="8" t="s">
        <v>5996</v>
      </c>
      <c r="I422" t="s">
        <v>304</v>
      </c>
      <c r="J422" t="str">
        <f t="shared" si="50"/>
        <v>Semana 23CI</v>
      </c>
      <c r="K422" t="str">
        <f t="shared" si="52"/>
        <v>Semana 23CI
12/06/2023 - 18/06/2023</v>
      </c>
      <c r="L422" s="34">
        <v>45089</v>
      </c>
      <c r="M422" s="34">
        <v>45095</v>
      </c>
      <c r="O422" s="32">
        <v>5</v>
      </c>
      <c r="P422">
        <v>40</v>
      </c>
    </row>
    <row r="423" spans="5:16">
      <c r="E423">
        <f t="shared" si="51"/>
        <v>6</v>
      </c>
      <c r="F423" t="str">
        <f t="shared" si="48"/>
        <v>M06CI</v>
      </c>
      <c r="G423" s="1">
        <f t="shared" si="49"/>
        <v>45096</v>
      </c>
      <c r="H423" s="8" t="s">
        <v>5997</v>
      </c>
      <c r="I423" t="s">
        <v>304</v>
      </c>
      <c r="J423" t="str">
        <f t="shared" si="50"/>
        <v>Semana 24CI</v>
      </c>
      <c r="K423" t="str">
        <f t="shared" si="52"/>
        <v>Semana 24CI
19/06/2023 - 27/06/2023</v>
      </c>
      <c r="L423" s="34">
        <v>45096</v>
      </c>
      <c r="M423" s="34">
        <v>45104</v>
      </c>
      <c r="O423" s="32">
        <v>7</v>
      </c>
      <c r="P423">
        <v>56</v>
      </c>
    </row>
    <row r="424" spans="5:16">
      <c r="E424">
        <f t="shared" si="51"/>
        <v>7</v>
      </c>
      <c r="F424" t="str">
        <f t="shared" si="48"/>
        <v>M07CI</v>
      </c>
      <c r="G424" s="1">
        <f t="shared" si="49"/>
        <v>45105</v>
      </c>
      <c r="H424" s="8" t="s">
        <v>5998</v>
      </c>
      <c r="I424" t="s">
        <v>304</v>
      </c>
      <c r="J424" t="str">
        <f t="shared" si="50"/>
        <v>Semana 25CI</v>
      </c>
      <c r="K424" t="str">
        <f t="shared" si="52"/>
        <v>Semana 25CI
28/06/2023 - 09/07/2023</v>
      </c>
      <c r="L424" s="34">
        <v>45105</v>
      </c>
      <c r="M424" s="34">
        <v>45116</v>
      </c>
      <c r="O424" s="32">
        <v>8</v>
      </c>
      <c r="P424">
        <v>64</v>
      </c>
    </row>
    <row r="425" spans="5:16">
      <c r="E425">
        <f t="shared" si="51"/>
        <v>7</v>
      </c>
      <c r="F425" t="str">
        <f t="shared" si="48"/>
        <v>M07CI</v>
      </c>
      <c r="G425" s="1">
        <f t="shared" si="49"/>
        <v>45117</v>
      </c>
      <c r="H425" s="8" t="s">
        <v>5999</v>
      </c>
      <c r="I425" t="s">
        <v>304</v>
      </c>
      <c r="J425" t="str">
        <f t="shared" si="50"/>
        <v>Semana 26CI</v>
      </c>
      <c r="K425" t="str">
        <f t="shared" si="52"/>
        <v>Semana 26CI
10/07/2023 - 16/07/2023</v>
      </c>
      <c r="L425" s="34">
        <v>45117</v>
      </c>
      <c r="M425" s="34">
        <v>45123</v>
      </c>
      <c r="O425" s="32">
        <v>5</v>
      </c>
      <c r="P425">
        <v>40</v>
      </c>
    </row>
    <row r="426" spans="5:16">
      <c r="E426">
        <f t="shared" si="51"/>
        <v>7</v>
      </c>
      <c r="F426" t="str">
        <f t="shared" si="48"/>
        <v>M07CI</v>
      </c>
      <c r="G426" s="1">
        <f t="shared" si="49"/>
        <v>45124</v>
      </c>
      <c r="H426" s="8" t="s">
        <v>6000</v>
      </c>
      <c r="I426" t="s">
        <v>304</v>
      </c>
      <c r="J426" t="str">
        <f t="shared" si="50"/>
        <v>Semana 27CI</v>
      </c>
      <c r="K426" t="str">
        <f t="shared" si="52"/>
        <v>Semana 27CI
17/07/2023 - 23/07/2023</v>
      </c>
      <c r="L426" s="34">
        <v>45124</v>
      </c>
      <c r="M426" s="34">
        <v>45130</v>
      </c>
      <c r="O426" s="32">
        <v>5</v>
      </c>
      <c r="P426">
        <v>40</v>
      </c>
    </row>
    <row r="427" spans="5:16">
      <c r="E427">
        <f t="shared" si="51"/>
        <v>7</v>
      </c>
      <c r="F427" t="str">
        <f t="shared" si="48"/>
        <v>M07CI</v>
      </c>
      <c r="G427" s="1">
        <f t="shared" si="49"/>
        <v>45131</v>
      </c>
      <c r="H427" s="8" t="s">
        <v>6001</v>
      </c>
      <c r="I427" t="s">
        <v>304</v>
      </c>
      <c r="J427" t="str">
        <f t="shared" si="50"/>
        <v>Semana 28CI</v>
      </c>
      <c r="K427" t="str">
        <f t="shared" si="52"/>
        <v>Semana 28CI
24/07/2023 - 27/07/2023</v>
      </c>
      <c r="L427" s="34">
        <v>45131</v>
      </c>
      <c r="M427" s="34">
        <v>45134</v>
      </c>
      <c r="O427" s="32">
        <v>4</v>
      </c>
      <c r="P427">
        <v>24</v>
      </c>
    </row>
    <row r="428" spans="5:16">
      <c r="E428">
        <f t="shared" si="51"/>
        <v>8</v>
      </c>
      <c r="F428" t="str">
        <f t="shared" si="48"/>
        <v>M08CI</v>
      </c>
      <c r="G428" s="1">
        <f t="shared" si="49"/>
        <v>45135</v>
      </c>
      <c r="H428" s="8" t="s">
        <v>6002</v>
      </c>
      <c r="I428" t="s">
        <v>304</v>
      </c>
      <c r="J428" t="str">
        <f t="shared" si="50"/>
        <v>Semana 29CI</v>
      </c>
      <c r="K428" t="str">
        <f t="shared" si="52"/>
        <v>Semana 29CI
28/07/2023 - 06/08/2023</v>
      </c>
      <c r="L428" s="34">
        <v>45135</v>
      </c>
      <c r="M428" s="34">
        <v>45144</v>
      </c>
      <c r="O428" s="32">
        <v>5</v>
      </c>
      <c r="P428">
        <v>40</v>
      </c>
    </row>
    <row r="429" spans="5:16">
      <c r="E429">
        <f t="shared" si="51"/>
        <v>8</v>
      </c>
      <c r="F429" t="str">
        <f t="shared" si="48"/>
        <v>M08CI</v>
      </c>
      <c r="G429" s="1">
        <f t="shared" si="49"/>
        <v>45145</v>
      </c>
      <c r="H429" s="8" t="s">
        <v>6003</v>
      </c>
      <c r="I429" t="s">
        <v>304</v>
      </c>
      <c r="J429" t="str">
        <f t="shared" si="50"/>
        <v>Semana 30CI</v>
      </c>
      <c r="K429" t="str">
        <f t="shared" si="52"/>
        <v>Semana 30CI
07/08/2023 - 13/08/2023</v>
      </c>
      <c r="L429" s="34">
        <v>45145</v>
      </c>
      <c r="M429" s="34">
        <v>45151</v>
      </c>
      <c r="O429" s="32">
        <v>5</v>
      </c>
      <c r="P429">
        <v>40</v>
      </c>
    </row>
    <row r="430" spans="5:16">
      <c r="E430">
        <f t="shared" si="51"/>
        <v>8</v>
      </c>
      <c r="F430" t="str">
        <f t="shared" si="48"/>
        <v>M08CI</v>
      </c>
      <c r="G430" s="1">
        <f t="shared" si="49"/>
        <v>45152</v>
      </c>
      <c r="H430" s="8" t="s">
        <v>6004</v>
      </c>
      <c r="I430" t="s">
        <v>304</v>
      </c>
      <c r="J430" t="str">
        <f t="shared" si="50"/>
        <v>Semana 31CI</v>
      </c>
      <c r="K430" t="str">
        <f t="shared" si="52"/>
        <v>Semana 31CI
14/08/2023 - 20/08/2023</v>
      </c>
      <c r="L430" s="34">
        <v>45152</v>
      </c>
      <c r="M430" s="34">
        <v>45158</v>
      </c>
      <c r="O430" s="32">
        <v>4</v>
      </c>
      <c r="P430">
        <v>32</v>
      </c>
    </row>
    <row r="431" spans="5:16">
      <c r="E431">
        <f t="shared" si="51"/>
        <v>8</v>
      </c>
      <c r="F431" t="str">
        <f t="shared" si="48"/>
        <v>M08CI</v>
      </c>
      <c r="G431" s="1">
        <f t="shared" si="49"/>
        <v>45159</v>
      </c>
      <c r="H431" s="8" t="s">
        <v>6005</v>
      </c>
      <c r="I431" t="s">
        <v>304</v>
      </c>
      <c r="J431" t="str">
        <f t="shared" si="50"/>
        <v>Semana 32CI</v>
      </c>
      <c r="K431" t="str">
        <f t="shared" si="52"/>
        <v>Semana 32CI
21/08/2023 - 27/08/2023</v>
      </c>
      <c r="L431" s="34">
        <v>45159</v>
      </c>
      <c r="M431" s="34">
        <v>45165</v>
      </c>
      <c r="O431" s="32">
        <v>5</v>
      </c>
      <c r="P431">
        <v>40</v>
      </c>
    </row>
    <row r="432" spans="5:16">
      <c r="E432">
        <f t="shared" si="51"/>
        <v>9</v>
      </c>
      <c r="F432" t="str">
        <f t="shared" si="48"/>
        <v>M09CI</v>
      </c>
      <c r="G432" s="1">
        <f t="shared" si="49"/>
        <v>45166</v>
      </c>
      <c r="H432" s="8" t="s">
        <v>6006</v>
      </c>
      <c r="I432" t="s">
        <v>304</v>
      </c>
      <c r="J432" t="str">
        <f t="shared" si="50"/>
        <v>Semana 33CI</v>
      </c>
      <c r="K432" t="str">
        <f t="shared" si="52"/>
        <v>Semana 33CI
28/08/2023 - 03/09/2023</v>
      </c>
      <c r="L432" s="34">
        <v>45166</v>
      </c>
      <c r="M432" s="34">
        <v>45172</v>
      </c>
      <c r="O432" s="32">
        <v>5</v>
      </c>
      <c r="P432">
        <v>40</v>
      </c>
    </row>
    <row r="433" spans="5:16">
      <c r="E433">
        <f t="shared" si="51"/>
        <v>9</v>
      </c>
      <c r="F433" t="str">
        <f t="shared" si="48"/>
        <v>M09CI</v>
      </c>
      <c r="G433" s="1">
        <f t="shared" si="49"/>
        <v>45173</v>
      </c>
      <c r="H433" s="8" t="s">
        <v>6007</v>
      </c>
      <c r="I433" t="s">
        <v>304</v>
      </c>
      <c r="J433" t="str">
        <f t="shared" si="50"/>
        <v>Semana 34CI</v>
      </c>
      <c r="K433" t="str">
        <f t="shared" si="52"/>
        <v>Semana 34CI
04/09/2023 - 10/09/2023</v>
      </c>
      <c r="L433" s="34">
        <v>45173</v>
      </c>
      <c r="M433" s="34">
        <v>45179</v>
      </c>
      <c r="O433" s="32">
        <v>5</v>
      </c>
      <c r="P433">
        <v>40</v>
      </c>
    </row>
    <row r="434" spans="5:16">
      <c r="E434">
        <f t="shared" si="51"/>
        <v>9</v>
      </c>
      <c r="F434" t="str">
        <f t="shared" si="48"/>
        <v>M09CI</v>
      </c>
      <c r="G434" s="1">
        <f t="shared" si="49"/>
        <v>45180</v>
      </c>
      <c r="H434" s="8" t="s">
        <v>6008</v>
      </c>
      <c r="I434" t="s">
        <v>304</v>
      </c>
      <c r="J434" t="str">
        <f t="shared" si="50"/>
        <v>Semana 35CI</v>
      </c>
      <c r="K434" t="str">
        <f t="shared" si="52"/>
        <v>Semana 35CI
11/09/2023 - 17/09/2023</v>
      </c>
      <c r="L434" s="34">
        <v>45180</v>
      </c>
      <c r="M434" s="34">
        <v>45186</v>
      </c>
      <c r="O434" s="32">
        <v>4</v>
      </c>
      <c r="P434">
        <v>32</v>
      </c>
    </row>
    <row r="435" spans="5:16">
      <c r="E435">
        <f t="shared" si="51"/>
        <v>9</v>
      </c>
      <c r="F435" t="str">
        <f t="shared" si="48"/>
        <v>M09CI</v>
      </c>
      <c r="G435" s="1">
        <f t="shared" si="49"/>
        <v>45187</v>
      </c>
      <c r="H435" s="8" t="s">
        <v>6009</v>
      </c>
      <c r="I435" t="s">
        <v>304</v>
      </c>
      <c r="J435" t="str">
        <f t="shared" si="50"/>
        <v>Semana 36CI</v>
      </c>
      <c r="K435" t="str">
        <f t="shared" si="52"/>
        <v>Semana 36CI
18/09/2023 - 27/09/2023</v>
      </c>
      <c r="L435" s="34">
        <v>45187</v>
      </c>
      <c r="M435" s="34">
        <v>45196</v>
      </c>
      <c r="O435" s="32">
        <v>8</v>
      </c>
      <c r="P435">
        <v>64</v>
      </c>
    </row>
    <row r="436" spans="5:16">
      <c r="E436">
        <f t="shared" si="51"/>
        <v>10</v>
      </c>
      <c r="F436" t="str">
        <f t="shared" si="48"/>
        <v>M10CI</v>
      </c>
      <c r="G436" s="1">
        <f t="shared" si="49"/>
        <v>45197</v>
      </c>
      <c r="H436" s="8" t="s">
        <v>6010</v>
      </c>
      <c r="I436" t="s">
        <v>304</v>
      </c>
      <c r="J436" t="str">
        <f t="shared" si="50"/>
        <v>Semana 37CI</v>
      </c>
      <c r="K436" t="str">
        <f t="shared" si="52"/>
        <v>Semana 37CI
28/09/2023 - 08/10/2023</v>
      </c>
      <c r="L436" s="34">
        <v>45197</v>
      </c>
      <c r="M436" s="34">
        <v>45207</v>
      </c>
      <c r="O436" s="32">
        <v>7</v>
      </c>
      <c r="P436">
        <v>56</v>
      </c>
    </row>
    <row r="437" spans="5:16">
      <c r="E437">
        <f t="shared" si="51"/>
        <v>10</v>
      </c>
      <c r="F437" t="str">
        <f t="shared" si="48"/>
        <v>M10CI</v>
      </c>
      <c r="G437" s="1">
        <f t="shared" si="49"/>
        <v>45208</v>
      </c>
      <c r="H437" s="8" t="s">
        <v>6011</v>
      </c>
      <c r="I437" t="s">
        <v>304</v>
      </c>
      <c r="J437" t="str">
        <f t="shared" si="50"/>
        <v>Semana 38CI</v>
      </c>
      <c r="K437" t="str">
        <f t="shared" si="52"/>
        <v>Semana 38CI
09/10/2023 - 15/10/2023</v>
      </c>
      <c r="L437" s="34">
        <v>45208</v>
      </c>
      <c r="M437" s="34">
        <v>45214</v>
      </c>
      <c r="O437" s="32">
        <v>5</v>
      </c>
      <c r="P437">
        <v>40</v>
      </c>
    </row>
    <row r="438" spans="5:16">
      <c r="E438">
        <f t="shared" si="51"/>
        <v>10</v>
      </c>
      <c r="F438" t="str">
        <f t="shared" si="48"/>
        <v>M10CI</v>
      </c>
      <c r="G438" s="1">
        <f t="shared" si="49"/>
        <v>45215</v>
      </c>
      <c r="H438" s="8" t="s">
        <v>6012</v>
      </c>
      <c r="I438" t="s">
        <v>304</v>
      </c>
      <c r="J438" t="str">
        <f t="shared" si="50"/>
        <v>Semana 39CI</v>
      </c>
      <c r="K438" t="str">
        <f t="shared" si="52"/>
        <v>Semana 39CI
16/10/2023 - 22/10/2023</v>
      </c>
      <c r="L438" s="34">
        <v>45215</v>
      </c>
      <c r="M438" s="34">
        <v>45221</v>
      </c>
      <c r="O438" s="32">
        <v>5</v>
      </c>
      <c r="P438">
        <v>40</v>
      </c>
    </row>
    <row r="439" spans="5:16">
      <c r="E439">
        <f t="shared" si="51"/>
        <v>10</v>
      </c>
      <c r="F439" t="str">
        <f t="shared" si="48"/>
        <v>M10CI</v>
      </c>
      <c r="G439" s="1">
        <f t="shared" si="49"/>
        <v>45222</v>
      </c>
      <c r="H439" s="8" t="s">
        <v>6013</v>
      </c>
      <c r="I439" t="s">
        <v>304</v>
      </c>
      <c r="J439" t="str">
        <f t="shared" si="50"/>
        <v>Semana 40CI</v>
      </c>
      <c r="K439" t="str">
        <f t="shared" si="52"/>
        <v>Semana 40CI
23/10/2023 - 27/10/2023</v>
      </c>
      <c r="L439" s="34">
        <v>45222</v>
      </c>
      <c r="M439" s="34">
        <v>45226</v>
      </c>
      <c r="O439" s="32">
        <v>5</v>
      </c>
      <c r="P439">
        <v>40</v>
      </c>
    </row>
    <row r="440" spans="5:16">
      <c r="E440">
        <f t="shared" si="51"/>
        <v>11</v>
      </c>
      <c r="F440" t="str">
        <f t="shared" si="48"/>
        <v>M11CI</v>
      </c>
      <c r="G440" s="1">
        <f t="shared" si="49"/>
        <v>45227</v>
      </c>
      <c r="H440" s="8" t="s">
        <v>6014</v>
      </c>
      <c r="I440" t="s">
        <v>304</v>
      </c>
      <c r="J440" t="str">
        <f t="shared" si="50"/>
        <v>Semana 41CI</v>
      </c>
      <c r="K440" t="str">
        <f t="shared" si="52"/>
        <v>Semana 41CI
28/10/2023 - 05/11/2023</v>
      </c>
      <c r="L440" s="34">
        <v>45227</v>
      </c>
      <c r="M440" s="34">
        <v>45235</v>
      </c>
      <c r="O440" s="32">
        <v>5</v>
      </c>
      <c r="P440">
        <v>40</v>
      </c>
    </row>
    <row r="441" spans="5:16">
      <c r="E441">
        <f t="shared" si="51"/>
        <v>11</v>
      </c>
      <c r="F441" t="str">
        <f t="shared" si="48"/>
        <v>M11CI</v>
      </c>
      <c r="G441" s="1">
        <f t="shared" si="49"/>
        <v>45236</v>
      </c>
      <c r="H441" s="8" t="s">
        <v>6015</v>
      </c>
      <c r="I441" t="s">
        <v>304</v>
      </c>
      <c r="J441" t="str">
        <f t="shared" si="50"/>
        <v>Semana 42CI</v>
      </c>
      <c r="K441" t="str">
        <f t="shared" si="52"/>
        <v>Semana 42CI
06/11/2023 - 12/11/2023</v>
      </c>
      <c r="L441" s="34">
        <v>45236</v>
      </c>
      <c r="M441" s="34">
        <v>45242</v>
      </c>
      <c r="O441" s="32">
        <v>5</v>
      </c>
      <c r="P441">
        <v>40</v>
      </c>
    </row>
    <row r="442" spans="5:16">
      <c r="E442">
        <f t="shared" si="51"/>
        <v>11</v>
      </c>
      <c r="F442" t="str">
        <f t="shared" si="48"/>
        <v>M11CI</v>
      </c>
      <c r="G442" s="1">
        <f t="shared" si="49"/>
        <v>45243</v>
      </c>
      <c r="H442" s="8" t="s">
        <v>6016</v>
      </c>
      <c r="I442" t="s">
        <v>304</v>
      </c>
      <c r="J442" t="str">
        <f t="shared" si="50"/>
        <v>Semana 43CI</v>
      </c>
      <c r="K442" t="str">
        <f t="shared" si="52"/>
        <v>Semana 43CI
13/11/2023 - 19/11/2023</v>
      </c>
      <c r="L442" s="34">
        <v>45243</v>
      </c>
      <c r="M442" s="34">
        <v>45249</v>
      </c>
      <c r="O442" s="32">
        <v>5</v>
      </c>
      <c r="P442">
        <v>40</v>
      </c>
    </row>
    <row r="443" spans="5:16">
      <c r="E443">
        <f t="shared" si="51"/>
        <v>11</v>
      </c>
      <c r="F443" t="str">
        <f t="shared" si="48"/>
        <v>M11CI</v>
      </c>
      <c r="G443" s="1">
        <f t="shared" si="49"/>
        <v>45250</v>
      </c>
      <c r="H443" s="8" t="s">
        <v>6017</v>
      </c>
      <c r="I443" t="s">
        <v>304</v>
      </c>
      <c r="J443" t="str">
        <f t="shared" si="50"/>
        <v>Semana 44CI</v>
      </c>
      <c r="K443" t="str">
        <f t="shared" si="52"/>
        <v>Semana 44CI
20/11/2023 - 27/11/2023</v>
      </c>
      <c r="L443" s="34">
        <v>45250</v>
      </c>
      <c r="M443" s="34">
        <v>45257</v>
      </c>
      <c r="O443" s="32">
        <v>6</v>
      </c>
      <c r="P443">
        <v>48</v>
      </c>
    </row>
    <row r="444" spans="5:16">
      <c r="E444">
        <f t="shared" si="51"/>
        <v>12</v>
      </c>
      <c r="F444" t="str">
        <f t="shared" si="48"/>
        <v>M12CI</v>
      </c>
      <c r="G444" s="1">
        <f t="shared" si="49"/>
        <v>45258</v>
      </c>
      <c r="H444" s="8" t="s">
        <v>6018</v>
      </c>
      <c r="I444" t="s">
        <v>304</v>
      </c>
      <c r="J444" t="str">
        <f t="shared" si="50"/>
        <v>Semana 45CI</v>
      </c>
      <c r="K444" t="str">
        <f t="shared" si="52"/>
        <v>Semana 45CI
28/11/2023 - 03/12/2023</v>
      </c>
      <c r="L444" s="34">
        <v>45258</v>
      </c>
      <c r="M444" s="34">
        <v>45263</v>
      </c>
      <c r="O444" s="32">
        <v>3</v>
      </c>
      <c r="P444">
        <v>24</v>
      </c>
    </row>
    <row r="445" spans="5:16">
      <c r="E445">
        <f t="shared" si="51"/>
        <v>12</v>
      </c>
      <c r="F445" t="str">
        <f t="shared" si="48"/>
        <v>M12CI</v>
      </c>
      <c r="G445" s="1">
        <f t="shared" si="49"/>
        <v>45264</v>
      </c>
      <c r="H445" s="8" t="s">
        <v>6019</v>
      </c>
      <c r="I445" t="s">
        <v>304</v>
      </c>
      <c r="J445" t="str">
        <f t="shared" si="50"/>
        <v>Semana 46CI</v>
      </c>
      <c r="K445" t="str">
        <f t="shared" si="52"/>
        <v>Semana 46CI
04/12/2023 - 10/12/2023</v>
      </c>
      <c r="L445" s="34">
        <v>45264</v>
      </c>
      <c r="M445" s="34">
        <v>45270</v>
      </c>
      <c r="O445" s="32">
        <v>5</v>
      </c>
      <c r="P445">
        <v>40</v>
      </c>
    </row>
    <row r="446" spans="5:16">
      <c r="E446">
        <f t="shared" si="51"/>
        <v>12</v>
      </c>
      <c r="F446" t="str">
        <f t="shared" si="48"/>
        <v>M12CI</v>
      </c>
      <c r="G446" s="1">
        <f t="shared" si="49"/>
        <v>45271</v>
      </c>
      <c r="H446" s="8" t="s">
        <v>6020</v>
      </c>
      <c r="I446" t="s">
        <v>304</v>
      </c>
      <c r="J446" t="str">
        <f t="shared" si="50"/>
        <v>Semana 47CI</v>
      </c>
      <c r="K446" t="str">
        <f t="shared" si="52"/>
        <v>Semana 47CI
11/12/2023 - 17/12/2023</v>
      </c>
      <c r="L446" s="34">
        <v>45271</v>
      </c>
      <c r="M446" s="34">
        <v>45277</v>
      </c>
      <c r="O446" s="32">
        <v>5</v>
      </c>
      <c r="P446">
        <v>40</v>
      </c>
    </row>
    <row r="447" spans="5:16">
      <c r="E447">
        <f t="shared" si="51"/>
        <v>12</v>
      </c>
      <c r="F447" t="str">
        <f t="shared" si="48"/>
        <v>M12CI</v>
      </c>
      <c r="G447" s="1">
        <f t="shared" si="49"/>
        <v>45278</v>
      </c>
      <c r="H447" s="8" t="s">
        <v>6021</v>
      </c>
      <c r="I447" t="s">
        <v>304</v>
      </c>
      <c r="J447" t="str">
        <f t="shared" si="50"/>
        <v>Semana 48CI</v>
      </c>
      <c r="K447" t="str">
        <f t="shared" si="52"/>
        <v>Semana 48CI
18/12/2023 - 27/12/2023</v>
      </c>
      <c r="L447" s="34">
        <v>45278</v>
      </c>
      <c r="M447" s="34">
        <v>45287</v>
      </c>
      <c r="O447" s="32">
        <v>7</v>
      </c>
      <c r="P447">
        <v>56</v>
      </c>
    </row>
    <row r="448" spans="5:16">
      <c r="E448">
        <v>1</v>
      </c>
      <c r="F448" t="str">
        <f>"M"&amp;TEXT(E448,"00")&amp;I448</f>
        <v>M01CIP1</v>
      </c>
      <c r="G448" s="1">
        <f t="shared" si="49"/>
        <v>45288</v>
      </c>
      <c r="H448" s="8" t="s">
        <v>6842</v>
      </c>
      <c r="I448" t="s">
        <v>6843</v>
      </c>
      <c r="J448" t="str">
        <f>H448</f>
        <v>Semana 01CIP1</v>
      </c>
      <c r="K448" t="str">
        <f t="shared" si="52"/>
        <v>Semana 01CIP1
28/12/2023 - 07/01/2024</v>
      </c>
      <c r="L448" s="34">
        <v>45288</v>
      </c>
      <c r="M448" s="34">
        <v>45298</v>
      </c>
    </row>
    <row r="449" spans="5:13">
      <c r="E449">
        <v>1</v>
      </c>
      <c r="F449" t="str">
        <f t="shared" ref="F449:F496" si="53">"M"&amp;TEXT(E449,"00")&amp;I449</f>
        <v>M01CIP1</v>
      </c>
      <c r="G449" s="1">
        <f t="shared" si="49"/>
        <v>45299</v>
      </c>
      <c r="H449" s="8" t="s">
        <v>6844</v>
      </c>
      <c r="I449" t="s">
        <v>6843</v>
      </c>
      <c r="J449" t="str">
        <f t="shared" ref="J449:J495" si="54">H449</f>
        <v>Semana 02CIP1</v>
      </c>
      <c r="K449" t="str">
        <f t="shared" si="52"/>
        <v>Semana 02CIP1
08/01/2024 - 14/01/2024</v>
      </c>
      <c r="L449" s="34">
        <v>45299</v>
      </c>
      <c r="M449" s="34">
        <v>45305</v>
      </c>
    </row>
    <row r="450" spans="5:13">
      <c r="E450">
        <v>1</v>
      </c>
      <c r="F450" t="str">
        <f t="shared" si="53"/>
        <v>M01CIP1</v>
      </c>
      <c r="G450" s="1">
        <f t="shared" si="49"/>
        <v>45306</v>
      </c>
      <c r="H450" s="8" t="s">
        <v>6845</v>
      </c>
      <c r="I450" t="s">
        <v>6843</v>
      </c>
      <c r="J450" t="str">
        <f t="shared" si="54"/>
        <v>Semana 03CIP1</v>
      </c>
      <c r="K450" t="str">
        <f t="shared" si="52"/>
        <v>Semana 03CIP1
15/01/2024 - 21/01/2024</v>
      </c>
      <c r="L450" s="34">
        <v>45306</v>
      </c>
      <c r="M450" s="34">
        <v>45312</v>
      </c>
    </row>
    <row r="451" spans="5:13">
      <c r="E451">
        <v>1</v>
      </c>
      <c r="F451" t="str">
        <f t="shared" si="53"/>
        <v>M01CIP1</v>
      </c>
      <c r="G451" s="1">
        <f t="shared" si="49"/>
        <v>45313</v>
      </c>
      <c r="H451" s="8" t="s">
        <v>6846</v>
      </c>
      <c r="I451" t="s">
        <v>6843</v>
      </c>
      <c r="J451" t="str">
        <f t="shared" si="54"/>
        <v>Semana 04CIP1</v>
      </c>
      <c r="K451" t="str">
        <f t="shared" si="52"/>
        <v>Semana 04CIP1
22/01/2024 - 27/01/2024</v>
      </c>
      <c r="L451" s="34">
        <v>45313</v>
      </c>
      <c r="M451" s="34">
        <v>45318</v>
      </c>
    </row>
    <row r="452" spans="5:13">
      <c r="E452">
        <f>E448+1</f>
        <v>2</v>
      </c>
      <c r="F452" t="str">
        <f t="shared" si="53"/>
        <v>M02CIP1</v>
      </c>
      <c r="G452" s="1">
        <f t="shared" si="49"/>
        <v>45319</v>
      </c>
      <c r="H452" s="8" t="s">
        <v>6847</v>
      </c>
      <c r="I452" t="s">
        <v>6843</v>
      </c>
      <c r="J452" t="str">
        <f t="shared" si="54"/>
        <v>Semana 05CIP1</v>
      </c>
      <c r="K452" t="str">
        <f t="shared" si="52"/>
        <v>Semana 05CIP1
28/01/2024 - 04/02/2024</v>
      </c>
      <c r="L452" s="34">
        <v>45319</v>
      </c>
      <c r="M452" s="34">
        <v>45326</v>
      </c>
    </row>
    <row r="453" spans="5:13">
      <c r="E453">
        <f t="shared" ref="E453:E495" si="55">E449+1</f>
        <v>2</v>
      </c>
      <c r="F453" t="str">
        <f t="shared" si="53"/>
        <v>M02CIP1</v>
      </c>
      <c r="G453" s="1">
        <f t="shared" si="49"/>
        <v>45327</v>
      </c>
      <c r="H453" s="8" t="s">
        <v>6848</v>
      </c>
      <c r="I453" t="s">
        <v>6843</v>
      </c>
      <c r="J453" t="str">
        <f t="shared" si="54"/>
        <v>Semana 06CIP1</v>
      </c>
      <c r="K453" t="str">
        <f t="shared" si="52"/>
        <v>Semana 06CIP1
05/02/2024 - 11/02/2024</v>
      </c>
      <c r="L453" s="34">
        <v>45327</v>
      </c>
      <c r="M453" s="34">
        <v>45333</v>
      </c>
    </row>
    <row r="454" spans="5:13">
      <c r="E454">
        <f t="shared" si="55"/>
        <v>2</v>
      </c>
      <c r="F454" t="str">
        <f t="shared" si="53"/>
        <v>M02CIP1</v>
      </c>
      <c r="G454" s="1">
        <f t="shared" si="49"/>
        <v>45334</v>
      </c>
      <c r="H454" s="8" t="s">
        <v>6849</v>
      </c>
      <c r="I454" t="s">
        <v>6843</v>
      </c>
      <c r="J454" t="str">
        <f t="shared" si="54"/>
        <v>Semana 07CIP1</v>
      </c>
      <c r="K454" t="str">
        <f t="shared" si="52"/>
        <v>Semana 07CIP1
12/02/2024 - 18/02/2024</v>
      </c>
      <c r="L454" s="34">
        <v>45334</v>
      </c>
      <c r="M454" s="34">
        <v>45340</v>
      </c>
    </row>
    <row r="455" spans="5:13">
      <c r="E455">
        <f t="shared" si="55"/>
        <v>2</v>
      </c>
      <c r="F455" t="str">
        <f t="shared" si="53"/>
        <v>M02CIP1</v>
      </c>
      <c r="G455" s="1">
        <f t="shared" si="49"/>
        <v>45341</v>
      </c>
      <c r="H455" s="8" t="s">
        <v>6850</v>
      </c>
      <c r="I455" t="s">
        <v>6843</v>
      </c>
      <c r="J455" t="str">
        <f t="shared" si="54"/>
        <v>Semana 08CIP1</v>
      </c>
      <c r="K455" t="str">
        <f t="shared" si="52"/>
        <v>Semana 08CIP1
19/02/2024 - 27/02/2024</v>
      </c>
      <c r="L455" s="34">
        <v>45341</v>
      </c>
      <c r="M455" s="34">
        <v>45349</v>
      </c>
    </row>
    <row r="456" spans="5:13">
      <c r="E456">
        <f t="shared" si="55"/>
        <v>3</v>
      </c>
      <c r="F456" t="str">
        <f t="shared" si="53"/>
        <v>M03CIP1</v>
      </c>
      <c r="G456" s="1">
        <f t="shared" si="49"/>
        <v>45350</v>
      </c>
      <c r="H456" s="8" t="s">
        <v>6851</v>
      </c>
      <c r="I456" t="s">
        <v>6843</v>
      </c>
      <c r="J456" t="str">
        <f t="shared" si="54"/>
        <v>Semana 09CIP1</v>
      </c>
      <c r="K456" t="str">
        <f t="shared" si="52"/>
        <v>Semana 09CIP1
28/02/2024 - 03/03/2024</v>
      </c>
      <c r="L456" s="34">
        <v>45350</v>
      </c>
      <c r="M456" s="34">
        <v>45354</v>
      </c>
    </row>
    <row r="457" spans="5:13">
      <c r="E457">
        <f t="shared" si="55"/>
        <v>3</v>
      </c>
      <c r="F457" t="str">
        <f t="shared" si="53"/>
        <v>M03CIP1</v>
      </c>
      <c r="G457" s="1">
        <f t="shared" si="49"/>
        <v>45355</v>
      </c>
      <c r="H457" s="8" t="s">
        <v>6852</v>
      </c>
      <c r="I457" t="s">
        <v>6843</v>
      </c>
      <c r="J457" t="str">
        <f t="shared" si="54"/>
        <v>Semana 10CIP1</v>
      </c>
      <c r="K457" t="str">
        <f t="shared" si="52"/>
        <v>Semana 10CIP1
04/03/2024 - 10/03/2024</v>
      </c>
      <c r="L457" s="34">
        <v>45355</v>
      </c>
      <c r="M457" s="34">
        <v>45361</v>
      </c>
    </row>
    <row r="458" spans="5:13">
      <c r="E458">
        <f t="shared" si="55"/>
        <v>3</v>
      </c>
      <c r="F458" t="str">
        <f t="shared" si="53"/>
        <v>M03CIP1</v>
      </c>
      <c r="G458" s="1">
        <f t="shared" si="49"/>
        <v>45362</v>
      </c>
      <c r="H458" s="8" t="s">
        <v>6853</v>
      </c>
      <c r="I458" t="s">
        <v>6843</v>
      </c>
      <c r="J458" t="str">
        <f t="shared" si="54"/>
        <v>Semana 11CIP1</v>
      </c>
      <c r="K458" t="str">
        <f t="shared" si="52"/>
        <v>Semana 11CIP1
11/03/2024 - 17/03/2024</v>
      </c>
      <c r="L458" s="34">
        <v>45362</v>
      </c>
      <c r="M458" s="34">
        <v>45368</v>
      </c>
    </row>
    <row r="459" spans="5:13">
      <c r="E459">
        <f t="shared" si="55"/>
        <v>3</v>
      </c>
      <c r="F459" t="str">
        <f t="shared" si="53"/>
        <v>M03CIP1</v>
      </c>
      <c r="G459" s="1">
        <f t="shared" si="49"/>
        <v>45369</v>
      </c>
      <c r="H459" s="8" t="s">
        <v>6854</v>
      </c>
      <c r="I459" t="s">
        <v>6843</v>
      </c>
      <c r="J459" t="str">
        <f t="shared" si="54"/>
        <v>Semana 12CIP1</v>
      </c>
      <c r="K459" t="str">
        <f t="shared" si="52"/>
        <v>Semana 12CIP1
18/03/2024 - 27/03/2024</v>
      </c>
      <c r="L459" s="34">
        <v>45369</v>
      </c>
      <c r="M459" s="34">
        <v>45378</v>
      </c>
    </row>
    <row r="460" spans="5:13">
      <c r="E460">
        <f t="shared" si="55"/>
        <v>4</v>
      </c>
      <c r="F460" t="str">
        <f t="shared" si="53"/>
        <v>M04CIP1</v>
      </c>
      <c r="G460" s="1">
        <f t="shared" si="49"/>
        <v>45379</v>
      </c>
      <c r="H460" s="8" t="s">
        <v>6855</v>
      </c>
      <c r="I460" t="s">
        <v>6843</v>
      </c>
      <c r="J460" t="str">
        <f t="shared" si="54"/>
        <v>Semana 13CIP1</v>
      </c>
      <c r="K460" t="str">
        <f t="shared" si="52"/>
        <v>Semana 13CIP1
28/03/2024 - 07/04/2024</v>
      </c>
      <c r="L460" s="34">
        <v>45379</v>
      </c>
      <c r="M460" s="34">
        <v>45389</v>
      </c>
    </row>
    <row r="461" spans="5:13">
      <c r="E461">
        <f t="shared" si="55"/>
        <v>4</v>
      </c>
      <c r="F461" t="str">
        <f t="shared" si="53"/>
        <v>M04CIP1</v>
      </c>
      <c r="G461" s="1">
        <f t="shared" si="49"/>
        <v>45390</v>
      </c>
      <c r="H461" s="8" t="s">
        <v>6856</v>
      </c>
      <c r="I461" t="s">
        <v>6843</v>
      </c>
      <c r="J461" t="str">
        <f t="shared" si="54"/>
        <v>Semana 14CIP1</v>
      </c>
      <c r="K461" t="str">
        <f t="shared" si="52"/>
        <v>Semana 14CIP1
08/04/2024 - 14/04/2024</v>
      </c>
      <c r="L461" s="34">
        <v>45390</v>
      </c>
      <c r="M461" s="34">
        <v>45396</v>
      </c>
    </row>
    <row r="462" spans="5:13">
      <c r="E462">
        <f t="shared" si="55"/>
        <v>4</v>
      </c>
      <c r="F462" t="str">
        <f t="shared" si="53"/>
        <v>M04CIP1</v>
      </c>
      <c r="G462" s="1">
        <f t="shared" si="49"/>
        <v>45397</v>
      </c>
      <c r="H462" s="8" t="s">
        <v>6857</v>
      </c>
      <c r="I462" t="s">
        <v>6843</v>
      </c>
      <c r="J462" t="str">
        <f t="shared" si="54"/>
        <v>Semana 15CIP1</v>
      </c>
      <c r="K462" t="str">
        <f t="shared" si="52"/>
        <v>Semana 15CIP1
15/04/2024 - 21/04/2024</v>
      </c>
      <c r="L462" s="34">
        <v>45397</v>
      </c>
      <c r="M462" s="34">
        <v>45403</v>
      </c>
    </row>
    <row r="463" spans="5:13">
      <c r="E463">
        <f t="shared" si="55"/>
        <v>4</v>
      </c>
      <c r="F463" t="str">
        <f t="shared" si="53"/>
        <v>M04CIP1</v>
      </c>
      <c r="G463" s="1">
        <f t="shared" si="49"/>
        <v>45404</v>
      </c>
      <c r="H463" s="8" t="s">
        <v>6858</v>
      </c>
      <c r="I463" t="s">
        <v>6843</v>
      </c>
      <c r="J463" t="str">
        <f t="shared" si="54"/>
        <v>Semana 16CIP1</v>
      </c>
      <c r="K463" t="str">
        <f t="shared" si="52"/>
        <v>Semana 16CIP1
22/04/2024 - 27/04/2024</v>
      </c>
      <c r="L463" s="34">
        <v>45404</v>
      </c>
      <c r="M463" s="34">
        <v>45409</v>
      </c>
    </row>
    <row r="464" spans="5:13">
      <c r="E464">
        <f t="shared" si="55"/>
        <v>5</v>
      </c>
      <c r="F464" t="str">
        <f t="shared" si="53"/>
        <v>M05CIP1</v>
      </c>
      <c r="G464" s="1">
        <f t="shared" si="49"/>
        <v>45410</v>
      </c>
      <c r="H464" s="8" t="s">
        <v>6859</v>
      </c>
      <c r="I464" t="s">
        <v>6843</v>
      </c>
      <c r="J464" t="str">
        <f t="shared" si="54"/>
        <v>Semana 17CIP1</v>
      </c>
      <c r="K464" t="str">
        <f t="shared" si="52"/>
        <v>Semana 17CIP1
28/04/2024 - 05/05/2024</v>
      </c>
      <c r="L464" s="34">
        <v>45410</v>
      </c>
      <c r="M464" s="34">
        <v>45417</v>
      </c>
    </row>
    <row r="465" spans="5:13">
      <c r="E465">
        <f t="shared" si="55"/>
        <v>5</v>
      </c>
      <c r="F465" t="str">
        <f t="shared" si="53"/>
        <v>M05CIP1</v>
      </c>
      <c r="G465" s="1">
        <f t="shared" ref="G465:G496" si="56">L465</f>
        <v>45418</v>
      </c>
      <c r="H465" s="8" t="s">
        <v>6860</v>
      </c>
      <c r="I465" t="s">
        <v>6843</v>
      </c>
      <c r="J465" t="str">
        <f t="shared" si="54"/>
        <v>Semana 18CIP1</v>
      </c>
      <c r="K465" t="str">
        <f t="shared" si="52"/>
        <v>Semana 18CIP1
06/05/2024 - 12/05/2024</v>
      </c>
      <c r="L465" s="34">
        <v>45418</v>
      </c>
      <c r="M465" s="34">
        <v>45424</v>
      </c>
    </row>
    <row r="466" spans="5:13">
      <c r="E466">
        <f t="shared" si="55"/>
        <v>5</v>
      </c>
      <c r="F466" t="str">
        <f t="shared" si="53"/>
        <v>M05CIP1</v>
      </c>
      <c r="G466" s="1">
        <f t="shared" si="56"/>
        <v>45425</v>
      </c>
      <c r="H466" s="8" t="s">
        <v>6861</v>
      </c>
      <c r="I466" t="s">
        <v>6843</v>
      </c>
      <c r="J466" t="str">
        <f t="shared" si="54"/>
        <v>Semana 19CIP1</v>
      </c>
      <c r="K466" t="str">
        <f t="shared" si="52"/>
        <v>Semana 19CIP1
13/05/2024 - 19/05/2024</v>
      </c>
      <c r="L466" s="34">
        <v>45425</v>
      </c>
      <c r="M466" s="34">
        <v>45431</v>
      </c>
    </row>
    <row r="467" spans="5:13">
      <c r="E467">
        <f t="shared" si="55"/>
        <v>5</v>
      </c>
      <c r="F467" t="str">
        <f t="shared" si="53"/>
        <v>M05CIP1</v>
      </c>
      <c r="G467" s="1">
        <f t="shared" si="56"/>
        <v>45432</v>
      </c>
      <c r="H467" s="8" t="s">
        <v>6862</v>
      </c>
      <c r="I467" t="s">
        <v>6843</v>
      </c>
      <c r="J467" t="str">
        <f t="shared" si="54"/>
        <v>Semana 20CIP1</v>
      </c>
      <c r="K467" t="str">
        <f t="shared" si="52"/>
        <v>Semana 20CIP1
20/05/2024 - 27/05/2024</v>
      </c>
      <c r="L467" s="34">
        <v>45432</v>
      </c>
      <c r="M467" s="34">
        <v>45439</v>
      </c>
    </row>
    <row r="468" spans="5:13">
      <c r="E468">
        <f t="shared" si="55"/>
        <v>6</v>
      </c>
      <c r="F468" t="str">
        <f t="shared" si="53"/>
        <v>M06CIP1</v>
      </c>
      <c r="G468" s="1">
        <f t="shared" si="56"/>
        <v>45440</v>
      </c>
      <c r="H468" s="8" t="s">
        <v>6863</v>
      </c>
      <c r="I468" t="s">
        <v>6843</v>
      </c>
      <c r="J468" t="str">
        <f t="shared" si="54"/>
        <v>Semana 21CIP1</v>
      </c>
      <c r="K468" t="str">
        <f t="shared" si="52"/>
        <v>Semana 21CIP1
28/05/2024 - 02/06/2024</v>
      </c>
      <c r="L468" s="34">
        <v>45440</v>
      </c>
      <c r="M468" s="34">
        <v>45445</v>
      </c>
    </row>
    <row r="469" spans="5:13">
      <c r="E469">
        <f t="shared" si="55"/>
        <v>6</v>
      </c>
      <c r="F469" t="str">
        <f t="shared" si="53"/>
        <v>M06CIP1</v>
      </c>
      <c r="G469" s="1">
        <f t="shared" si="56"/>
        <v>45446</v>
      </c>
      <c r="H469" s="8" t="s">
        <v>6864</v>
      </c>
      <c r="I469" t="s">
        <v>6843</v>
      </c>
      <c r="J469" t="str">
        <f t="shared" si="54"/>
        <v>Semana 22CIP1</v>
      </c>
      <c r="K469" t="str">
        <f t="shared" si="52"/>
        <v>Semana 22CIP1
03/06/2024 - 09/06/2024</v>
      </c>
      <c r="L469" s="34">
        <v>45446</v>
      </c>
      <c r="M469" s="34">
        <v>45452</v>
      </c>
    </row>
    <row r="470" spans="5:13">
      <c r="E470">
        <f t="shared" si="55"/>
        <v>6</v>
      </c>
      <c r="F470" t="str">
        <f t="shared" si="53"/>
        <v>M06CIP1</v>
      </c>
      <c r="G470" s="1">
        <f t="shared" si="56"/>
        <v>45453</v>
      </c>
      <c r="H470" s="8" t="s">
        <v>6865</v>
      </c>
      <c r="I470" t="s">
        <v>6843</v>
      </c>
      <c r="J470" t="str">
        <f t="shared" si="54"/>
        <v>Semana 23CIP1</v>
      </c>
      <c r="K470" t="str">
        <f t="shared" si="52"/>
        <v>Semana 23CIP1
10/06/2024 - 16/06/2024</v>
      </c>
      <c r="L470" s="34">
        <v>45453</v>
      </c>
      <c r="M470" s="34">
        <v>45459</v>
      </c>
    </row>
    <row r="471" spans="5:13">
      <c r="E471">
        <f t="shared" si="55"/>
        <v>6</v>
      </c>
      <c r="F471" t="str">
        <f t="shared" si="53"/>
        <v>M06CIP1</v>
      </c>
      <c r="G471" s="1">
        <f t="shared" si="56"/>
        <v>45460</v>
      </c>
      <c r="H471" s="8" t="s">
        <v>6866</v>
      </c>
      <c r="I471" t="s">
        <v>6843</v>
      </c>
      <c r="J471" t="str">
        <f t="shared" si="54"/>
        <v>Semana 24CIP1</v>
      </c>
      <c r="K471" t="str">
        <f t="shared" si="52"/>
        <v>Semana 24CIP1
17/06/2024 - 27/06/2024</v>
      </c>
      <c r="L471" s="34">
        <v>45460</v>
      </c>
      <c r="M471" s="34">
        <v>45470</v>
      </c>
    </row>
    <row r="472" spans="5:13">
      <c r="E472">
        <f t="shared" si="55"/>
        <v>7</v>
      </c>
      <c r="F472" t="str">
        <f t="shared" si="53"/>
        <v>M07CIP1</v>
      </c>
      <c r="G472" s="1">
        <f t="shared" si="56"/>
        <v>45471</v>
      </c>
      <c r="H472" s="8" t="s">
        <v>6867</v>
      </c>
      <c r="I472" t="s">
        <v>6843</v>
      </c>
      <c r="J472" t="str">
        <f t="shared" si="54"/>
        <v>Semana 25CIP1</v>
      </c>
      <c r="K472" t="str">
        <f t="shared" si="52"/>
        <v>Semana 25CIP1
28/06/2024 - 07/07/2024</v>
      </c>
      <c r="L472" s="34">
        <v>45471</v>
      </c>
      <c r="M472" s="34">
        <v>45480</v>
      </c>
    </row>
    <row r="473" spans="5:13">
      <c r="E473">
        <f t="shared" si="55"/>
        <v>7</v>
      </c>
      <c r="F473" t="str">
        <f t="shared" si="53"/>
        <v>M07CIP1</v>
      </c>
      <c r="G473" s="1">
        <f t="shared" si="56"/>
        <v>45481</v>
      </c>
      <c r="H473" s="8" t="s">
        <v>6868</v>
      </c>
      <c r="I473" t="s">
        <v>6843</v>
      </c>
      <c r="J473" t="str">
        <f t="shared" si="54"/>
        <v>Semana 26CIP1</v>
      </c>
      <c r="K473" t="str">
        <f t="shared" si="52"/>
        <v>Semana 26CIP1
08/07/2024 - 14/07/2024</v>
      </c>
      <c r="L473" s="34">
        <v>45481</v>
      </c>
      <c r="M473" s="34">
        <v>45487</v>
      </c>
    </row>
    <row r="474" spans="5:13">
      <c r="E474">
        <f t="shared" si="55"/>
        <v>7</v>
      </c>
      <c r="F474" t="str">
        <f t="shared" si="53"/>
        <v>M07CIP1</v>
      </c>
      <c r="G474" s="1">
        <f t="shared" si="56"/>
        <v>45488</v>
      </c>
      <c r="H474" s="8" t="s">
        <v>6869</v>
      </c>
      <c r="I474" t="s">
        <v>6843</v>
      </c>
      <c r="J474" t="str">
        <f t="shared" si="54"/>
        <v>Semana 27CIP1</v>
      </c>
      <c r="K474" t="str">
        <f t="shared" si="52"/>
        <v>Semana 27CIP1
15/07/2024 - 21/07/2024</v>
      </c>
      <c r="L474" s="34">
        <v>45488</v>
      </c>
      <c r="M474" s="34">
        <v>45494</v>
      </c>
    </row>
    <row r="475" spans="5:13">
      <c r="E475">
        <f t="shared" si="55"/>
        <v>7</v>
      </c>
      <c r="F475" t="str">
        <f t="shared" si="53"/>
        <v>M07CIP1</v>
      </c>
      <c r="G475" s="1">
        <f t="shared" si="56"/>
        <v>45495</v>
      </c>
      <c r="H475" s="8" t="s">
        <v>6870</v>
      </c>
      <c r="I475" t="s">
        <v>6843</v>
      </c>
      <c r="J475" t="str">
        <f t="shared" si="54"/>
        <v>Semana 28CIP1</v>
      </c>
      <c r="K475" t="str">
        <f t="shared" ref="K475:K495" si="57">H475&amp;"
"&amp;TEXT(L475,"dd/mm/ee")&amp;" - "&amp;TEXT(M475,"dd/mm/ee")</f>
        <v>Semana 28CIP1
22/07/2024 - 27/07/2024</v>
      </c>
      <c r="L475" s="34">
        <v>45495</v>
      </c>
      <c r="M475" s="34">
        <v>45500</v>
      </c>
    </row>
    <row r="476" spans="5:13">
      <c r="E476">
        <f t="shared" si="55"/>
        <v>8</v>
      </c>
      <c r="F476" t="str">
        <f t="shared" si="53"/>
        <v>M08CIP1</v>
      </c>
      <c r="G476" s="1">
        <f t="shared" si="56"/>
        <v>45501</v>
      </c>
      <c r="H476" s="8" t="s">
        <v>6871</v>
      </c>
      <c r="I476" t="s">
        <v>6843</v>
      </c>
      <c r="J476" t="str">
        <f t="shared" si="54"/>
        <v>Semana 29CIP1</v>
      </c>
      <c r="K476" t="str">
        <f t="shared" si="57"/>
        <v>Semana 29CIP1
28/07/2024 - 04/08/2024</v>
      </c>
      <c r="L476" s="34">
        <v>45501</v>
      </c>
      <c r="M476" s="34">
        <v>45508</v>
      </c>
    </row>
    <row r="477" spans="5:13">
      <c r="E477">
        <f t="shared" si="55"/>
        <v>8</v>
      </c>
      <c r="F477" t="str">
        <f t="shared" si="53"/>
        <v>M08CIP1</v>
      </c>
      <c r="G477" s="1">
        <f t="shared" si="56"/>
        <v>45509</v>
      </c>
      <c r="H477" s="8" t="s">
        <v>6872</v>
      </c>
      <c r="I477" t="s">
        <v>6843</v>
      </c>
      <c r="J477" t="str">
        <f t="shared" si="54"/>
        <v>Semana 30CIP1</v>
      </c>
      <c r="K477" t="str">
        <f t="shared" si="57"/>
        <v>Semana 30CIP1
05/08/2024 - 11/08/2024</v>
      </c>
      <c r="L477" s="34">
        <v>45509</v>
      </c>
      <c r="M477" s="34">
        <v>45515</v>
      </c>
    </row>
    <row r="478" spans="5:13">
      <c r="E478">
        <f t="shared" si="55"/>
        <v>8</v>
      </c>
      <c r="F478" t="str">
        <f t="shared" si="53"/>
        <v>M08CIP1</v>
      </c>
      <c r="G478" s="1">
        <f t="shared" si="56"/>
        <v>45516</v>
      </c>
      <c r="H478" s="8" t="s">
        <v>6873</v>
      </c>
      <c r="I478" t="s">
        <v>6843</v>
      </c>
      <c r="J478" t="str">
        <f t="shared" si="54"/>
        <v>Semana 31CIP1</v>
      </c>
      <c r="K478" t="str">
        <f t="shared" si="57"/>
        <v>Semana 31CIP1
12/08/2024 - 18/08/2024</v>
      </c>
      <c r="L478" s="34">
        <v>45516</v>
      </c>
      <c r="M478" s="34">
        <v>45522</v>
      </c>
    </row>
    <row r="479" spans="5:13">
      <c r="E479">
        <f t="shared" si="55"/>
        <v>8</v>
      </c>
      <c r="F479" t="str">
        <f t="shared" si="53"/>
        <v>M08CIP1</v>
      </c>
      <c r="G479" s="1">
        <f t="shared" si="56"/>
        <v>45523</v>
      </c>
      <c r="H479" s="8" t="s">
        <v>6874</v>
      </c>
      <c r="I479" t="s">
        <v>6843</v>
      </c>
      <c r="J479" t="str">
        <f t="shared" si="54"/>
        <v>Semana 32CIP1</v>
      </c>
      <c r="K479" t="str">
        <f t="shared" si="57"/>
        <v>Semana 32CIP1
19/08/2024 - 27/08/2024</v>
      </c>
      <c r="L479" s="34">
        <v>45523</v>
      </c>
      <c r="M479" s="34">
        <v>45531</v>
      </c>
    </row>
    <row r="480" spans="5:13">
      <c r="E480">
        <f t="shared" si="55"/>
        <v>9</v>
      </c>
      <c r="F480" t="str">
        <f t="shared" si="53"/>
        <v>M09CIP1</v>
      </c>
      <c r="G480" s="1">
        <f t="shared" si="56"/>
        <v>45532</v>
      </c>
      <c r="H480" s="8" t="s">
        <v>6875</v>
      </c>
      <c r="I480" t="s">
        <v>6843</v>
      </c>
      <c r="J480" t="str">
        <f t="shared" si="54"/>
        <v>Semana 33CIP1</v>
      </c>
      <c r="K480" t="str">
        <f t="shared" si="57"/>
        <v>Semana 33CIP1
28/08/2024 - 08/09/2024</v>
      </c>
      <c r="L480" s="34">
        <v>45532</v>
      </c>
      <c r="M480" s="34">
        <v>45543</v>
      </c>
    </row>
    <row r="481" spans="5:13">
      <c r="E481">
        <f t="shared" si="55"/>
        <v>9</v>
      </c>
      <c r="F481" t="str">
        <f t="shared" si="53"/>
        <v>M09CIP1</v>
      </c>
      <c r="G481" s="1">
        <f t="shared" si="56"/>
        <v>45544</v>
      </c>
      <c r="H481" s="8" t="s">
        <v>6876</v>
      </c>
      <c r="I481" t="s">
        <v>6843</v>
      </c>
      <c r="J481" t="str">
        <f t="shared" si="54"/>
        <v>Semana 34CIP1</v>
      </c>
      <c r="K481" t="str">
        <f t="shared" si="57"/>
        <v>Semana 34CIP1
09/09/2024 - 15/09/2024</v>
      </c>
      <c r="L481" s="34">
        <v>45544</v>
      </c>
      <c r="M481" s="34">
        <v>45550</v>
      </c>
    </row>
    <row r="482" spans="5:13">
      <c r="E482">
        <f t="shared" si="55"/>
        <v>9</v>
      </c>
      <c r="F482" t="str">
        <f t="shared" si="53"/>
        <v>M09CIP1</v>
      </c>
      <c r="G482" s="1">
        <f t="shared" si="56"/>
        <v>45551</v>
      </c>
      <c r="H482" s="8" t="s">
        <v>6877</v>
      </c>
      <c r="I482" t="s">
        <v>6843</v>
      </c>
      <c r="J482" t="str">
        <f t="shared" si="54"/>
        <v>Semana 35CIP1</v>
      </c>
      <c r="K482" t="str">
        <f t="shared" si="57"/>
        <v>Semana 35CIP1
16/09/2024 - 22/09/2024</v>
      </c>
      <c r="L482" s="34">
        <v>45551</v>
      </c>
      <c r="M482" s="34">
        <v>45557</v>
      </c>
    </row>
    <row r="483" spans="5:13">
      <c r="E483">
        <f t="shared" si="55"/>
        <v>9</v>
      </c>
      <c r="F483" t="str">
        <f t="shared" si="53"/>
        <v>M09CIP1</v>
      </c>
      <c r="G483" s="1">
        <f t="shared" si="56"/>
        <v>45558</v>
      </c>
      <c r="H483" s="8" t="s">
        <v>6878</v>
      </c>
      <c r="I483" t="s">
        <v>6843</v>
      </c>
      <c r="J483" t="str">
        <f t="shared" si="54"/>
        <v>Semana 36CIP1</v>
      </c>
      <c r="K483" t="str">
        <f t="shared" si="57"/>
        <v>Semana 36CIP1
23/09/2024 - 27/09/2024</v>
      </c>
      <c r="L483" s="34">
        <v>45558</v>
      </c>
      <c r="M483" s="34">
        <v>45562</v>
      </c>
    </row>
    <row r="484" spans="5:13">
      <c r="E484">
        <f t="shared" si="55"/>
        <v>10</v>
      </c>
      <c r="F484" t="str">
        <f t="shared" si="53"/>
        <v>M10CIP1</v>
      </c>
      <c r="G484" s="1">
        <f t="shared" si="56"/>
        <v>45563</v>
      </c>
      <c r="H484" s="8" t="s">
        <v>6879</v>
      </c>
      <c r="I484" t="s">
        <v>6843</v>
      </c>
      <c r="J484" t="str">
        <f t="shared" si="54"/>
        <v>Semana 37CIP1</v>
      </c>
      <c r="K484" t="str">
        <f t="shared" si="57"/>
        <v>Semana 37CIP1
28/09/2024 - 06/10/2024</v>
      </c>
      <c r="L484" s="34">
        <v>45563</v>
      </c>
      <c r="M484" s="34">
        <v>45571</v>
      </c>
    </row>
    <row r="485" spans="5:13">
      <c r="E485">
        <f t="shared" si="55"/>
        <v>10</v>
      </c>
      <c r="F485" t="str">
        <f t="shared" si="53"/>
        <v>M10CIP1</v>
      </c>
      <c r="G485" s="1">
        <f t="shared" si="56"/>
        <v>45572</v>
      </c>
      <c r="H485" s="8" t="s">
        <v>6880</v>
      </c>
      <c r="I485" t="s">
        <v>6843</v>
      </c>
      <c r="J485" t="str">
        <f t="shared" si="54"/>
        <v>Semana 38CIP1</v>
      </c>
      <c r="K485" t="str">
        <f t="shared" si="57"/>
        <v>Semana 38CIP1
07/10/2024 - 13/10/2024</v>
      </c>
      <c r="L485" s="34">
        <v>45572</v>
      </c>
      <c r="M485" s="34">
        <v>45578</v>
      </c>
    </row>
    <row r="486" spans="5:13">
      <c r="E486">
        <f t="shared" si="55"/>
        <v>10</v>
      </c>
      <c r="F486" t="str">
        <f t="shared" si="53"/>
        <v>M10CIP1</v>
      </c>
      <c r="G486" s="1">
        <f t="shared" si="56"/>
        <v>45579</v>
      </c>
      <c r="H486" s="8" t="s">
        <v>6881</v>
      </c>
      <c r="I486" t="s">
        <v>6843</v>
      </c>
      <c r="J486" t="str">
        <f t="shared" si="54"/>
        <v>Semana 39CIP1</v>
      </c>
      <c r="K486" t="str">
        <f t="shared" si="57"/>
        <v>Semana 39CIP1
14/10/2024 - 20/10/2024</v>
      </c>
      <c r="L486" s="34">
        <v>45579</v>
      </c>
      <c r="M486" s="34">
        <v>45585</v>
      </c>
    </row>
    <row r="487" spans="5:13">
      <c r="E487">
        <f t="shared" si="55"/>
        <v>10</v>
      </c>
      <c r="F487" t="str">
        <f t="shared" si="53"/>
        <v>M10CIP1</v>
      </c>
      <c r="G487" s="1">
        <f t="shared" si="56"/>
        <v>45586</v>
      </c>
      <c r="H487" s="8" t="s">
        <v>6882</v>
      </c>
      <c r="I487" t="s">
        <v>6843</v>
      </c>
      <c r="J487" t="str">
        <f t="shared" si="54"/>
        <v>Semana 40CIP1</v>
      </c>
      <c r="K487" t="str">
        <f t="shared" si="57"/>
        <v>Semana 40CIP1
21/10/2024 - 27/10/2024</v>
      </c>
      <c r="L487" s="34">
        <v>45586</v>
      </c>
      <c r="M487" s="34">
        <v>45592</v>
      </c>
    </row>
    <row r="488" spans="5:13">
      <c r="E488">
        <f t="shared" si="55"/>
        <v>11</v>
      </c>
      <c r="F488" t="str">
        <f t="shared" si="53"/>
        <v>M11CIP1</v>
      </c>
      <c r="G488" s="1">
        <f t="shared" si="56"/>
        <v>45593</v>
      </c>
      <c r="H488" s="8" t="s">
        <v>6883</v>
      </c>
      <c r="I488" t="s">
        <v>6843</v>
      </c>
      <c r="J488" t="str">
        <f t="shared" si="54"/>
        <v>Semana 41CIP1</v>
      </c>
      <c r="K488" t="str">
        <f t="shared" si="57"/>
        <v>Semana 41CIP1
28/10/2024 - 03/11/2024</v>
      </c>
      <c r="L488" s="34">
        <v>45593</v>
      </c>
      <c r="M488" s="34">
        <v>45599</v>
      </c>
    </row>
    <row r="489" spans="5:13">
      <c r="E489">
        <f t="shared" si="55"/>
        <v>11</v>
      </c>
      <c r="F489" t="str">
        <f t="shared" si="53"/>
        <v>M11CIP1</v>
      </c>
      <c r="G489" s="1">
        <f t="shared" si="56"/>
        <v>45600</v>
      </c>
      <c r="H489" s="8" t="s">
        <v>6884</v>
      </c>
      <c r="I489" t="s">
        <v>6843</v>
      </c>
      <c r="J489" t="str">
        <f t="shared" si="54"/>
        <v>Semana 42CIP1</v>
      </c>
      <c r="K489" t="str">
        <f t="shared" si="57"/>
        <v>Semana 42CIP1
04/11/2024 - 10/11/2024</v>
      </c>
      <c r="L489" s="34">
        <v>45600</v>
      </c>
      <c r="M489" s="34">
        <v>45606</v>
      </c>
    </row>
    <row r="490" spans="5:13">
      <c r="E490">
        <f t="shared" si="55"/>
        <v>11</v>
      </c>
      <c r="F490" t="str">
        <f t="shared" si="53"/>
        <v>M11CIP1</v>
      </c>
      <c r="G490" s="1">
        <f t="shared" si="56"/>
        <v>45607</v>
      </c>
      <c r="H490" s="8" t="s">
        <v>6885</v>
      </c>
      <c r="I490" t="s">
        <v>6843</v>
      </c>
      <c r="J490" t="str">
        <f t="shared" si="54"/>
        <v>Semana 43CIP1</v>
      </c>
      <c r="K490" t="str">
        <f t="shared" si="57"/>
        <v>Semana 43CIP1
11/11/2024 - 17/11/2024</v>
      </c>
      <c r="L490" s="34">
        <v>45607</v>
      </c>
      <c r="M490" s="34">
        <v>45613</v>
      </c>
    </row>
    <row r="491" spans="5:13">
      <c r="E491">
        <f t="shared" si="55"/>
        <v>11</v>
      </c>
      <c r="F491" t="str">
        <f t="shared" si="53"/>
        <v>M11CIP1</v>
      </c>
      <c r="G491" s="1">
        <f t="shared" si="56"/>
        <v>45614</v>
      </c>
      <c r="H491" s="8" t="s">
        <v>6886</v>
      </c>
      <c r="I491" t="s">
        <v>6843</v>
      </c>
      <c r="J491" t="str">
        <f t="shared" si="54"/>
        <v>Semana 44CIP1</v>
      </c>
      <c r="K491" t="str">
        <f t="shared" si="57"/>
        <v>Semana 44CIP1
18/11/2024 - 27/11/2024</v>
      </c>
      <c r="L491" s="34">
        <v>45614</v>
      </c>
      <c r="M491" s="34">
        <v>45623</v>
      </c>
    </row>
    <row r="492" spans="5:13">
      <c r="E492">
        <f t="shared" si="55"/>
        <v>12</v>
      </c>
      <c r="F492" t="str">
        <f t="shared" si="53"/>
        <v>M12CIP1</v>
      </c>
      <c r="G492" s="1">
        <f t="shared" si="56"/>
        <v>45624</v>
      </c>
      <c r="H492" s="8" t="s">
        <v>6887</v>
      </c>
      <c r="I492" t="s">
        <v>6843</v>
      </c>
      <c r="J492" t="str">
        <f t="shared" si="54"/>
        <v>Semana 45CIP1</v>
      </c>
      <c r="K492" t="str">
        <f t="shared" si="57"/>
        <v>Semana 45CIP1
28/11/2024 - 08/12/2024</v>
      </c>
      <c r="L492" s="34">
        <v>45624</v>
      </c>
      <c r="M492" s="34">
        <v>45634</v>
      </c>
    </row>
    <row r="493" spans="5:13">
      <c r="E493">
        <f t="shared" si="55"/>
        <v>12</v>
      </c>
      <c r="F493" t="str">
        <f t="shared" si="53"/>
        <v>M12CIP1</v>
      </c>
      <c r="G493" s="1">
        <f t="shared" si="56"/>
        <v>45635</v>
      </c>
      <c r="H493" s="8" t="s">
        <v>6888</v>
      </c>
      <c r="I493" t="s">
        <v>6843</v>
      </c>
      <c r="J493" t="str">
        <f t="shared" si="54"/>
        <v>Semana 46CIP1</v>
      </c>
      <c r="K493" t="str">
        <f t="shared" si="57"/>
        <v>Semana 46CIP1
09/12/2024 - 15/12/2024</v>
      </c>
      <c r="L493" s="34">
        <v>45635</v>
      </c>
      <c r="M493" s="34">
        <v>45641</v>
      </c>
    </row>
    <row r="494" spans="5:13">
      <c r="E494">
        <f t="shared" si="55"/>
        <v>12</v>
      </c>
      <c r="F494" t="str">
        <f t="shared" si="53"/>
        <v>M12CIP1</v>
      </c>
      <c r="G494" s="1">
        <f t="shared" si="56"/>
        <v>45642</v>
      </c>
      <c r="H494" s="8" t="s">
        <v>6889</v>
      </c>
      <c r="I494" t="s">
        <v>6843</v>
      </c>
      <c r="J494" t="str">
        <f t="shared" si="54"/>
        <v>Semana 47CIP1</v>
      </c>
      <c r="K494" t="str">
        <f t="shared" si="57"/>
        <v>Semana 47CIP1
16/12/2024 - 22/12/2024</v>
      </c>
      <c r="L494" s="34">
        <v>45642</v>
      </c>
      <c r="M494" s="34">
        <v>45648</v>
      </c>
    </row>
    <row r="495" spans="5:13">
      <c r="E495">
        <f t="shared" si="55"/>
        <v>12</v>
      </c>
      <c r="F495" t="str">
        <f t="shared" si="53"/>
        <v>M12CIP1</v>
      </c>
      <c r="G495" s="1">
        <f t="shared" si="56"/>
        <v>45649</v>
      </c>
      <c r="H495" s="8" t="s">
        <v>6890</v>
      </c>
      <c r="I495" t="s">
        <v>6843</v>
      </c>
      <c r="J495" t="str">
        <f t="shared" si="54"/>
        <v>Semana 48CIP1</v>
      </c>
      <c r="K495" t="str">
        <f t="shared" si="57"/>
        <v>Semana 48CIP1
23/12/2024 - 27/12/2024</v>
      </c>
      <c r="L495" s="34">
        <v>45649</v>
      </c>
      <c r="M495" s="34">
        <v>45653</v>
      </c>
    </row>
    <row r="496" spans="5:13">
      <c r="E496">
        <v>1</v>
      </c>
      <c r="F496" t="str">
        <f t="shared" si="53"/>
        <v>M01CIP2</v>
      </c>
      <c r="G496" s="1">
        <f t="shared" si="56"/>
        <v>45654</v>
      </c>
      <c r="H496" s="8" t="s">
        <v>6894</v>
      </c>
      <c r="I496" t="s">
        <v>6893</v>
      </c>
      <c r="J496" t="str">
        <f t="shared" ref="J496:J543" si="58">H496</f>
        <v>Semana 01CIP2</v>
      </c>
      <c r="K496" t="str">
        <f t="shared" ref="K496:K543" si="59">H496&amp;"
"&amp;TEXT(L496,"dd/mm/ee")&amp;" - "&amp;TEXT(M496,"dd/mm/ee")</f>
        <v>Semana 01CIP2
28/12/2024 - 05/01/2025</v>
      </c>
      <c r="L496" s="34">
        <v>45654</v>
      </c>
      <c r="M496" s="34">
        <v>45662</v>
      </c>
    </row>
    <row r="497" spans="5:13">
      <c r="E497">
        <v>1</v>
      </c>
      <c r="F497" t="str">
        <f t="shared" ref="F497:F543" si="60">"M"&amp;TEXT(E497,"00")&amp;I497</f>
        <v>M01CIP2</v>
      </c>
      <c r="G497" s="1">
        <f t="shared" ref="G497:G543" si="61">L497</f>
        <v>45663</v>
      </c>
      <c r="H497" s="8" t="s">
        <v>6895</v>
      </c>
      <c r="I497" t="s">
        <v>6893</v>
      </c>
      <c r="J497" t="str">
        <f t="shared" si="58"/>
        <v>Semana 02CIP2</v>
      </c>
      <c r="K497" t="str">
        <f t="shared" si="59"/>
        <v>Semana 02CIP2
06/01/2025 - 12/01/2025</v>
      </c>
      <c r="L497" s="34">
        <v>45663</v>
      </c>
      <c r="M497" s="34">
        <v>45669</v>
      </c>
    </row>
    <row r="498" spans="5:13">
      <c r="E498">
        <v>1</v>
      </c>
      <c r="F498" t="str">
        <f t="shared" si="60"/>
        <v>M01CIP2</v>
      </c>
      <c r="G498" s="1">
        <f t="shared" si="61"/>
        <v>45670</v>
      </c>
      <c r="H498" s="8" t="s">
        <v>6896</v>
      </c>
      <c r="I498" t="s">
        <v>6893</v>
      </c>
      <c r="J498" t="str">
        <f t="shared" si="58"/>
        <v>Semana 03CIP2</v>
      </c>
      <c r="K498" t="str">
        <f t="shared" si="59"/>
        <v>Semana 03CIP2
13/01/2025 - 19/01/2025</v>
      </c>
      <c r="L498" s="34">
        <v>45670</v>
      </c>
      <c r="M498" s="34">
        <v>45676</v>
      </c>
    </row>
    <row r="499" spans="5:13">
      <c r="E499">
        <v>1</v>
      </c>
      <c r="F499" t="str">
        <f t="shared" si="60"/>
        <v>M01CIP2</v>
      </c>
      <c r="G499" s="1">
        <f t="shared" si="61"/>
        <v>45677</v>
      </c>
      <c r="H499" s="8" t="s">
        <v>6897</v>
      </c>
      <c r="I499" t="s">
        <v>6893</v>
      </c>
      <c r="J499" t="str">
        <f t="shared" si="58"/>
        <v>Semana 04CIP2</v>
      </c>
      <c r="K499" t="str">
        <f t="shared" si="59"/>
        <v>Semana 04CIP2
20/01/2025 - 27/01/2025</v>
      </c>
      <c r="L499" s="34">
        <v>45677</v>
      </c>
      <c r="M499" s="34">
        <v>45684</v>
      </c>
    </row>
    <row r="500" spans="5:13">
      <c r="E500">
        <f>E496+1</f>
        <v>2</v>
      </c>
      <c r="F500" t="str">
        <f t="shared" si="60"/>
        <v>M02CIP2</v>
      </c>
      <c r="G500" s="1">
        <f t="shared" si="61"/>
        <v>45685</v>
      </c>
      <c r="H500" s="8" t="s">
        <v>6898</v>
      </c>
      <c r="I500" t="s">
        <v>6893</v>
      </c>
      <c r="J500" t="str">
        <f t="shared" si="58"/>
        <v>Semana 05CIP2</v>
      </c>
      <c r="K500" t="str">
        <f t="shared" si="59"/>
        <v>Semana 05CIP2
28/01/2025 - 09/02/2025</v>
      </c>
      <c r="L500" s="34">
        <v>45685</v>
      </c>
      <c r="M500" s="34">
        <v>45697</v>
      </c>
    </row>
    <row r="501" spans="5:13">
      <c r="E501">
        <f t="shared" ref="E501:E543" si="62">E497+1</f>
        <v>2</v>
      </c>
      <c r="F501" t="str">
        <f t="shared" si="60"/>
        <v>M02CIP2</v>
      </c>
      <c r="G501" s="1">
        <f t="shared" si="61"/>
        <v>45698</v>
      </c>
      <c r="H501" s="8" t="s">
        <v>6899</v>
      </c>
      <c r="I501" t="s">
        <v>6893</v>
      </c>
      <c r="J501" t="str">
        <f t="shared" si="58"/>
        <v>Semana 06CIP2</v>
      </c>
      <c r="K501" t="str">
        <f t="shared" si="59"/>
        <v>Semana 06CIP2
10/02/2025 - 16/02/2025</v>
      </c>
      <c r="L501" s="34">
        <v>45698</v>
      </c>
      <c r="M501" s="34">
        <v>45704</v>
      </c>
    </row>
    <row r="502" spans="5:13">
      <c r="E502">
        <f t="shared" si="62"/>
        <v>2</v>
      </c>
      <c r="F502" t="str">
        <f t="shared" si="60"/>
        <v>M02CIP2</v>
      </c>
      <c r="G502" s="1">
        <f t="shared" si="61"/>
        <v>45705</v>
      </c>
      <c r="H502" s="8" t="s">
        <v>6900</v>
      </c>
      <c r="I502" t="s">
        <v>6893</v>
      </c>
      <c r="J502" t="str">
        <f t="shared" si="58"/>
        <v>Semana 07CIP2</v>
      </c>
      <c r="K502" t="str">
        <f t="shared" si="59"/>
        <v>Semana 07CIP2
17/02/2025 - 23/02/2025</v>
      </c>
      <c r="L502" s="34">
        <v>45705</v>
      </c>
      <c r="M502" s="34">
        <v>45711</v>
      </c>
    </row>
    <row r="503" spans="5:13">
      <c r="E503">
        <f t="shared" si="62"/>
        <v>2</v>
      </c>
      <c r="F503" t="str">
        <f t="shared" si="60"/>
        <v>M02CIP2</v>
      </c>
      <c r="G503" s="1">
        <f t="shared" si="61"/>
        <v>45712</v>
      </c>
      <c r="H503" s="8" t="s">
        <v>6901</v>
      </c>
      <c r="I503" t="s">
        <v>6893</v>
      </c>
      <c r="J503" t="str">
        <f t="shared" si="58"/>
        <v>Semana 08CIP2</v>
      </c>
      <c r="K503" t="str">
        <f t="shared" si="59"/>
        <v>Semana 08CIP2
24/02/2025 - 27/02/2025</v>
      </c>
      <c r="L503" s="34">
        <v>45712</v>
      </c>
      <c r="M503" s="34">
        <v>45715</v>
      </c>
    </row>
    <row r="504" spans="5:13">
      <c r="E504">
        <f t="shared" si="62"/>
        <v>3</v>
      </c>
      <c r="F504" t="str">
        <f t="shared" si="60"/>
        <v>M03CIP2</v>
      </c>
      <c r="G504" s="1">
        <f t="shared" si="61"/>
        <v>45716</v>
      </c>
      <c r="H504" s="8" t="s">
        <v>6902</v>
      </c>
      <c r="I504" t="s">
        <v>6893</v>
      </c>
      <c r="J504" t="str">
        <f t="shared" si="58"/>
        <v>Semana 09CIP2</v>
      </c>
      <c r="K504" t="str">
        <f t="shared" si="59"/>
        <v>Semana 09CIP2
28/02/2025 - 09/03/2025</v>
      </c>
      <c r="L504" s="34">
        <v>45716</v>
      </c>
      <c r="M504" s="34">
        <v>45725</v>
      </c>
    </row>
    <row r="505" spans="5:13">
      <c r="E505">
        <f t="shared" si="62"/>
        <v>3</v>
      </c>
      <c r="F505" t="str">
        <f t="shared" si="60"/>
        <v>M03CIP2</v>
      </c>
      <c r="G505" s="1">
        <f t="shared" si="61"/>
        <v>45726</v>
      </c>
      <c r="H505" s="8" t="s">
        <v>6903</v>
      </c>
      <c r="I505" t="s">
        <v>6893</v>
      </c>
      <c r="J505" t="str">
        <f t="shared" si="58"/>
        <v>Semana 10CIP2</v>
      </c>
      <c r="K505" t="str">
        <f t="shared" si="59"/>
        <v>Semana 10CIP2
10/03/2025 - 16/03/2025</v>
      </c>
      <c r="L505" s="34">
        <v>45726</v>
      </c>
      <c r="M505" s="34">
        <v>45732</v>
      </c>
    </row>
    <row r="506" spans="5:13">
      <c r="E506">
        <f t="shared" si="62"/>
        <v>3</v>
      </c>
      <c r="F506" t="str">
        <f t="shared" si="60"/>
        <v>M03CIP2</v>
      </c>
      <c r="G506" s="1">
        <f t="shared" si="61"/>
        <v>45733</v>
      </c>
      <c r="H506" s="8" t="s">
        <v>6904</v>
      </c>
      <c r="I506" t="s">
        <v>6893</v>
      </c>
      <c r="J506" t="str">
        <f t="shared" si="58"/>
        <v>Semana 11CIP2</v>
      </c>
      <c r="K506" t="str">
        <f t="shared" si="59"/>
        <v>Semana 11CIP2
17/03/2025 - 23/03/2025</v>
      </c>
      <c r="L506" s="34">
        <v>45733</v>
      </c>
      <c r="M506" s="34">
        <v>45739</v>
      </c>
    </row>
    <row r="507" spans="5:13">
      <c r="E507">
        <f t="shared" si="62"/>
        <v>3</v>
      </c>
      <c r="F507" t="str">
        <f t="shared" si="60"/>
        <v>M03CIP2</v>
      </c>
      <c r="G507" s="1">
        <f t="shared" si="61"/>
        <v>45740</v>
      </c>
      <c r="H507" s="8" t="s">
        <v>6905</v>
      </c>
      <c r="I507" t="s">
        <v>6893</v>
      </c>
      <c r="J507" t="str">
        <f t="shared" si="58"/>
        <v>Semana 12CIP2</v>
      </c>
      <c r="K507" t="str">
        <f t="shared" si="59"/>
        <v>Semana 12CIP2
24/03/2025 - 27/03/2025</v>
      </c>
      <c r="L507" s="34">
        <v>45740</v>
      </c>
      <c r="M507" s="34">
        <v>45743</v>
      </c>
    </row>
    <row r="508" spans="5:13">
      <c r="E508">
        <f t="shared" si="62"/>
        <v>4</v>
      </c>
      <c r="F508" t="str">
        <f t="shared" si="60"/>
        <v>M04CIP2</v>
      </c>
      <c r="G508" s="1">
        <f t="shared" si="61"/>
        <v>45744</v>
      </c>
      <c r="H508" s="8" t="s">
        <v>6906</v>
      </c>
      <c r="I508" t="s">
        <v>6893</v>
      </c>
      <c r="J508" t="str">
        <f t="shared" si="58"/>
        <v>Semana 13CIP2</v>
      </c>
      <c r="K508" t="str">
        <f t="shared" si="59"/>
        <v>Semana 13CIP2
28/03/2025 - 06/04/2025</v>
      </c>
      <c r="L508" s="34">
        <v>45744</v>
      </c>
      <c r="M508" s="34">
        <v>45753</v>
      </c>
    </row>
    <row r="509" spans="5:13">
      <c r="E509">
        <f t="shared" si="62"/>
        <v>4</v>
      </c>
      <c r="F509" t="str">
        <f t="shared" si="60"/>
        <v>M04CIP2</v>
      </c>
      <c r="G509" s="1">
        <f t="shared" si="61"/>
        <v>45754</v>
      </c>
      <c r="H509" s="8" t="s">
        <v>6907</v>
      </c>
      <c r="I509" t="s">
        <v>6893</v>
      </c>
      <c r="J509" t="str">
        <f t="shared" si="58"/>
        <v>Semana 14CIP2</v>
      </c>
      <c r="K509" t="str">
        <f t="shared" si="59"/>
        <v>Semana 14CIP2
07/04/2025 - 13/04/2025</v>
      </c>
      <c r="L509" s="34">
        <v>45754</v>
      </c>
      <c r="M509" s="34">
        <v>45760</v>
      </c>
    </row>
    <row r="510" spans="5:13">
      <c r="E510">
        <f t="shared" si="62"/>
        <v>4</v>
      </c>
      <c r="F510" t="str">
        <f t="shared" si="60"/>
        <v>M04CIP2</v>
      </c>
      <c r="G510" s="1">
        <f t="shared" si="61"/>
        <v>45761</v>
      </c>
      <c r="H510" s="8" t="s">
        <v>6908</v>
      </c>
      <c r="I510" t="s">
        <v>6893</v>
      </c>
      <c r="J510" t="str">
        <f t="shared" si="58"/>
        <v>Semana 15CIP2</v>
      </c>
      <c r="K510" t="str">
        <f t="shared" si="59"/>
        <v>Semana 15CIP2
14/04/2025 - 20/04/2025</v>
      </c>
      <c r="L510" s="34">
        <v>45761</v>
      </c>
      <c r="M510" s="34">
        <v>45767</v>
      </c>
    </row>
    <row r="511" spans="5:13">
      <c r="E511">
        <f t="shared" si="62"/>
        <v>4</v>
      </c>
      <c r="F511" t="str">
        <f t="shared" si="60"/>
        <v>M04CIP2</v>
      </c>
      <c r="G511" s="1">
        <f t="shared" si="61"/>
        <v>45768</v>
      </c>
      <c r="H511" s="8" t="s">
        <v>6909</v>
      </c>
      <c r="I511" t="s">
        <v>6893</v>
      </c>
      <c r="J511" t="str">
        <f t="shared" si="58"/>
        <v>Semana 16CIP2</v>
      </c>
      <c r="K511" t="str">
        <f t="shared" si="59"/>
        <v>Semana 16CIP2
21/04/2025 - 27/04/2025</v>
      </c>
      <c r="L511" s="34">
        <v>45768</v>
      </c>
      <c r="M511" s="34">
        <v>45774</v>
      </c>
    </row>
    <row r="512" spans="5:13">
      <c r="E512">
        <f t="shared" si="62"/>
        <v>5</v>
      </c>
      <c r="F512" t="str">
        <f t="shared" si="60"/>
        <v>M05CIP2</v>
      </c>
      <c r="G512" s="1">
        <f t="shared" si="61"/>
        <v>45775</v>
      </c>
      <c r="H512" s="8" t="s">
        <v>6910</v>
      </c>
      <c r="I512" t="s">
        <v>6893</v>
      </c>
      <c r="J512" t="str">
        <f t="shared" si="58"/>
        <v>Semana 17CIP2</v>
      </c>
      <c r="K512" t="str">
        <f t="shared" si="59"/>
        <v>Semana 17CIP2
28/04/2025 - 04/05/2025</v>
      </c>
      <c r="L512" s="34">
        <v>45775</v>
      </c>
      <c r="M512" s="34">
        <v>45781</v>
      </c>
    </row>
    <row r="513" spans="5:13">
      <c r="E513">
        <f t="shared" si="62"/>
        <v>5</v>
      </c>
      <c r="F513" t="str">
        <f t="shared" si="60"/>
        <v>M05CIP2</v>
      </c>
      <c r="G513" s="1">
        <f t="shared" si="61"/>
        <v>45782</v>
      </c>
      <c r="H513" s="8" t="s">
        <v>6911</v>
      </c>
      <c r="I513" t="s">
        <v>6893</v>
      </c>
      <c r="J513" t="str">
        <f t="shared" si="58"/>
        <v>Semana 18CIP2</v>
      </c>
      <c r="K513" t="str">
        <f t="shared" si="59"/>
        <v>Semana 18CIP2
05/05/2025 - 11/05/2025</v>
      </c>
      <c r="L513" s="34">
        <v>45782</v>
      </c>
      <c r="M513" s="34">
        <v>45788</v>
      </c>
    </row>
    <row r="514" spans="5:13">
      <c r="E514">
        <f t="shared" si="62"/>
        <v>5</v>
      </c>
      <c r="F514" t="str">
        <f t="shared" si="60"/>
        <v>M05CIP2</v>
      </c>
      <c r="G514" s="1">
        <f t="shared" si="61"/>
        <v>45789</v>
      </c>
      <c r="H514" s="8" t="s">
        <v>6912</v>
      </c>
      <c r="I514" t="s">
        <v>6893</v>
      </c>
      <c r="J514" t="str">
        <f t="shared" si="58"/>
        <v>Semana 19CIP2</v>
      </c>
      <c r="K514" t="str">
        <f t="shared" si="59"/>
        <v>Semana 19CIP2
12/05/2025 - 18/05/2025</v>
      </c>
      <c r="L514" s="34">
        <v>45789</v>
      </c>
      <c r="M514" s="34">
        <v>45795</v>
      </c>
    </row>
    <row r="515" spans="5:13">
      <c r="E515">
        <f t="shared" si="62"/>
        <v>5</v>
      </c>
      <c r="F515" t="str">
        <f t="shared" si="60"/>
        <v>M05CIP2</v>
      </c>
      <c r="G515" s="1">
        <f t="shared" si="61"/>
        <v>45796</v>
      </c>
      <c r="H515" s="8" t="s">
        <v>6913</v>
      </c>
      <c r="I515" t="s">
        <v>6893</v>
      </c>
      <c r="J515" t="str">
        <f t="shared" si="58"/>
        <v>Semana 20CIP2</v>
      </c>
      <c r="K515" t="str">
        <f t="shared" si="59"/>
        <v>Semana 20CIP2
19/05/2025 - 27/05/2025</v>
      </c>
      <c r="L515" s="34">
        <v>45796</v>
      </c>
      <c r="M515" s="34">
        <v>45804</v>
      </c>
    </row>
    <row r="516" spans="5:13">
      <c r="E516">
        <f t="shared" si="62"/>
        <v>6</v>
      </c>
      <c r="F516" t="str">
        <f t="shared" si="60"/>
        <v>M06CIP2</v>
      </c>
      <c r="G516" s="1">
        <f t="shared" si="61"/>
        <v>45805</v>
      </c>
      <c r="H516" s="8" t="s">
        <v>6914</v>
      </c>
      <c r="I516" t="s">
        <v>6893</v>
      </c>
      <c r="J516" t="str">
        <f t="shared" si="58"/>
        <v>Semana 21CIP2</v>
      </c>
      <c r="K516" t="str">
        <f t="shared" si="59"/>
        <v>Semana 21CIP2
28/05/2025 - 08/06/2025</v>
      </c>
      <c r="L516" s="34">
        <v>45805</v>
      </c>
      <c r="M516" s="34">
        <v>45816</v>
      </c>
    </row>
    <row r="517" spans="5:13">
      <c r="E517">
        <f t="shared" si="62"/>
        <v>6</v>
      </c>
      <c r="F517" t="str">
        <f t="shared" si="60"/>
        <v>M06CIP2</v>
      </c>
      <c r="G517" s="1">
        <f t="shared" si="61"/>
        <v>45817</v>
      </c>
      <c r="H517" s="8" t="s">
        <v>6915</v>
      </c>
      <c r="I517" t="s">
        <v>6893</v>
      </c>
      <c r="J517" t="str">
        <f t="shared" si="58"/>
        <v>Semana 22CIP2</v>
      </c>
      <c r="K517" t="str">
        <f t="shared" si="59"/>
        <v>Semana 22CIP2
09/06/2025 - 15/06/2025</v>
      </c>
      <c r="L517" s="34">
        <v>45817</v>
      </c>
      <c r="M517" s="34">
        <v>45823</v>
      </c>
    </row>
    <row r="518" spans="5:13">
      <c r="E518">
        <f t="shared" si="62"/>
        <v>6</v>
      </c>
      <c r="F518" t="str">
        <f t="shared" si="60"/>
        <v>M06CIP2</v>
      </c>
      <c r="G518" s="1">
        <f t="shared" si="61"/>
        <v>45824</v>
      </c>
      <c r="H518" s="8" t="s">
        <v>6916</v>
      </c>
      <c r="I518" t="s">
        <v>6893</v>
      </c>
      <c r="J518" t="str">
        <f t="shared" si="58"/>
        <v>Semana 23CIP2</v>
      </c>
      <c r="K518" t="str">
        <f t="shared" si="59"/>
        <v>Semana 23CIP2
16/06/2025 - 22/06/2025</v>
      </c>
      <c r="L518" s="34">
        <v>45824</v>
      </c>
      <c r="M518" s="34">
        <v>45830</v>
      </c>
    </row>
    <row r="519" spans="5:13">
      <c r="E519">
        <f t="shared" si="62"/>
        <v>6</v>
      </c>
      <c r="F519" t="str">
        <f t="shared" si="60"/>
        <v>M06CIP2</v>
      </c>
      <c r="G519" s="1">
        <f t="shared" si="61"/>
        <v>45831</v>
      </c>
      <c r="H519" s="8" t="s">
        <v>6917</v>
      </c>
      <c r="I519" t="s">
        <v>6893</v>
      </c>
      <c r="J519" t="str">
        <f t="shared" si="58"/>
        <v>Semana 24CIP2</v>
      </c>
      <c r="K519" t="str">
        <f t="shared" si="59"/>
        <v>Semana 24CIP2
23/06/2025 - 27/06/2025</v>
      </c>
      <c r="L519" s="34">
        <v>45831</v>
      </c>
      <c r="M519" s="34">
        <v>45835</v>
      </c>
    </row>
    <row r="520" spans="5:13">
      <c r="E520">
        <f t="shared" si="62"/>
        <v>7</v>
      </c>
      <c r="F520" t="str">
        <f t="shared" si="60"/>
        <v>M07CIP2</v>
      </c>
      <c r="G520" s="1">
        <f t="shared" si="61"/>
        <v>45836</v>
      </c>
      <c r="H520" s="8" t="s">
        <v>6918</v>
      </c>
      <c r="I520" t="s">
        <v>6893</v>
      </c>
      <c r="J520" t="str">
        <f t="shared" si="58"/>
        <v>Semana 25CIP2</v>
      </c>
      <c r="K520" t="str">
        <f t="shared" si="59"/>
        <v>Semana 25CIP2
28/06/2025 - 06/07/2025</v>
      </c>
      <c r="L520" s="34">
        <v>45836</v>
      </c>
      <c r="M520" s="34">
        <v>45844</v>
      </c>
    </row>
    <row r="521" spans="5:13">
      <c r="E521">
        <f t="shared" si="62"/>
        <v>7</v>
      </c>
      <c r="F521" t="str">
        <f t="shared" si="60"/>
        <v>M07CIP2</v>
      </c>
      <c r="G521" s="1">
        <f t="shared" si="61"/>
        <v>45845</v>
      </c>
      <c r="H521" s="8" t="s">
        <v>6919</v>
      </c>
      <c r="I521" t="s">
        <v>6893</v>
      </c>
      <c r="J521" t="str">
        <f t="shared" si="58"/>
        <v>Semana 26CIP2</v>
      </c>
      <c r="K521" t="str">
        <f t="shared" si="59"/>
        <v>Semana 26CIP2
07/07/2025 - 13/07/2025</v>
      </c>
      <c r="L521" s="34">
        <v>45845</v>
      </c>
      <c r="M521" s="34">
        <v>45851</v>
      </c>
    </row>
    <row r="522" spans="5:13">
      <c r="E522">
        <f t="shared" si="62"/>
        <v>7</v>
      </c>
      <c r="F522" t="str">
        <f t="shared" si="60"/>
        <v>M07CIP2</v>
      </c>
      <c r="G522" s="1">
        <f t="shared" si="61"/>
        <v>45852</v>
      </c>
      <c r="H522" s="8" t="s">
        <v>6920</v>
      </c>
      <c r="I522" t="s">
        <v>6893</v>
      </c>
      <c r="J522" t="str">
        <f t="shared" si="58"/>
        <v>Semana 27CIP2</v>
      </c>
      <c r="K522" t="str">
        <f t="shared" si="59"/>
        <v>Semana 27CIP2
14/07/2025 - 20/07/2025</v>
      </c>
      <c r="L522" s="34">
        <v>45852</v>
      </c>
      <c r="M522" s="34">
        <v>45858</v>
      </c>
    </row>
    <row r="523" spans="5:13">
      <c r="E523">
        <f t="shared" si="62"/>
        <v>7</v>
      </c>
      <c r="F523" t="str">
        <f t="shared" si="60"/>
        <v>M07CIP2</v>
      </c>
      <c r="G523" s="1">
        <f t="shared" si="61"/>
        <v>45859</v>
      </c>
      <c r="H523" s="8" t="s">
        <v>6921</v>
      </c>
      <c r="I523" t="s">
        <v>6893</v>
      </c>
      <c r="J523" t="str">
        <f t="shared" si="58"/>
        <v>Semana 28CIP2</v>
      </c>
      <c r="K523" t="str">
        <f t="shared" si="59"/>
        <v>Semana 28CIP2
21/07/2025 - 27/07/2025</v>
      </c>
      <c r="L523" s="34">
        <v>45859</v>
      </c>
      <c r="M523" s="34">
        <v>45865</v>
      </c>
    </row>
    <row r="524" spans="5:13">
      <c r="E524">
        <f t="shared" si="62"/>
        <v>8</v>
      </c>
      <c r="F524" t="str">
        <f t="shared" si="60"/>
        <v>M08CIP2</v>
      </c>
      <c r="G524" s="1">
        <f t="shared" si="61"/>
        <v>45866</v>
      </c>
      <c r="H524" s="8" t="s">
        <v>6922</v>
      </c>
      <c r="I524" t="s">
        <v>6893</v>
      </c>
      <c r="J524" t="str">
        <f t="shared" si="58"/>
        <v>Semana 29CIP2</v>
      </c>
      <c r="K524" t="str">
        <f t="shared" si="59"/>
        <v>Semana 29CIP2
28/07/2025 - 03/08/2025</v>
      </c>
      <c r="L524" s="34">
        <v>45866</v>
      </c>
      <c r="M524" s="34">
        <v>45872</v>
      </c>
    </row>
    <row r="525" spans="5:13">
      <c r="E525">
        <f t="shared" si="62"/>
        <v>8</v>
      </c>
      <c r="F525" t="str">
        <f t="shared" si="60"/>
        <v>M08CIP2</v>
      </c>
      <c r="G525" s="1">
        <f t="shared" si="61"/>
        <v>45873</v>
      </c>
      <c r="H525" s="8" t="s">
        <v>6923</v>
      </c>
      <c r="I525" t="s">
        <v>6893</v>
      </c>
      <c r="J525" t="str">
        <f t="shared" si="58"/>
        <v>Semana 30CIP2</v>
      </c>
      <c r="K525" t="str">
        <f t="shared" si="59"/>
        <v>Semana 30CIP2
04/08/2025 - 10/08/2025</v>
      </c>
      <c r="L525" s="34">
        <v>45873</v>
      </c>
      <c r="M525" s="34">
        <v>45879</v>
      </c>
    </row>
    <row r="526" spans="5:13">
      <c r="E526">
        <f t="shared" si="62"/>
        <v>8</v>
      </c>
      <c r="F526" t="str">
        <f t="shared" si="60"/>
        <v>M08CIP2</v>
      </c>
      <c r="G526" s="1">
        <f t="shared" si="61"/>
        <v>45880</v>
      </c>
      <c r="H526" s="8" t="s">
        <v>6924</v>
      </c>
      <c r="I526" t="s">
        <v>6893</v>
      </c>
      <c r="J526" t="str">
        <f t="shared" si="58"/>
        <v>Semana 31CIP2</v>
      </c>
      <c r="K526" t="str">
        <f t="shared" si="59"/>
        <v>Semana 31CIP2
11/08/2025 - 17/08/2025</v>
      </c>
      <c r="L526" s="34">
        <v>45880</v>
      </c>
      <c r="M526" s="34">
        <v>45886</v>
      </c>
    </row>
    <row r="527" spans="5:13">
      <c r="E527">
        <f t="shared" si="62"/>
        <v>8</v>
      </c>
      <c r="F527" t="str">
        <f t="shared" si="60"/>
        <v>M08CIP2</v>
      </c>
      <c r="G527" s="1">
        <f t="shared" si="61"/>
        <v>45887</v>
      </c>
      <c r="H527" s="8" t="s">
        <v>6925</v>
      </c>
      <c r="I527" t="s">
        <v>6893</v>
      </c>
      <c r="J527" t="str">
        <f t="shared" si="58"/>
        <v>Semana 32CIP2</v>
      </c>
      <c r="K527" t="str">
        <f t="shared" si="59"/>
        <v>Semana 32CIP2
18/08/2025 - 27/08/2025</v>
      </c>
      <c r="L527" s="34">
        <v>45887</v>
      </c>
      <c r="M527" s="34">
        <v>45896</v>
      </c>
    </row>
    <row r="528" spans="5:13">
      <c r="E528">
        <f t="shared" si="62"/>
        <v>9</v>
      </c>
      <c r="F528" t="str">
        <f t="shared" si="60"/>
        <v>M09CIP2</v>
      </c>
      <c r="G528" s="1">
        <f t="shared" si="61"/>
        <v>45897</v>
      </c>
      <c r="H528" s="8" t="s">
        <v>6926</v>
      </c>
      <c r="I528" t="s">
        <v>6893</v>
      </c>
      <c r="J528" t="str">
        <f t="shared" si="58"/>
        <v>Semana 33CIP2</v>
      </c>
      <c r="K528" t="str">
        <f t="shared" si="59"/>
        <v>Semana 33CIP2
28/08/2025 - 07/09/2025</v>
      </c>
      <c r="L528" s="34">
        <v>45897</v>
      </c>
      <c r="M528" s="34">
        <v>45907</v>
      </c>
    </row>
    <row r="529" spans="5:13">
      <c r="E529">
        <f t="shared" si="62"/>
        <v>9</v>
      </c>
      <c r="F529" t="str">
        <f t="shared" si="60"/>
        <v>M09CIP2</v>
      </c>
      <c r="G529" s="1">
        <f t="shared" si="61"/>
        <v>45908</v>
      </c>
      <c r="H529" s="8" t="s">
        <v>6927</v>
      </c>
      <c r="I529" t="s">
        <v>6893</v>
      </c>
      <c r="J529" t="str">
        <f t="shared" si="58"/>
        <v>Semana 34CIP2</v>
      </c>
      <c r="K529" t="str">
        <f t="shared" si="59"/>
        <v>Semana 34CIP2
08/09/2025 - 14/09/2025</v>
      </c>
      <c r="L529" s="34">
        <v>45908</v>
      </c>
      <c r="M529" s="34">
        <v>45914</v>
      </c>
    </row>
    <row r="530" spans="5:13">
      <c r="E530">
        <f t="shared" si="62"/>
        <v>9</v>
      </c>
      <c r="F530" t="str">
        <f t="shared" si="60"/>
        <v>M09CIP2</v>
      </c>
      <c r="G530" s="1">
        <f t="shared" si="61"/>
        <v>45915</v>
      </c>
      <c r="H530" s="8" t="s">
        <v>6928</v>
      </c>
      <c r="I530" t="s">
        <v>6893</v>
      </c>
      <c r="J530" t="str">
        <f t="shared" si="58"/>
        <v>Semana 35CIP2</v>
      </c>
      <c r="K530" t="str">
        <f t="shared" si="59"/>
        <v>Semana 35CIP2
15/09/2025 - 21/09/2025</v>
      </c>
      <c r="L530" s="34">
        <v>45915</v>
      </c>
      <c r="M530" s="34">
        <v>45921</v>
      </c>
    </row>
    <row r="531" spans="5:13">
      <c r="E531">
        <f t="shared" si="62"/>
        <v>9</v>
      </c>
      <c r="F531" t="str">
        <f t="shared" si="60"/>
        <v>M09CIP2</v>
      </c>
      <c r="G531" s="1">
        <f t="shared" si="61"/>
        <v>45922</v>
      </c>
      <c r="H531" s="8" t="s">
        <v>6929</v>
      </c>
      <c r="I531" t="s">
        <v>6893</v>
      </c>
      <c r="J531" t="str">
        <f t="shared" si="58"/>
        <v>Semana 36CIP2</v>
      </c>
      <c r="K531" t="str">
        <f t="shared" si="59"/>
        <v>Semana 36CIP2
22/09/2025 - 27/09/2025</v>
      </c>
      <c r="L531" s="34">
        <v>45922</v>
      </c>
      <c r="M531" s="34">
        <v>45927</v>
      </c>
    </row>
    <row r="532" spans="5:13">
      <c r="E532">
        <f t="shared" si="62"/>
        <v>10</v>
      </c>
      <c r="F532" t="str">
        <f t="shared" si="60"/>
        <v>M10CIP2</v>
      </c>
      <c r="G532" s="1">
        <f t="shared" si="61"/>
        <v>45928</v>
      </c>
      <c r="H532" s="8" t="s">
        <v>6930</v>
      </c>
      <c r="I532" t="s">
        <v>6893</v>
      </c>
      <c r="J532" t="str">
        <f t="shared" si="58"/>
        <v>Semana 37CIP2</v>
      </c>
      <c r="K532" t="str">
        <f t="shared" si="59"/>
        <v>Semana 37CIP2
28/09/2025 - 05/10/2025</v>
      </c>
      <c r="L532" s="34">
        <v>45928</v>
      </c>
      <c r="M532" s="34">
        <v>45935</v>
      </c>
    </row>
    <row r="533" spans="5:13">
      <c r="E533">
        <f t="shared" si="62"/>
        <v>10</v>
      </c>
      <c r="F533" t="str">
        <f t="shared" si="60"/>
        <v>M10CIP2</v>
      </c>
      <c r="G533" s="1">
        <f t="shared" si="61"/>
        <v>45936</v>
      </c>
      <c r="H533" s="8" t="s">
        <v>6931</v>
      </c>
      <c r="I533" t="s">
        <v>6893</v>
      </c>
      <c r="J533" t="str">
        <f t="shared" si="58"/>
        <v>Semana 38CIP2</v>
      </c>
      <c r="K533" t="str">
        <f t="shared" si="59"/>
        <v>Semana 38CIP2
06/10/2025 - 12/10/2025</v>
      </c>
      <c r="L533" s="34">
        <v>45936</v>
      </c>
      <c r="M533" s="34">
        <v>45942</v>
      </c>
    </row>
    <row r="534" spans="5:13">
      <c r="E534">
        <f t="shared" si="62"/>
        <v>10</v>
      </c>
      <c r="F534" t="str">
        <f t="shared" si="60"/>
        <v>M10CIP2</v>
      </c>
      <c r="G534" s="1">
        <f t="shared" si="61"/>
        <v>45943</v>
      </c>
      <c r="H534" s="8" t="s">
        <v>6932</v>
      </c>
      <c r="I534" t="s">
        <v>6893</v>
      </c>
      <c r="J534" t="str">
        <f t="shared" si="58"/>
        <v>Semana 39CIP2</v>
      </c>
      <c r="K534" t="str">
        <f t="shared" si="59"/>
        <v>Semana 39CIP2
13/10/2025 - 19/10/2025</v>
      </c>
      <c r="L534" s="34">
        <v>45943</v>
      </c>
      <c r="M534" s="34">
        <v>45949</v>
      </c>
    </row>
    <row r="535" spans="5:13">
      <c r="E535">
        <f t="shared" si="62"/>
        <v>10</v>
      </c>
      <c r="F535" t="str">
        <f t="shared" si="60"/>
        <v>M10CIP2</v>
      </c>
      <c r="G535" s="1">
        <f t="shared" si="61"/>
        <v>45950</v>
      </c>
      <c r="H535" s="8" t="s">
        <v>6933</v>
      </c>
      <c r="I535" t="s">
        <v>6893</v>
      </c>
      <c r="J535" t="str">
        <f t="shared" si="58"/>
        <v>Semana 40CIP2</v>
      </c>
      <c r="K535" t="str">
        <f t="shared" si="59"/>
        <v>Semana 40CIP2
20/10/2025 - 27/10/2025</v>
      </c>
      <c r="L535" s="34">
        <v>45950</v>
      </c>
      <c r="M535" s="34">
        <v>45957</v>
      </c>
    </row>
    <row r="536" spans="5:13">
      <c r="E536">
        <f t="shared" si="62"/>
        <v>11</v>
      </c>
      <c r="F536" t="str">
        <f t="shared" si="60"/>
        <v>M11CIP2</v>
      </c>
      <c r="G536" s="1">
        <f t="shared" si="61"/>
        <v>45958</v>
      </c>
      <c r="H536" s="8" t="s">
        <v>6934</v>
      </c>
      <c r="I536" t="s">
        <v>6893</v>
      </c>
      <c r="J536" t="str">
        <f t="shared" si="58"/>
        <v>Semana 41CIP2</v>
      </c>
      <c r="K536" t="str">
        <f t="shared" si="59"/>
        <v>Semana 41CIP2
28/10/2025 - 02/11/2025</v>
      </c>
      <c r="L536" s="34">
        <v>45958</v>
      </c>
      <c r="M536" s="34">
        <v>45963</v>
      </c>
    </row>
    <row r="537" spans="5:13">
      <c r="E537">
        <f t="shared" si="62"/>
        <v>11</v>
      </c>
      <c r="F537" t="str">
        <f t="shared" si="60"/>
        <v>M11CIP2</v>
      </c>
      <c r="G537" s="1">
        <f t="shared" si="61"/>
        <v>45964</v>
      </c>
      <c r="H537" s="8" t="s">
        <v>6935</v>
      </c>
      <c r="I537" t="s">
        <v>6893</v>
      </c>
      <c r="J537" t="str">
        <f t="shared" si="58"/>
        <v>Semana 42CIP2</v>
      </c>
      <c r="K537" t="str">
        <f t="shared" si="59"/>
        <v>Semana 42CIP2
03/11/2025 - 09/11/2025</v>
      </c>
      <c r="L537" s="34">
        <v>45964</v>
      </c>
      <c r="M537" s="34">
        <v>45970</v>
      </c>
    </row>
    <row r="538" spans="5:13">
      <c r="E538">
        <f t="shared" si="62"/>
        <v>11</v>
      </c>
      <c r="F538" t="str">
        <f t="shared" si="60"/>
        <v>M11CIP2</v>
      </c>
      <c r="G538" s="1">
        <f t="shared" si="61"/>
        <v>45971</v>
      </c>
      <c r="H538" s="8" t="s">
        <v>6936</v>
      </c>
      <c r="I538" t="s">
        <v>6893</v>
      </c>
      <c r="J538" t="str">
        <f t="shared" si="58"/>
        <v>Semana 43CIP2</v>
      </c>
      <c r="K538" t="str">
        <f t="shared" si="59"/>
        <v>Semana 43CIP2
10/11/2025 - 16/11/2025</v>
      </c>
      <c r="L538" s="34">
        <v>45971</v>
      </c>
      <c r="M538" s="34">
        <v>45977</v>
      </c>
    </row>
    <row r="539" spans="5:13">
      <c r="E539">
        <f t="shared" si="62"/>
        <v>11</v>
      </c>
      <c r="F539" t="str">
        <f t="shared" si="60"/>
        <v>M11CIP2</v>
      </c>
      <c r="G539" s="1">
        <f t="shared" si="61"/>
        <v>45978</v>
      </c>
      <c r="H539" s="8" t="s">
        <v>6937</v>
      </c>
      <c r="I539" t="s">
        <v>6893</v>
      </c>
      <c r="J539" t="str">
        <f t="shared" si="58"/>
        <v>Semana 44CIP2</v>
      </c>
      <c r="K539" t="str">
        <f t="shared" si="59"/>
        <v>Semana 44CIP2
17/11/2025 - 27/11/2025</v>
      </c>
      <c r="L539" s="34">
        <v>45978</v>
      </c>
      <c r="M539" s="34">
        <v>45988</v>
      </c>
    </row>
    <row r="540" spans="5:13">
      <c r="E540">
        <f t="shared" si="62"/>
        <v>12</v>
      </c>
      <c r="F540" t="str">
        <f t="shared" si="60"/>
        <v>M12CIP2</v>
      </c>
      <c r="G540" s="1">
        <f t="shared" si="61"/>
        <v>45989</v>
      </c>
      <c r="H540" s="8" t="s">
        <v>6938</v>
      </c>
      <c r="I540" t="s">
        <v>6893</v>
      </c>
      <c r="J540" t="str">
        <f t="shared" si="58"/>
        <v>Semana 45CIP2</v>
      </c>
      <c r="K540" t="str">
        <f t="shared" si="59"/>
        <v>Semana 45CIP2
28/11/2025 - 07/12/2025</v>
      </c>
      <c r="L540" s="34">
        <v>45989</v>
      </c>
      <c r="M540" s="34">
        <v>45998</v>
      </c>
    </row>
    <row r="541" spans="5:13">
      <c r="E541">
        <f t="shared" si="62"/>
        <v>12</v>
      </c>
      <c r="F541" t="str">
        <f t="shared" si="60"/>
        <v>M12CIP2</v>
      </c>
      <c r="G541" s="1">
        <f t="shared" si="61"/>
        <v>45999</v>
      </c>
      <c r="H541" s="8" t="s">
        <v>6939</v>
      </c>
      <c r="I541" t="s">
        <v>6893</v>
      </c>
      <c r="J541" t="str">
        <f t="shared" si="58"/>
        <v>Semana 46CIP2</v>
      </c>
      <c r="K541" t="str">
        <f t="shared" si="59"/>
        <v>Semana 46CIP2
08/12/2025 - 14/12/2025</v>
      </c>
      <c r="L541" s="34">
        <v>45999</v>
      </c>
      <c r="M541" s="34">
        <v>46005</v>
      </c>
    </row>
    <row r="542" spans="5:13">
      <c r="E542">
        <f t="shared" si="62"/>
        <v>12</v>
      </c>
      <c r="F542" t="str">
        <f t="shared" si="60"/>
        <v>M12CIP2</v>
      </c>
      <c r="G542" s="1">
        <f t="shared" si="61"/>
        <v>46006</v>
      </c>
      <c r="H542" s="8" t="s">
        <v>6940</v>
      </c>
      <c r="I542" t="s">
        <v>6893</v>
      </c>
      <c r="J542" t="str">
        <f t="shared" si="58"/>
        <v>Semana 47CIP2</v>
      </c>
      <c r="K542" t="str">
        <f t="shared" si="59"/>
        <v>Semana 47CIP2
15/12/2025 - 21/12/2025</v>
      </c>
      <c r="L542" s="34">
        <v>46006</v>
      </c>
      <c r="M542" s="34">
        <v>46012</v>
      </c>
    </row>
    <row r="543" spans="5:13">
      <c r="E543">
        <f t="shared" si="62"/>
        <v>12</v>
      </c>
      <c r="F543" t="str">
        <f t="shared" si="60"/>
        <v>M12CIP2</v>
      </c>
      <c r="G543" s="1">
        <f t="shared" si="61"/>
        <v>46013</v>
      </c>
      <c r="H543" s="8" t="s">
        <v>6941</v>
      </c>
      <c r="I543" t="s">
        <v>6893</v>
      </c>
      <c r="J543" t="str">
        <f t="shared" si="58"/>
        <v>Semana 48CIP2</v>
      </c>
      <c r="K543" t="str">
        <f t="shared" si="59"/>
        <v>Semana 48CIP2
22/12/2025 - 27/12/2025</v>
      </c>
      <c r="L543" s="34">
        <v>46013</v>
      </c>
      <c r="M543" s="34">
        <v>46018</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1E18BB-E05C-43BB-A085-00BF07741A7A}">
  <sheetPr codeName="Hoja2"/>
  <dimension ref="A1:C192"/>
  <sheetViews>
    <sheetView topLeftCell="A33" workbookViewId="0">
      <selection activeCell="A37" sqref="A37"/>
    </sheetView>
  </sheetViews>
  <sheetFormatPr defaultColWidth="11.5703125" defaultRowHeight="15"/>
  <cols>
    <col min="1" max="1" width="15" bestFit="1" customWidth="1"/>
    <col min="2" max="2" width="42.28515625" bestFit="1" customWidth="1"/>
    <col min="3" max="3" width="10.85546875" bestFit="1" customWidth="1"/>
  </cols>
  <sheetData>
    <row r="1" spans="1:3">
      <c r="A1" t="s">
        <v>22</v>
      </c>
    </row>
    <row r="2" spans="1:3">
      <c r="A2" t="s">
        <v>2087</v>
      </c>
    </row>
    <row r="4" spans="1:3">
      <c r="A4" t="s">
        <v>37</v>
      </c>
      <c r="B4" t="s">
        <v>38</v>
      </c>
      <c r="C4" t="s">
        <v>2088</v>
      </c>
    </row>
    <row r="5" spans="1:3">
      <c r="A5" t="s">
        <v>253</v>
      </c>
      <c r="B5" t="s">
        <v>254</v>
      </c>
      <c r="C5">
        <v>171</v>
      </c>
    </row>
    <row r="6" spans="1:3">
      <c r="A6" t="s">
        <v>7250</v>
      </c>
      <c r="B6" t="s">
        <v>7251</v>
      </c>
      <c r="C6">
        <v>292</v>
      </c>
    </row>
    <row r="7" spans="1:3">
      <c r="A7" t="s">
        <v>257</v>
      </c>
      <c r="B7" t="s">
        <v>258</v>
      </c>
      <c r="C7">
        <v>175</v>
      </c>
    </row>
    <row r="8" spans="1:3">
      <c r="A8" t="s">
        <v>241</v>
      </c>
      <c r="B8" t="s">
        <v>242</v>
      </c>
      <c r="C8">
        <v>160</v>
      </c>
    </row>
    <row r="9" spans="1:3">
      <c r="A9" t="s">
        <v>39</v>
      </c>
      <c r="B9" t="s">
        <v>40</v>
      </c>
      <c r="C9">
        <v>1</v>
      </c>
    </row>
    <row r="10" spans="1:3">
      <c r="A10" t="s">
        <v>125</v>
      </c>
      <c r="B10" t="s">
        <v>126</v>
      </c>
      <c r="C10">
        <v>77</v>
      </c>
    </row>
    <row r="11" spans="1:3">
      <c r="A11" t="s">
        <v>115</v>
      </c>
      <c r="B11" t="s">
        <v>116</v>
      </c>
      <c r="C11">
        <v>72</v>
      </c>
    </row>
    <row r="12" spans="1:3">
      <c r="A12" t="s">
        <v>143</v>
      </c>
      <c r="B12" t="s">
        <v>144</v>
      </c>
      <c r="C12">
        <v>92</v>
      </c>
    </row>
    <row r="13" spans="1:3">
      <c r="A13" t="s">
        <v>123</v>
      </c>
      <c r="B13" t="s">
        <v>124</v>
      </c>
      <c r="C13">
        <v>76</v>
      </c>
    </row>
    <row r="14" spans="1:3">
      <c r="A14" t="s">
        <v>113</v>
      </c>
      <c r="B14" t="s">
        <v>114</v>
      </c>
      <c r="C14">
        <v>70</v>
      </c>
    </row>
    <row r="15" spans="1:3">
      <c r="A15" t="s">
        <v>121</v>
      </c>
      <c r="B15" t="s">
        <v>122</v>
      </c>
      <c r="C15">
        <v>75</v>
      </c>
    </row>
    <row r="16" spans="1:3">
      <c r="A16" t="s">
        <v>183</v>
      </c>
      <c r="B16" t="s">
        <v>184</v>
      </c>
      <c r="C16">
        <v>123</v>
      </c>
    </row>
    <row r="17" spans="1:3">
      <c r="A17" t="s">
        <v>201</v>
      </c>
      <c r="B17" t="s">
        <v>202</v>
      </c>
      <c r="C17">
        <v>137</v>
      </c>
    </row>
    <row r="18" spans="1:3">
      <c r="A18" t="s">
        <v>119</v>
      </c>
      <c r="B18" t="s">
        <v>120</v>
      </c>
      <c r="C18">
        <v>74</v>
      </c>
    </row>
    <row r="19" spans="1:3">
      <c r="A19" t="s">
        <v>111</v>
      </c>
      <c r="B19" t="s">
        <v>112</v>
      </c>
      <c r="C19">
        <v>69</v>
      </c>
    </row>
    <row r="20" spans="1:3">
      <c r="A20" t="s">
        <v>133</v>
      </c>
      <c r="B20" t="s">
        <v>134</v>
      </c>
      <c r="C20">
        <v>82</v>
      </c>
    </row>
    <row r="21" spans="1:3">
      <c r="A21" t="s">
        <v>117</v>
      </c>
      <c r="B21" t="s">
        <v>118</v>
      </c>
      <c r="C21">
        <v>73</v>
      </c>
    </row>
    <row r="22" spans="1:3">
      <c r="A22" t="s">
        <v>141</v>
      </c>
      <c r="B22" t="s">
        <v>142</v>
      </c>
      <c r="C22">
        <v>91</v>
      </c>
    </row>
    <row r="23" spans="1:3">
      <c r="A23" t="s">
        <v>145</v>
      </c>
      <c r="B23" t="s">
        <v>146</v>
      </c>
      <c r="C23">
        <v>93</v>
      </c>
    </row>
    <row r="24" spans="1:3">
      <c r="A24" t="s">
        <v>147</v>
      </c>
      <c r="B24" t="s">
        <v>148</v>
      </c>
      <c r="C24">
        <v>94</v>
      </c>
    </row>
    <row r="25" spans="1:3">
      <c r="A25" t="s">
        <v>129</v>
      </c>
      <c r="B25" t="s">
        <v>130</v>
      </c>
      <c r="C25">
        <v>79</v>
      </c>
    </row>
    <row r="26" spans="1:3">
      <c r="A26" t="s">
        <v>127</v>
      </c>
      <c r="B26" t="s">
        <v>128</v>
      </c>
      <c r="C26">
        <v>78</v>
      </c>
    </row>
    <row r="27" spans="1:3">
      <c r="A27" t="s">
        <v>131</v>
      </c>
      <c r="B27" t="s">
        <v>132</v>
      </c>
      <c r="C27">
        <v>80</v>
      </c>
    </row>
    <row r="28" spans="1:3">
      <c r="A28" t="s">
        <v>5264</v>
      </c>
      <c r="B28" t="s">
        <v>5756</v>
      </c>
      <c r="C28">
        <v>269</v>
      </c>
    </row>
    <row r="29" spans="1:3">
      <c r="A29" t="s">
        <v>179</v>
      </c>
      <c r="B29" t="s">
        <v>180</v>
      </c>
      <c r="C29">
        <v>120</v>
      </c>
    </row>
    <row r="30" spans="1:3">
      <c r="A30" t="s">
        <v>6697</v>
      </c>
      <c r="B30" t="s">
        <v>6698</v>
      </c>
      <c r="C30">
        <v>283</v>
      </c>
    </row>
    <row r="31" spans="1:3">
      <c r="A31" t="s">
        <v>7024</v>
      </c>
      <c r="B31" t="s">
        <v>7025</v>
      </c>
      <c r="C31">
        <v>290</v>
      </c>
    </row>
    <row r="32" spans="1:3">
      <c r="A32" t="s">
        <v>4920</v>
      </c>
      <c r="B32" t="s">
        <v>4921</v>
      </c>
      <c r="C32">
        <v>249</v>
      </c>
    </row>
    <row r="33" spans="1:3">
      <c r="A33" t="s">
        <v>203</v>
      </c>
      <c r="B33" t="s">
        <v>204</v>
      </c>
      <c r="C33">
        <v>138</v>
      </c>
    </row>
    <row r="34" spans="1:3">
      <c r="A34" t="s">
        <v>251</v>
      </c>
      <c r="B34" t="s">
        <v>252</v>
      </c>
      <c r="C34">
        <v>170</v>
      </c>
    </row>
    <row r="35" spans="1:3">
      <c r="A35" t="s">
        <v>93</v>
      </c>
      <c r="B35" t="s">
        <v>94</v>
      </c>
      <c r="C35">
        <v>47</v>
      </c>
    </row>
    <row r="36" spans="1:3">
      <c r="A36" t="s">
        <v>95</v>
      </c>
      <c r="B36" t="s">
        <v>96</v>
      </c>
      <c r="C36">
        <v>48</v>
      </c>
    </row>
    <row r="37" spans="1:3">
      <c r="A37" t="s">
        <v>149</v>
      </c>
      <c r="B37" t="s">
        <v>3931</v>
      </c>
      <c r="C37">
        <v>95</v>
      </c>
    </row>
    <row r="38" spans="1:3">
      <c r="A38" t="s">
        <v>150</v>
      </c>
      <c r="B38" t="s">
        <v>151</v>
      </c>
      <c r="C38">
        <v>96</v>
      </c>
    </row>
    <row r="39" spans="1:3">
      <c r="A39" t="s">
        <v>226</v>
      </c>
      <c r="B39" t="s">
        <v>227</v>
      </c>
      <c r="C39">
        <v>150</v>
      </c>
    </row>
    <row r="40" spans="1:3">
      <c r="A40" t="s">
        <v>4911</v>
      </c>
      <c r="B40" t="s">
        <v>49</v>
      </c>
      <c r="C40">
        <v>106</v>
      </c>
    </row>
    <row r="41" spans="1:3">
      <c r="A41" t="s">
        <v>4912</v>
      </c>
      <c r="B41" t="s">
        <v>166</v>
      </c>
      <c r="C41">
        <v>107</v>
      </c>
    </row>
    <row r="42" spans="1:3">
      <c r="A42" t="s">
        <v>152</v>
      </c>
      <c r="B42" t="s">
        <v>153</v>
      </c>
      <c r="C42">
        <v>97</v>
      </c>
    </row>
    <row r="43" spans="1:3">
      <c r="A43" t="s">
        <v>7269</v>
      </c>
      <c r="B43" t="s">
        <v>7270</v>
      </c>
      <c r="C43">
        <v>302</v>
      </c>
    </row>
    <row r="44" spans="1:3">
      <c r="A44" t="s">
        <v>232</v>
      </c>
      <c r="B44" t="s">
        <v>6522</v>
      </c>
      <c r="C44">
        <v>155</v>
      </c>
    </row>
    <row r="45" spans="1:3">
      <c r="A45" t="s">
        <v>233</v>
      </c>
      <c r="B45" t="s">
        <v>234</v>
      </c>
      <c r="C45">
        <v>156</v>
      </c>
    </row>
    <row r="46" spans="1:3">
      <c r="A46" t="s">
        <v>197</v>
      </c>
      <c r="B46" t="s">
        <v>198</v>
      </c>
      <c r="C46">
        <v>133</v>
      </c>
    </row>
    <row r="47" spans="1:3">
      <c r="A47" t="s">
        <v>259</v>
      </c>
      <c r="B47" t="s">
        <v>260</v>
      </c>
      <c r="C47">
        <v>223</v>
      </c>
    </row>
    <row r="48" spans="1:3">
      <c r="A48" t="s">
        <v>91</v>
      </c>
      <c r="B48" t="s">
        <v>92</v>
      </c>
      <c r="C48">
        <v>46</v>
      </c>
    </row>
    <row r="49" spans="1:3">
      <c r="A49" t="s">
        <v>154</v>
      </c>
      <c r="B49" t="s">
        <v>155</v>
      </c>
      <c r="C49">
        <v>100</v>
      </c>
    </row>
    <row r="50" spans="1:3">
      <c r="A50" t="s">
        <v>107</v>
      </c>
      <c r="B50" t="s">
        <v>108</v>
      </c>
      <c r="C50">
        <v>67</v>
      </c>
    </row>
    <row r="51" spans="1:3">
      <c r="A51" t="s">
        <v>239</v>
      </c>
      <c r="B51" t="s">
        <v>240</v>
      </c>
      <c r="C51">
        <v>159</v>
      </c>
    </row>
    <row r="52" spans="1:3">
      <c r="A52" t="s">
        <v>7018</v>
      </c>
      <c r="B52" t="s">
        <v>7019</v>
      </c>
      <c r="C52">
        <v>287</v>
      </c>
    </row>
    <row r="53" spans="1:3">
      <c r="A53" t="s">
        <v>99</v>
      </c>
      <c r="B53" t="s">
        <v>5494</v>
      </c>
      <c r="C53">
        <v>54</v>
      </c>
    </row>
    <row r="54" spans="1:3">
      <c r="A54" t="s">
        <v>100</v>
      </c>
      <c r="B54" t="s">
        <v>101</v>
      </c>
      <c r="C54">
        <v>56</v>
      </c>
    </row>
    <row r="55" spans="1:3">
      <c r="A55" t="s">
        <v>6708</v>
      </c>
      <c r="B55" t="s">
        <v>7017</v>
      </c>
      <c r="C55">
        <v>286</v>
      </c>
    </row>
    <row r="56" spans="1:3">
      <c r="A56" t="s">
        <v>228</v>
      </c>
      <c r="B56" t="s">
        <v>4913</v>
      </c>
      <c r="C56">
        <v>151</v>
      </c>
    </row>
    <row r="57" spans="1:3">
      <c r="A57" t="s">
        <v>235</v>
      </c>
      <c r="B57" t="s">
        <v>84</v>
      </c>
      <c r="C57">
        <v>58</v>
      </c>
    </row>
    <row r="58" spans="1:3">
      <c r="A58" t="s">
        <v>102</v>
      </c>
      <c r="B58" t="s">
        <v>103</v>
      </c>
      <c r="C58">
        <v>57</v>
      </c>
    </row>
    <row r="59" spans="1:3">
      <c r="A59" t="s">
        <v>97</v>
      </c>
      <c r="B59" t="s">
        <v>98</v>
      </c>
      <c r="C59">
        <v>52</v>
      </c>
    </row>
    <row r="60" spans="1:3">
      <c r="A60" t="s">
        <v>230</v>
      </c>
      <c r="B60" t="s">
        <v>231</v>
      </c>
      <c r="C60">
        <v>154</v>
      </c>
    </row>
    <row r="61" spans="1:3">
      <c r="A61" t="s">
        <v>109</v>
      </c>
      <c r="B61" t="s">
        <v>110</v>
      </c>
      <c r="C61">
        <v>68</v>
      </c>
    </row>
    <row r="62" spans="1:3">
      <c r="A62" t="s">
        <v>156</v>
      </c>
      <c r="B62" t="s">
        <v>157</v>
      </c>
      <c r="C62">
        <v>101</v>
      </c>
    </row>
    <row r="63" spans="1:3">
      <c r="A63" t="s">
        <v>158</v>
      </c>
      <c r="B63" t="s">
        <v>159</v>
      </c>
      <c r="C63">
        <v>102</v>
      </c>
    </row>
    <row r="64" spans="1:3">
      <c r="A64" t="s">
        <v>160</v>
      </c>
      <c r="B64" t="s">
        <v>161</v>
      </c>
      <c r="C64">
        <v>103</v>
      </c>
    </row>
    <row r="65" spans="1:3">
      <c r="A65" t="s">
        <v>162</v>
      </c>
      <c r="B65" t="s">
        <v>163</v>
      </c>
      <c r="C65">
        <v>104</v>
      </c>
    </row>
    <row r="66" spans="1:3">
      <c r="A66" t="s">
        <v>164</v>
      </c>
      <c r="B66" t="s">
        <v>165</v>
      </c>
      <c r="C66">
        <v>105</v>
      </c>
    </row>
    <row r="67" spans="1:3">
      <c r="A67" t="s">
        <v>105</v>
      </c>
      <c r="B67" t="s">
        <v>106</v>
      </c>
      <c r="C67">
        <v>60</v>
      </c>
    </row>
    <row r="68" spans="1:3">
      <c r="A68" t="s">
        <v>167</v>
      </c>
      <c r="B68" t="s">
        <v>168</v>
      </c>
      <c r="C68">
        <v>108</v>
      </c>
    </row>
    <row r="69" spans="1:3">
      <c r="A69" t="s">
        <v>173</v>
      </c>
      <c r="B69" t="s">
        <v>174</v>
      </c>
      <c r="C69">
        <v>112</v>
      </c>
    </row>
    <row r="70" spans="1:3">
      <c r="A70" t="s">
        <v>245</v>
      </c>
      <c r="B70" t="s">
        <v>246</v>
      </c>
      <c r="C70">
        <v>134</v>
      </c>
    </row>
    <row r="71" spans="1:3">
      <c r="A71" t="s">
        <v>171</v>
      </c>
      <c r="B71" t="s">
        <v>172</v>
      </c>
      <c r="C71">
        <v>111</v>
      </c>
    </row>
    <row r="72" spans="1:3">
      <c r="A72" t="s">
        <v>169</v>
      </c>
      <c r="B72" t="s">
        <v>170</v>
      </c>
      <c r="C72">
        <v>110</v>
      </c>
    </row>
    <row r="73" spans="1:3">
      <c r="A73" t="s">
        <v>195</v>
      </c>
      <c r="B73" t="s">
        <v>196</v>
      </c>
      <c r="C73">
        <v>132</v>
      </c>
    </row>
    <row r="74" spans="1:3">
      <c r="A74" t="s">
        <v>193</v>
      </c>
      <c r="B74" t="s">
        <v>194</v>
      </c>
      <c r="C74">
        <v>131</v>
      </c>
    </row>
    <row r="75" spans="1:3">
      <c r="A75" t="s">
        <v>274</v>
      </c>
      <c r="B75" t="s">
        <v>275</v>
      </c>
      <c r="C75">
        <v>232</v>
      </c>
    </row>
    <row r="76" spans="1:3">
      <c r="A76" t="s">
        <v>104</v>
      </c>
      <c r="B76" t="s">
        <v>4910</v>
      </c>
      <c r="C76">
        <v>59</v>
      </c>
    </row>
    <row r="77" spans="1:3">
      <c r="A77" t="s">
        <v>6533</v>
      </c>
      <c r="B77" t="s">
        <v>6534</v>
      </c>
      <c r="C77">
        <v>281</v>
      </c>
    </row>
    <row r="78" spans="1:3">
      <c r="A78" t="s">
        <v>7020</v>
      </c>
      <c r="B78" t="s">
        <v>7021</v>
      </c>
      <c r="C78">
        <v>288</v>
      </c>
    </row>
    <row r="79" spans="1:3">
      <c r="A79" t="s">
        <v>7022</v>
      </c>
      <c r="B79" t="s">
        <v>7023</v>
      </c>
      <c r="C79">
        <v>289</v>
      </c>
    </row>
    <row r="80" spans="1:3">
      <c r="A80" t="s">
        <v>71</v>
      </c>
      <c r="B80" t="s">
        <v>72</v>
      </c>
      <c r="C80">
        <v>20</v>
      </c>
    </row>
    <row r="81" spans="1:3">
      <c r="A81" t="s">
        <v>181</v>
      </c>
      <c r="B81" t="s">
        <v>182</v>
      </c>
      <c r="C81">
        <v>121</v>
      </c>
    </row>
    <row r="82" spans="1:3">
      <c r="A82" t="s">
        <v>5947</v>
      </c>
      <c r="B82" t="s">
        <v>5946</v>
      </c>
      <c r="C82">
        <v>271</v>
      </c>
    </row>
    <row r="83" spans="1:3">
      <c r="A83" t="s">
        <v>5948</v>
      </c>
      <c r="B83" t="s">
        <v>5949</v>
      </c>
      <c r="C83">
        <v>272</v>
      </c>
    </row>
    <row r="84" spans="1:3">
      <c r="A84" t="s">
        <v>5518</v>
      </c>
      <c r="B84" t="s">
        <v>5519</v>
      </c>
      <c r="C84">
        <v>266</v>
      </c>
    </row>
    <row r="85" spans="1:3">
      <c r="A85" t="s">
        <v>69</v>
      </c>
      <c r="B85" t="s">
        <v>70</v>
      </c>
      <c r="C85">
        <v>19</v>
      </c>
    </row>
    <row r="86" spans="1:3">
      <c r="A86" t="s">
        <v>278</v>
      </c>
      <c r="B86" t="s">
        <v>279</v>
      </c>
      <c r="C86">
        <v>234</v>
      </c>
    </row>
    <row r="87" spans="1:3">
      <c r="A87" t="s">
        <v>209</v>
      </c>
      <c r="B87" t="s">
        <v>210</v>
      </c>
      <c r="C87">
        <v>141</v>
      </c>
    </row>
    <row r="88" spans="1:3">
      <c r="A88" t="s">
        <v>237</v>
      </c>
      <c r="B88" t="s">
        <v>238</v>
      </c>
      <c r="C88">
        <v>158</v>
      </c>
    </row>
    <row r="89" spans="1:3">
      <c r="A89" t="s">
        <v>6525</v>
      </c>
      <c r="B89" t="s">
        <v>6526</v>
      </c>
      <c r="C89">
        <v>277</v>
      </c>
    </row>
    <row r="90" spans="1:3">
      <c r="A90" t="s">
        <v>185</v>
      </c>
      <c r="B90" t="s">
        <v>186</v>
      </c>
      <c r="C90">
        <v>124</v>
      </c>
    </row>
    <row r="91" spans="1:3">
      <c r="A91" t="s">
        <v>63</v>
      </c>
      <c r="B91" t="s">
        <v>64</v>
      </c>
      <c r="C91">
        <v>14</v>
      </c>
    </row>
    <row r="92" spans="1:3">
      <c r="A92" t="s">
        <v>61</v>
      </c>
      <c r="B92" t="s">
        <v>62</v>
      </c>
      <c r="C92">
        <v>13</v>
      </c>
    </row>
    <row r="93" spans="1:3">
      <c r="A93" t="s">
        <v>79</v>
      </c>
      <c r="B93" t="s">
        <v>80</v>
      </c>
      <c r="C93">
        <v>33</v>
      </c>
    </row>
    <row r="94" spans="1:3">
      <c r="A94" t="s">
        <v>73</v>
      </c>
      <c r="B94" t="s">
        <v>74</v>
      </c>
      <c r="C94">
        <v>22</v>
      </c>
    </row>
    <row r="95" spans="1:3">
      <c r="A95" t="s">
        <v>249</v>
      </c>
      <c r="B95" t="s">
        <v>250</v>
      </c>
      <c r="C95">
        <v>164</v>
      </c>
    </row>
    <row r="96" spans="1:3">
      <c r="A96" t="s">
        <v>247</v>
      </c>
      <c r="B96" t="s">
        <v>248</v>
      </c>
      <c r="C96">
        <v>163</v>
      </c>
    </row>
    <row r="97" spans="1:3">
      <c r="A97" t="s">
        <v>5754</v>
      </c>
      <c r="B97" t="s">
        <v>5755</v>
      </c>
      <c r="C97">
        <v>268</v>
      </c>
    </row>
    <row r="98" spans="1:3">
      <c r="A98" t="s">
        <v>175</v>
      </c>
      <c r="B98" t="s">
        <v>176</v>
      </c>
      <c r="C98">
        <v>115</v>
      </c>
    </row>
    <row r="99" spans="1:3">
      <c r="A99" t="s">
        <v>5497</v>
      </c>
      <c r="B99" t="s">
        <v>5498</v>
      </c>
      <c r="C99">
        <v>255</v>
      </c>
    </row>
    <row r="100" spans="1:3">
      <c r="A100" t="s">
        <v>5503</v>
      </c>
      <c r="B100" t="s">
        <v>5504</v>
      </c>
      <c r="C100">
        <v>258</v>
      </c>
    </row>
    <row r="101" spans="1:3">
      <c r="A101" t="s">
        <v>5512</v>
      </c>
      <c r="B101" t="s">
        <v>5513</v>
      </c>
      <c r="C101">
        <v>263</v>
      </c>
    </row>
    <row r="102" spans="1:3">
      <c r="A102" t="s">
        <v>5507</v>
      </c>
      <c r="B102" t="s">
        <v>5508</v>
      </c>
      <c r="C102">
        <v>260</v>
      </c>
    </row>
    <row r="103" spans="1:3">
      <c r="A103" t="s">
        <v>211</v>
      </c>
      <c r="B103" t="s">
        <v>212</v>
      </c>
      <c r="C103">
        <v>142</v>
      </c>
    </row>
    <row r="104" spans="1:3">
      <c r="A104" t="s">
        <v>4924</v>
      </c>
      <c r="B104" t="s">
        <v>4925</v>
      </c>
      <c r="C104">
        <v>251</v>
      </c>
    </row>
    <row r="105" spans="1:3">
      <c r="A105" t="s">
        <v>83</v>
      </c>
      <c r="B105" t="s">
        <v>84</v>
      </c>
      <c r="C105">
        <v>35</v>
      </c>
    </row>
    <row r="106" spans="1:3">
      <c r="A106" t="s">
        <v>5501</v>
      </c>
      <c r="B106" t="s">
        <v>5502</v>
      </c>
      <c r="C106">
        <v>257</v>
      </c>
    </row>
    <row r="107" spans="1:3">
      <c r="A107" t="s">
        <v>59</v>
      </c>
      <c r="B107" t="s">
        <v>60</v>
      </c>
      <c r="C107">
        <v>12</v>
      </c>
    </row>
    <row r="108" spans="1:3">
      <c r="A108" t="s">
        <v>51</v>
      </c>
      <c r="B108" t="s">
        <v>52</v>
      </c>
      <c r="C108">
        <v>8</v>
      </c>
    </row>
    <row r="109" spans="1:3">
      <c r="A109" t="s">
        <v>53</v>
      </c>
      <c r="B109" t="s">
        <v>54</v>
      </c>
      <c r="C109">
        <v>9</v>
      </c>
    </row>
    <row r="110" spans="1:3">
      <c r="A110" t="s">
        <v>57</v>
      </c>
      <c r="B110" t="s">
        <v>58</v>
      </c>
      <c r="C110">
        <v>11</v>
      </c>
    </row>
    <row r="111" spans="1:3">
      <c r="A111" t="s">
        <v>55</v>
      </c>
      <c r="B111" t="s">
        <v>56</v>
      </c>
      <c r="C111">
        <v>10</v>
      </c>
    </row>
    <row r="112" spans="1:3">
      <c r="A112" t="s">
        <v>205</v>
      </c>
      <c r="B112" t="s">
        <v>206</v>
      </c>
      <c r="C112">
        <v>139</v>
      </c>
    </row>
    <row r="113" spans="1:3">
      <c r="A113" t="s">
        <v>6531</v>
      </c>
      <c r="B113" t="s">
        <v>6532</v>
      </c>
      <c r="C113">
        <v>280</v>
      </c>
    </row>
    <row r="114" spans="1:3">
      <c r="A114" t="s">
        <v>6523</v>
      </c>
      <c r="B114" t="s">
        <v>6524</v>
      </c>
      <c r="C114">
        <v>276</v>
      </c>
    </row>
    <row r="115" spans="1:3">
      <c r="A115" t="s">
        <v>265</v>
      </c>
      <c r="B115" t="s">
        <v>266</v>
      </c>
      <c r="C115">
        <v>227</v>
      </c>
    </row>
    <row r="116" spans="1:3">
      <c r="A116" t="s">
        <v>191</v>
      </c>
      <c r="B116" t="s">
        <v>192</v>
      </c>
      <c r="C116">
        <v>130</v>
      </c>
    </row>
    <row r="117" spans="1:3">
      <c r="A117" t="s">
        <v>282</v>
      </c>
      <c r="B117" t="s">
        <v>283</v>
      </c>
      <c r="C117">
        <v>236</v>
      </c>
    </row>
    <row r="118" spans="1:3">
      <c r="A118" t="s">
        <v>6529</v>
      </c>
      <c r="B118" t="s">
        <v>6530</v>
      </c>
      <c r="C118">
        <v>279</v>
      </c>
    </row>
    <row r="119" spans="1:3">
      <c r="A119" t="s">
        <v>7259</v>
      </c>
      <c r="B119" t="s">
        <v>7260</v>
      </c>
      <c r="C119">
        <v>297</v>
      </c>
    </row>
    <row r="120" spans="1:3">
      <c r="A120" t="s">
        <v>108</v>
      </c>
      <c r="B120" t="s">
        <v>236</v>
      </c>
      <c r="C120">
        <v>157</v>
      </c>
    </row>
    <row r="121" spans="1:3">
      <c r="A121" t="s">
        <v>187</v>
      </c>
      <c r="B121" t="s">
        <v>188</v>
      </c>
      <c r="C121">
        <v>125</v>
      </c>
    </row>
    <row r="122" spans="1:3">
      <c r="A122" t="s">
        <v>67</v>
      </c>
      <c r="B122" t="s">
        <v>68</v>
      </c>
      <c r="C122">
        <v>18</v>
      </c>
    </row>
    <row r="123" spans="1:3">
      <c r="A123" t="s">
        <v>7265</v>
      </c>
      <c r="B123" t="s">
        <v>7266</v>
      </c>
      <c r="C123">
        <v>300</v>
      </c>
    </row>
    <row r="124" spans="1:3">
      <c r="A124" t="s">
        <v>213</v>
      </c>
      <c r="B124" t="s">
        <v>214</v>
      </c>
      <c r="C124">
        <v>143</v>
      </c>
    </row>
    <row r="125" spans="1:3">
      <c r="A125" t="s">
        <v>81</v>
      </c>
      <c r="B125" t="s">
        <v>82</v>
      </c>
      <c r="C125">
        <v>34</v>
      </c>
    </row>
    <row r="126" spans="1:3">
      <c r="A126" t="s">
        <v>3932</v>
      </c>
      <c r="B126" t="s">
        <v>3933</v>
      </c>
      <c r="C126">
        <v>239</v>
      </c>
    </row>
    <row r="127" spans="1:3">
      <c r="A127" t="s">
        <v>219</v>
      </c>
      <c r="B127" t="s">
        <v>220</v>
      </c>
      <c r="C127">
        <v>146</v>
      </c>
    </row>
    <row r="128" spans="1:3">
      <c r="A128" t="s">
        <v>177</v>
      </c>
      <c r="B128" t="s">
        <v>178</v>
      </c>
      <c r="C128">
        <v>119</v>
      </c>
    </row>
    <row r="129" spans="1:3">
      <c r="A129" t="s">
        <v>4918</v>
      </c>
      <c r="B129" t="s">
        <v>4919</v>
      </c>
      <c r="C129">
        <v>247</v>
      </c>
    </row>
    <row r="130" spans="1:3">
      <c r="A130" t="s">
        <v>255</v>
      </c>
      <c r="B130" t="s">
        <v>256</v>
      </c>
      <c r="C130">
        <v>172</v>
      </c>
    </row>
    <row r="131" spans="1:3">
      <c r="A131" t="s">
        <v>6527</v>
      </c>
      <c r="B131" t="s">
        <v>6528</v>
      </c>
      <c r="C131">
        <v>278</v>
      </c>
    </row>
    <row r="132" spans="1:3">
      <c r="A132" t="s">
        <v>5505</v>
      </c>
      <c r="B132" t="s">
        <v>5506</v>
      </c>
      <c r="C132">
        <v>259</v>
      </c>
    </row>
    <row r="133" spans="1:3">
      <c r="A133" t="s">
        <v>65</v>
      </c>
      <c r="B133" t="s">
        <v>66</v>
      </c>
      <c r="C133">
        <v>15</v>
      </c>
    </row>
    <row r="134" spans="1:3">
      <c r="A134" t="s">
        <v>5509</v>
      </c>
      <c r="B134" t="s">
        <v>5510</v>
      </c>
      <c r="C134">
        <v>261</v>
      </c>
    </row>
    <row r="135" spans="1:3">
      <c r="A135" t="s">
        <v>207</v>
      </c>
      <c r="B135" t="s">
        <v>208</v>
      </c>
      <c r="C135">
        <v>140</v>
      </c>
    </row>
    <row r="136" spans="1:3">
      <c r="A136" t="s">
        <v>5514</v>
      </c>
      <c r="B136" t="s">
        <v>5515</v>
      </c>
      <c r="C136">
        <v>264</v>
      </c>
    </row>
    <row r="137" spans="1:3">
      <c r="A137" t="s">
        <v>49</v>
      </c>
      <c r="B137" t="s">
        <v>50</v>
      </c>
      <c r="C137">
        <v>7</v>
      </c>
    </row>
    <row r="138" spans="1:3">
      <c r="A138" t="s">
        <v>261</v>
      </c>
      <c r="B138" t="s">
        <v>262</v>
      </c>
      <c r="C138">
        <v>224</v>
      </c>
    </row>
    <row r="139" spans="1:3">
      <c r="A139" t="s">
        <v>6535</v>
      </c>
      <c r="B139" t="s">
        <v>6536</v>
      </c>
      <c r="C139">
        <v>282</v>
      </c>
    </row>
    <row r="140" spans="1:3">
      <c r="A140" t="s">
        <v>4908</v>
      </c>
      <c r="B140" t="s">
        <v>4928</v>
      </c>
      <c r="C140">
        <v>253</v>
      </c>
    </row>
    <row r="141" spans="1:3">
      <c r="A141" t="s">
        <v>6056</v>
      </c>
      <c r="B141" t="s">
        <v>6057</v>
      </c>
      <c r="C141">
        <v>275</v>
      </c>
    </row>
    <row r="142" spans="1:3">
      <c r="A142" t="s">
        <v>4916</v>
      </c>
      <c r="B142" t="s">
        <v>4917</v>
      </c>
      <c r="C142">
        <v>246</v>
      </c>
    </row>
    <row r="143" spans="1:3">
      <c r="A143" t="s">
        <v>4926</v>
      </c>
      <c r="B143" t="s">
        <v>4927</v>
      </c>
      <c r="C143">
        <v>252</v>
      </c>
    </row>
    <row r="144" spans="1:3">
      <c r="A144" t="s">
        <v>45</v>
      </c>
      <c r="B144" t="s">
        <v>46</v>
      </c>
      <c r="C144">
        <v>5</v>
      </c>
    </row>
    <row r="145" spans="1:3">
      <c r="A145" t="s">
        <v>43</v>
      </c>
      <c r="B145" t="s">
        <v>44</v>
      </c>
      <c r="C145">
        <v>4</v>
      </c>
    </row>
    <row r="146" spans="1:3">
      <c r="A146" t="s">
        <v>224</v>
      </c>
      <c r="B146" t="s">
        <v>225</v>
      </c>
      <c r="C146">
        <v>149</v>
      </c>
    </row>
    <row r="147" spans="1:3">
      <c r="A147" t="s">
        <v>222</v>
      </c>
      <c r="B147" t="s">
        <v>223</v>
      </c>
      <c r="C147">
        <v>148</v>
      </c>
    </row>
    <row r="148" spans="1:3">
      <c r="A148" t="s">
        <v>5495</v>
      </c>
      <c r="B148" t="s">
        <v>5496</v>
      </c>
      <c r="C148">
        <v>254</v>
      </c>
    </row>
    <row r="149" spans="1:3">
      <c r="A149" t="s">
        <v>41</v>
      </c>
      <c r="B149" t="s">
        <v>42</v>
      </c>
      <c r="C149">
        <v>2</v>
      </c>
    </row>
    <row r="150" spans="1:3">
      <c r="A150" t="s">
        <v>243</v>
      </c>
      <c r="B150" t="s">
        <v>244</v>
      </c>
      <c r="C150">
        <v>162</v>
      </c>
    </row>
    <row r="151" spans="1:3">
      <c r="A151" t="s">
        <v>217</v>
      </c>
      <c r="B151" t="s">
        <v>218</v>
      </c>
      <c r="C151">
        <v>145</v>
      </c>
    </row>
    <row r="152" spans="1:3">
      <c r="A152" t="s">
        <v>221</v>
      </c>
      <c r="B152" t="s">
        <v>221</v>
      </c>
      <c r="C152">
        <v>147</v>
      </c>
    </row>
    <row r="153" spans="1:3">
      <c r="A153" t="s">
        <v>271</v>
      </c>
      <c r="B153" t="s">
        <v>272</v>
      </c>
      <c r="C153">
        <v>230</v>
      </c>
    </row>
    <row r="154" spans="1:3">
      <c r="A154" t="s">
        <v>284</v>
      </c>
      <c r="B154" t="s">
        <v>285</v>
      </c>
      <c r="C154">
        <v>237</v>
      </c>
    </row>
    <row r="155" spans="1:3">
      <c r="A155" t="s">
        <v>75</v>
      </c>
      <c r="B155" t="s">
        <v>76</v>
      </c>
      <c r="C155">
        <v>27</v>
      </c>
    </row>
    <row r="156" spans="1:3">
      <c r="A156" t="s">
        <v>77</v>
      </c>
      <c r="B156" t="s">
        <v>78</v>
      </c>
      <c r="C156">
        <v>28</v>
      </c>
    </row>
    <row r="157" spans="1:3">
      <c r="A157" t="s">
        <v>7261</v>
      </c>
      <c r="B157" t="s">
        <v>7262</v>
      </c>
      <c r="C157">
        <v>298</v>
      </c>
    </row>
    <row r="158" spans="1:3">
      <c r="A158" t="s">
        <v>7255</v>
      </c>
      <c r="B158" t="s">
        <v>7256</v>
      </c>
      <c r="C158">
        <v>295</v>
      </c>
    </row>
    <row r="159" spans="1:3">
      <c r="A159" t="s">
        <v>7252</v>
      </c>
      <c r="B159" t="s">
        <v>7253</v>
      </c>
      <c r="C159">
        <v>293</v>
      </c>
    </row>
    <row r="160" spans="1:3">
      <c r="A160" t="s">
        <v>7252</v>
      </c>
      <c r="B160" t="s">
        <v>7254</v>
      </c>
      <c r="C160">
        <v>294</v>
      </c>
    </row>
    <row r="161" spans="1:3">
      <c r="A161" t="s">
        <v>7257</v>
      </c>
      <c r="B161" t="s">
        <v>7258</v>
      </c>
      <c r="C161">
        <v>296</v>
      </c>
    </row>
    <row r="162" spans="1:3">
      <c r="A162" t="s">
        <v>6706</v>
      </c>
      <c r="B162" t="s">
        <v>6707</v>
      </c>
      <c r="C162">
        <v>285</v>
      </c>
    </row>
    <row r="163" spans="1:3">
      <c r="A163" t="s">
        <v>7267</v>
      </c>
      <c r="B163" t="s">
        <v>7268</v>
      </c>
      <c r="C163">
        <v>301</v>
      </c>
    </row>
    <row r="164" spans="1:3">
      <c r="A164" t="s">
        <v>7248</v>
      </c>
      <c r="B164" t="s">
        <v>7249</v>
      </c>
      <c r="C164">
        <v>117</v>
      </c>
    </row>
    <row r="165" spans="1:3">
      <c r="A165" t="s">
        <v>47</v>
      </c>
      <c r="B165" t="s">
        <v>48</v>
      </c>
      <c r="C165">
        <v>6</v>
      </c>
    </row>
    <row r="166" spans="1:3">
      <c r="A166" t="s">
        <v>85</v>
      </c>
      <c r="B166" t="s">
        <v>86</v>
      </c>
      <c r="C166">
        <v>36</v>
      </c>
    </row>
    <row r="167" spans="1:3">
      <c r="A167" t="s">
        <v>87</v>
      </c>
      <c r="B167" t="s">
        <v>88</v>
      </c>
      <c r="C167">
        <v>39</v>
      </c>
    </row>
    <row r="168" spans="1:3">
      <c r="A168" t="s">
        <v>89</v>
      </c>
      <c r="B168" t="s">
        <v>90</v>
      </c>
      <c r="C168">
        <v>40</v>
      </c>
    </row>
    <row r="169" spans="1:3">
      <c r="A169" t="s">
        <v>139</v>
      </c>
      <c r="B169" t="s">
        <v>140</v>
      </c>
      <c r="C169">
        <v>86</v>
      </c>
    </row>
    <row r="170" spans="1:3">
      <c r="A170" t="s">
        <v>135</v>
      </c>
      <c r="B170" t="s">
        <v>136</v>
      </c>
      <c r="C170">
        <v>84</v>
      </c>
    </row>
    <row r="171" spans="1:3">
      <c r="A171" t="s">
        <v>137</v>
      </c>
      <c r="B171" t="s">
        <v>138</v>
      </c>
      <c r="C171">
        <v>85</v>
      </c>
    </row>
    <row r="172" spans="1:3">
      <c r="A172" t="s">
        <v>267</v>
      </c>
      <c r="B172" t="s">
        <v>268</v>
      </c>
      <c r="C172">
        <v>228</v>
      </c>
    </row>
    <row r="173" spans="1:3">
      <c r="A173" t="s">
        <v>199</v>
      </c>
      <c r="B173" t="s">
        <v>200</v>
      </c>
      <c r="C173">
        <v>136</v>
      </c>
    </row>
    <row r="174" spans="1:3">
      <c r="A174" t="s">
        <v>5943</v>
      </c>
      <c r="B174" t="s">
        <v>5944</v>
      </c>
      <c r="C174">
        <v>129</v>
      </c>
    </row>
    <row r="175" spans="1:3">
      <c r="A175" t="s">
        <v>5950</v>
      </c>
      <c r="B175" t="s">
        <v>5951</v>
      </c>
      <c r="C175">
        <v>273</v>
      </c>
    </row>
    <row r="176" spans="1:3">
      <c r="A176" t="s">
        <v>215</v>
      </c>
      <c r="B176" t="s">
        <v>216</v>
      </c>
      <c r="C176">
        <v>144</v>
      </c>
    </row>
    <row r="177" spans="1:3">
      <c r="A177" t="s">
        <v>269</v>
      </c>
      <c r="B177" t="s">
        <v>270</v>
      </c>
      <c r="C177">
        <v>229</v>
      </c>
    </row>
    <row r="178" spans="1:3">
      <c r="A178" t="s">
        <v>189</v>
      </c>
      <c r="B178" t="s">
        <v>190</v>
      </c>
      <c r="C178">
        <v>126</v>
      </c>
    </row>
    <row r="179" spans="1:3">
      <c r="A179" t="s">
        <v>4914</v>
      </c>
      <c r="B179" t="s">
        <v>4915</v>
      </c>
      <c r="C179">
        <v>245</v>
      </c>
    </row>
    <row r="180" spans="1:3">
      <c r="A180" t="s">
        <v>276</v>
      </c>
      <c r="B180" t="s">
        <v>277</v>
      </c>
      <c r="C180">
        <v>233</v>
      </c>
    </row>
    <row r="181" spans="1:3">
      <c r="A181" t="s">
        <v>5691</v>
      </c>
      <c r="B181" t="s">
        <v>5691</v>
      </c>
      <c r="C181">
        <v>267</v>
      </c>
    </row>
    <row r="182" spans="1:3">
      <c r="A182" t="s">
        <v>5945</v>
      </c>
      <c r="B182" t="s">
        <v>5946</v>
      </c>
      <c r="C182">
        <v>270</v>
      </c>
    </row>
    <row r="183" spans="1:3">
      <c r="A183" t="s">
        <v>5499</v>
      </c>
      <c r="B183" t="s">
        <v>5500</v>
      </c>
      <c r="C183">
        <v>256</v>
      </c>
    </row>
    <row r="184" spans="1:3">
      <c r="A184" t="s">
        <v>5516</v>
      </c>
      <c r="B184" t="s">
        <v>5517</v>
      </c>
      <c r="C184">
        <v>265</v>
      </c>
    </row>
    <row r="185" spans="1:3">
      <c r="A185" t="s">
        <v>4922</v>
      </c>
      <c r="B185" t="s">
        <v>4923</v>
      </c>
      <c r="C185">
        <v>250</v>
      </c>
    </row>
    <row r="186" spans="1:3">
      <c r="A186" t="s">
        <v>5511</v>
      </c>
      <c r="B186" t="s">
        <v>5380</v>
      </c>
      <c r="C186">
        <v>262</v>
      </c>
    </row>
    <row r="187" spans="1:3">
      <c r="A187" t="s">
        <v>263</v>
      </c>
      <c r="B187" t="s">
        <v>264</v>
      </c>
      <c r="C187">
        <v>225</v>
      </c>
    </row>
    <row r="188" spans="1:3">
      <c r="A188" t="s">
        <v>264</v>
      </c>
      <c r="B188" t="s">
        <v>4061</v>
      </c>
      <c r="C188">
        <v>242</v>
      </c>
    </row>
    <row r="189" spans="1:3">
      <c r="A189" t="s">
        <v>5942</v>
      </c>
      <c r="B189" t="s">
        <v>5952</v>
      </c>
      <c r="C189">
        <v>274</v>
      </c>
    </row>
    <row r="190" spans="1:3">
      <c r="A190" t="s">
        <v>7263</v>
      </c>
      <c r="B190" t="s">
        <v>7264</v>
      </c>
      <c r="C190">
        <v>299</v>
      </c>
    </row>
    <row r="191" spans="1:3">
      <c r="A191" t="s">
        <v>273</v>
      </c>
      <c r="B191" t="s">
        <v>273</v>
      </c>
      <c r="C191">
        <v>231</v>
      </c>
    </row>
    <row r="192" spans="1:3">
      <c r="A192" t="s">
        <v>280</v>
      </c>
      <c r="B192" t="s">
        <v>281</v>
      </c>
      <c r="C192">
        <v>235</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350A5C-A381-413C-A61F-69BB5A2C6C68}">
  <sheetPr codeName="Hoja12"/>
  <dimension ref="A1:F1478"/>
  <sheetViews>
    <sheetView topLeftCell="A4" workbookViewId="0">
      <selection activeCell="A4" sqref="A4:D1421"/>
    </sheetView>
  </sheetViews>
  <sheetFormatPr defaultColWidth="11.5703125" defaultRowHeight="15"/>
  <cols>
    <col min="1" max="1" width="23.42578125" bestFit="1" customWidth="1"/>
    <col min="2" max="2" width="81.140625" bestFit="1" customWidth="1"/>
    <col min="3" max="3" width="8.42578125" bestFit="1" customWidth="1"/>
    <col min="4" max="4" width="12.140625" bestFit="1" customWidth="1"/>
  </cols>
  <sheetData>
    <row r="1" spans="1:4">
      <c r="A1" t="s">
        <v>2095</v>
      </c>
    </row>
    <row r="2" spans="1:4">
      <c r="A2" t="s">
        <v>2094</v>
      </c>
    </row>
    <row r="4" spans="1:4">
      <c r="A4" t="s">
        <v>2096</v>
      </c>
      <c r="B4" t="s">
        <v>2097</v>
      </c>
      <c r="C4" t="s">
        <v>6509</v>
      </c>
      <c r="D4" t="s">
        <v>3847</v>
      </c>
    </row>
    <row r="5" spans="1:4">
      <c r="A5" t="s">
        <v>7190</v>
      </c>
      <c r="B5" t="s">
        <v>7191</v>
      </c>
      <c r="C5">
        <v>1605</v>
      </c>
      <c r="D5">
        <f>SUMIFS(Horas!R:R,Horas!E:E,A6)</f>
        <v>0</v>
      </c>
    </row>
    <row r="6" spans="1:4">
      <c r="A6" t="s">
        <v>4807</v>
      </c>
      <c r="B6" t="s">
        <v>4776</v>
      </c>
      <c r="C6">
        <v>1093</v>
      </c>
      <c r="D6">
        <f>SUMIFS(Horas!R:R,Horas!E:E,A7)</f>
        <v>0</v>
      </c>
    </row>
    <row r="7" spans="1:4">
      <c r="A7" t="s">
        <v>5837</v>
      </c>
      <c r="B7" t="s">
        <v>5838</v>
      </c>
      <c r="C7">
        <v>1302</v>
      </c>
      <c r="D7">
        <f>SUMIFS(Horas!R:R,Horas!E:E,A8)</f>
        <v>0</v>
      </c>
    </row>
    <row r="8" spans="1:4">
      <c r="A8" t="s">
        <v>7366</v>
      </c>
      <c r="B8" t="s">
        <v>7367</v>
      </c>
      <c r="C8">
        <v>1640</v>
      </c>
      <c r="D8">
        <f>SUMIFS(Horas!R:R,Horas!E:E,A9)</f>
        <v>0</v>
      </c>
    </row>
    <row r="9" spans="1:4">
      <c r="A9" t="s">
        <v>7288</v>
      </c>
      <c r="B9" t="s">
        <v>7289</v>
      </c>
      <c r="C9">
        <v>1184</v>
      </c>
      <c r="D9">
        <f>SUMIFS(Horas!R:R,Horas!E:E,A10)</f>
        <v>0</v>
      </c>
    </row>
    <row r="10" spans="1:4">
      <c r="A10" t="s">
        <v>7368</v>
      </c>
      <c r="B10" t="s">
        <v>7369</v>
      </c>
      <c r="C10">
        <v>1641</v>
      </c>
      <c r="D10">
        <f>SUMIFS(Horas!R:R,Horas!E:E,A11)</f>
        <v>0</v>
      </c>
    </row>
    <row r="11" spans="1:4">
      <c r="A11" t="s">
        <v>7295</v>
      </c>
      <c r="B11" t="s">
        <v>6054</v>
      </c>
      <c r="C11">
        <v>1390</v>
      </c>
      <c r="D11">
        <f>SUMIFS(Horas!R:R,Horas!E:E,A12)</f>
        <v>0</v>
      </c>
    </row>
    <row r="12" spans="1:4">
      <c r="A12" t="s">
        <v>4801</v>
      </c>
      <c r="B12" t="s">
        <v>4802</v>
      </c>
      <c r="C12">
        <v>1090</v>
      </c>
      <c r="D12">
        <f>SUMIFS(Horas!R:R,Horas!E:E,A13)</f>
        <v>0</v>
      </c>
    </row>
    <row r="13" spans="1:4">
      <c r="A13" t="s">
        <v>7312</v>
      </c>
      <c r="B13" t="s">
        <v>7313</v>
      </c>
      <c r="C13">
        <v>1607</v>
      </c>
      <c r="D13">
        <f>SUMIFS(Horas!R:R,Horas!E:E,A14)</f>
        <v>0</v>
      </c>
    </row>
    <row r="14" spans="1:4">
      <c r="A14" t="s">
        <v>4821</v>
      </c>
      <c r="B14" t="s">
        <v>4822</v>
      </c>
      <c r="C14">
        <v>1104</v>
      </c>
      <c r="D14">
        <f>SUMIFS(Horas!R:R,Horas!E:E,A15)</f>
        <v>0</v>
      </c>
    </row>
    <row r="15" spans="1:4">
      <c r="A15" t="s">
        <v>5804</v>
      </c>
      <c r="B15" t="s">
        <v>5805</v>
      </c>
      <c r="C15">
        <v>1277</v>
      </c>
      <c r="D15">
        <f>SUMIFS(Horas!R:R,Horas!E:E,A16)</f>
        <v>0</v>
      </c>
    </row>
    <row r="16" spans="1:4">
      <c r="A16" t="s">
        <v>4781</v>
      </c>
      <c r="B16" t="s">
        <v>4782</v>
      </c>
      <c r="C16">
        <v>1079</v>
      </c>
      <c r="D16">
        <f>SUMIFS(Horas!R:R,Horas!E:E,A17)</f>
        <v>0</v>
      </c>
    </row>
    <row r="17" spans="1:4">
      <c r="A17" t="s">
        <v>6311</v>
      </c>
      <c r="B17" t="s">
        <v>6312</v>
      </c>
      <c r="C17">
        <v>1419</v>
      </c>
      <c r="D17">
        <f>SUMIFS(Horas!R:R,Horas!E:E,A18)</f>
        <v>0</v>
      </c>
    </row>
    <row r="18" spans="1:4">
      <c r="A18" t="s">
        <v>6307</v>
      </c>
      <c r="B18" t="s">
        <v>6308</v>
      </c>
      <c r="C18">
        <v>1417</v>
      </c>
      <c r="D18">
        <f>SUMIFS(Horas!R:R,Horas!E:E,A19)</f>
        <v>0</v>
      </c>
    </row>
    <row r="19" spans="1:4">
      <c r="A19" t="s">
        <v>6309</v>
      </c>
      <c r="B19" t="s">
        <v>6310</v>
      </c>
      <c r="C19">
        <v>1418</v>
      </c>
      <c r="D19">
        <f>SUMIFS(Horas!R:R,Horas!E:E,A20)</f>
        <v>0</v>
      </c>
    </row>
    <row r="20" spans="1:4">
      <c r="A20" t="s">
        <v>4779</v>
      </c>
      <c r="B20" t="s">
        <v>4780</v>
      </c>
      <c r="C20">
        <v>1078</v>
      </c>
      <c r="D20">
        <f>SUMIFS(Horas!R:R,Horas!E:E,A21)</f>
        <v>0</v>
      </c>
    </row>
    <row r="21" spans="1:4">
      <c r="A21" t="s">
        <v>4797</v>
      </c>
      <c r="B21" t="s">
        <v>4798</v>
      </c>
      <c r="C21">
        <v>1087</v>
      </c>
      <c r="D21">
        <f>SUMIFS(Horas!R:R,Horas!E:E,A22)</f>
        <v>0</v>
      </c>
    </row>
    <row r="22" spans="1:4">
      <c r="A22" t="s">
        <v>2524</v>
      </c>
      <c r="B22" t="s">
        <v>2525</v>
      </c>
      <c r="C22">
        <v>275</v>
      </c>
      <c r="D22">
        <f>SUMIFS(Horas!R:R,Horas!E:E,A23)</f>
        <v>0</v>
      </c>
    </row>
    <row r="23" spans="1:4">
      <c r="A23" t="s">
        <v>4789</v>
      </c>
      <c r="B23" t="s">
        <v>4790</v>
      </c>
      <c r="C23">
        <v>1083</v>
      </c>
      <c r="D23">
        <f>SUMIFS(Horas!R:R,Horas!E:E,A24)</f>
        <v>0</v>
      </c>
    </row>
    <row r="24" spans="1:4">
      <c r="A24" t="s">
        <v>3742</v>
      </c>
      <c r="B24" t="s">
        <v>3743</v>
      </c>
      <c r="C24">
        <v>957</v>
      </c>
      <c r="D24">
        <f>SUMIFS(Horas!R:R,Horas!E:E,A25)</f>
        <v>0</v>
      </c>
    </row>
    <row r="25" spans="1:4">
      <c r="A25" t="s">
        <v>2356</v>
      </c>
      <c r="B25" t="s">
        <v>2357</v>
      </c>
      <c r="C25">
        <v>203</v>
      </c>
      <c r="D25">
        <f>SUMIFS(Horas!R:R,Horas!E:E,A26)</f>
        <v>0</v>
      </c>
    </row>
    <row r="26" spans="1:4">
      <c r="A26" t="s">
        <v>7306</v>
      </c>
      <c r="B26" t="s">
        <v>7307</v>
      </c>
      <c r="C26">
        <v>1584</v>
      </c>
      <c r="D26">
        <f>SUMIFS(Horas!R:R,Horas!E:E,A27)</f>
        <v>0</v>
      </c>
    </row>
    <row r="27" spans="1:4">
      <c r="A27" t="s">
        <v>6573</v>
      </c>
      <c r="B27" t="s">
        <v>6574</v>
      </c>
      <c r="C27">
        <v>1515</v>
      </c>
      <c r="D27">
        <f>SUMIFS(Horas!R:R,Horas!E:E,A28)</f>
        <v>0</v>
      </c>
    </row>
    <row r="28" spans="1:4">
      <c r="A28" t="s">
        <v>5556</v>
      </c>
      <c r="B28" t="s">
        <v>5557</v>
      </c>
      <c r="C28">
        <v>1220</v>
      </c>
      <c r="D28">
        <f>SUMIFS(Horas!R:R,Horas!E:E,A29)</f>
        <v>0</v>
      </c>
    </row>
    <row r="29" spans="1:4">
      <c r="A29" t="s">
        <v>5338</v>
      </c>
      <c r="B29" t="s">
        <v>5339</v>
      </c>
      <c r="C29">
        <v>1181</v>
      </c>
      <c r="D29">
        <f>SUMIFS(Horas!R:R,Horas!E:E,A30)</f>
        <v>0</v>
      </c>
    </row>
    <row r="30" spans="1:4">
      <c r="A30" t="s">
        <v>5530</v>
      </c>
      <c r="B30" t="s">
        <v>5383</v>
      </c>
      <c r="C30">
        <v>1203</v>
      </c>
      <c r="D30">
        <f>SUMIFS(Horas!R:R,Horas!E:E,A31)</f>
        <v>0</v>
      </c>
    </row>
    <row r="31" spans="1:4">
      <c r="A31" t="s">
        <v>5853</v>
      </c>
      <c r="B31" t="s">
        <v>5854</v>
      </c>
      <c r="C31">
        <v>1310</v>
      </c>
      <c r="D31">
        <f>SUMIFS(Horas!R:R,Horas!E:E,A32)</f>
        <v>0</v>
      </c>
    </row>
    <row r="32" spans="1:4">
      <c r="A32" t="s">
        <v>2583</v>
      </c>
      <c r="B32" t="s">
        <v>2584</v>
      </c>
      <c r="C32">
        <v>309</v>
      </c>
      <c r="D32">
        <f>SUMIFS(Horas!R:R,Horas!E:E,A33)</f>
        <v>0</v>
      </c>
    </row>
    <row r="33" spans="1:4">
      <c r="A33" t="s">
        <v>7292</v>
      </c>
      <c r="B33" t="s">
        <v>7293</v>
      </c>
      <c r="C33">
        <v>1311</v>
      </c>
      <c r="D33">
        <f>SUMIFS(Horas!R:R,Horas!E:E,A34)</f>
        <v>0</v>
      </c>
    </row>
    <row r="34" spans="1:4">
      <c r="A34" t="s">
        <v>2560</v>
      </c>
      <c r="B34" t="s">
        <v>5520</v>
      </c>
      <c r="C34">
        <v>296</v>
      </c>
      <c r="D34">
        <f>SUMIFS(Horas!R:R,Horas!E:E,A35)</f>
        <v>0</v>
      </c>
    </row>
    <row r="35" spans="1:4">
      <c r="A35" t="s">
        <v>7294</v>
      </c>
      <c r="B35" t="s">
        <v>5855</v>
      </c>
      <c r="C35">
        <v>1312</v>
      </c>
      <c r="D35">
        <f>SUMIFS(Horas!R:R,Horas!E:E,A36)</f>
        <v>0</v>
      </c>
    </row>
    <row r="36" spans="1:4">
      <c r="A36" t="s">
        <v>2399</v>
      </c>
      <c r="B36" t="s">
        <v>2400</v>
      </c>
      <c r="C36">
        <v>160</v>
      </c>
      <c r="D36">
        <f>SUMIFS(Horas!R:R,Horas!E:E,A37)</f>
        <v>0</v>
      </c>
    </row>
    <row r="37" spans="1:4">
      <c r="A37" t="s">
        <v>2474</v>
      </c>
      <c r="B37" t="s">
        <v>2475</v>
      </c>
      <c r="C37">
        <v>245</v>
      </c>
      <c r="D37">
        <f>SUMIFS(Horas!R:R,Horas!E:E,A38)</f>
        <v>0</v>
      </c>
    </row>
    <row r="38" spans="1:4">
      <c r="A38" t="s">
        <v>4819</v>
      </c>
      <c r="B38" t="s">
        <v>4820</v>
      </c>
      <c r="C38">
        <v>1101</v>
      </c>
      <c r="D38">
        <f>SUMIFS(Horas!R:R,Horas!E:E,A39)</f>
        <v>0</v>
      </c>
    </row>
    <row r="39" spans="1:4">
      <c r="A39" t="s">
        <v>5828</v>
      </c>
      <c r="B39" t="s">
        <v>5829</v>
      </c>
      <c r="C39">
        <v>1294</v>
      </c>
      <c r="D39">
        <f>SUMIFS(Horas!R:R,Horas!E:E,A40)</f>
        <v>0</v>
      </c>
    </row>
    <row r="40" spans="1:4">
      <c r="A40" t="s">
        <v>4805</v>
      </c>
      <c r="B40" t="s">
        <v>4806</v>
      </c>
      <c r="C40">
        <v>1092</v>
      </c>
      <c r="D40">
        <f>SUMIFS(Horas!R:R,Horas!E:E,A41)</f>
        <v>0</v>
      </c>
    </row>
    <row r="41" spans="1:4">
      <c r="A41" t="s">
        <v>2565</v>
      </c>
      <c r="B41" t="s">
        <v>2566</v>
      </c>
      <c r="C41">
        <v>300</v>
      </c>
      <c r="D41">
        <f>SUMIFS(Horas!R:R,Horas!E:E,A42)</f>
        <v>0</v>
      </c>
    </row>
    <row r="42" spans="1:4">
      <c r="A42" t="s">
        <v>2516</v>
      </c>
      <c r="B42" t="s">
        <v>2517</v>
      </c>
      <c r="C42">
        <v>271</v>
      </c>
      <c r="D42">
        <f>SUMIFS(Horas!R:R,Horas!E:E,A43)</f>
        <v>0</v>
      </c>
    </row>
    <row r="43" spans="1:4">
      <c r="A43" t="s">
        <v>3485</v>
      </c>
      <c r="B43" t="s">
        <v>3486</v>
      </c>
      <c r="C43">
        <v>813</v>
      </c>
      <c r="D43">
        <f>SUMIFS(Horas!R:R,Horas!E:E,A44)</f>
        <v>0</v>
      </c>
    </row>
    <row r="44" spans="1:4">
      <c r="A44" t="s">
        <v>2743</v>
      </c>
      <c r="B44" t="s">
        <v>2744</v>
      </c>
      <c r="C44">
        <v>402</v>
      </c>
      <c r="D44">
        <f>SUMIFS(Horas!R:R,Horas!E:E,A45)</f>
        <v>0</v>
      </c>
    </row>
    <row r="45" spans="1:4">
      <c r="A45" t="s">
        <v>2779</v>
      </c>
      <c r="B45" t="s">
        <v>2780</v>
      </c>
      <c r="C45">
        <v>425</v>
      </c>
      <c r="D45">
        <f>SUMIFS(Horas!R:R,Horas!E:E,A46)</f>
        <v>0</v>
      </c>
    </row>
    <row r="46" spans="1:4">
      <c r="A46" t="s">
        <v>3795</v>
      </c>
      <c r="B46" t="s">
        <v>3796</v>
      </c>
      <c r="C46">
        <v>987</v>
      </c>
      <c r="D46">
        <f>SUMIFS(Horas!R:R,Horas!E:E,A47)</f>
        <v>0</v>
      </c>
    </row>
    <row r="47" spans="1:4">
      <c r="A47" t="s">
        <v>2917</v>
      </c>
      <c r="B47" t="s">
        <v>2918</v>
      </c>
      <c r="C47">
        <v>497</v>
      </c>
      <c r="D47">
        <f>SUMIFS(Horas!R:R,Horas!E:E,A48)</f>
        <v>0</v>
      </c>
    </row>
    <row r="48" spans="1:4">
      <c r="A48" t="s">
        <v>3297</v>
      </c>
      <c r="B48" t="s">
        <v>3298</v>
      </c>
      <c r="C48">
        <v>711</v>
      </c>
      <c r="D48">
        <f>SUMIFS(Horas!R:R,Horas!E:E,A49)</f>
        <v>0</v>
      </c>
    </row>
    <row r="49" spans="1:4">
      <c r="A49" t="s">
        <v>2608</v>
      </c>
      <c r="B49" t="s">
        <v>396</v>
      </c>
      <c r="C49">
        <v>322</v>
      </c>
      <c r="D49">
        <f>SUMIFS(Horas!R:R,Horas!E:E,A50)</f>
        <v>0</v>
      </c>
    </row>
    <row r="50" spans="1:4">
      <c r="A50" t="s">
        <v>2607</v>
      </c>
      <c r="B50" t="s">
        <v>394</v>
      </c>
      <c r="C50">
        <v>321</v>
      </c>
      <c r="D50">
        <f>SUMIFS(Horas!R:R,Horas!E:E,A51)</f>
        <v>0</v>
      </c>
    </row>
    <row r="51" spans="1:4">
      <c r="A51" t="s">
        <v>6547</v>
      </c>
      <c r="B51" t="s">
        <v>5528</v>
      </c>
      <c r="C51">
        <v>1496</v>
      </c>
      <c r="D51">
        <f>SUMIFS(Horas!R:R,Horas!E:E,A52)</f>
        <v>0</v>
      </c>
    </row>
    <row r="52" spans="1:4">
      <c r="A52" t="s">
        <v>7142</v>
      </c>
      <c r="B52" t="s">
        <v>5528</v>
      </c>
      <c r="C52">
        <v>1557</v>
      </c>
      <c r="D52">
        <f>SUMIFS(Horas!R:R,Horas!E:E,A53)</f>
        <v>0</v>
      </c>
    </row>
    <row r="53" spans="1:4">
      <c r="A53" t="s">
        <v>7405</v>
      </c>
      <c r="B53" t="s">
        <v>5528</v>
      </c>
      <c r="C53">
        <v>1658</v>
      </c>
      <c r="D53">
        <f>SUMIFS(Horas!R:R,Horas!E:E,A54)</f>
        <v>0</v>
      </c>
    </row>
    <row r="54" spans="1:4">
      <c r="A54" t="s">
        <v>6745</v>
      </c>
      <c r="B54" t="s">
        <v>6754</v>
      </c>
      <c r="C54">
        <v>1528</v>
      </c>
      <c r="D54">
        <f>SUMIFS(Horas!R:R,Horas!E:E,A55)</f>
        <v>0</v>
      </c>
    </row>
    <row r="55" spans="1:4">
      <c r="A55" t="s">
        <v>7325</v>
      </c>
      <c r="B55" t="s">
        <v>7326</v>
      </c>
      <c r="C55">
        <v>1616</v>
      </c>
      <c r="D55">
        <f>SUMIFS(Horas!R:R,Horas!E:E,A56)</f>
        <v>0</v>
      </c>
    </row>
    <row r="56" spans="1:4">
      <c r="A56" t="s">
        <v>6464</v>
      </c>
      <c r="B56" t="s">
        <v>6465</v>
      </c>
      <c r="C56">
        <v>1437</v>
      </c>
      <c r="D56">
        <f>SUMIFS(Horas!R:R,Horas!E:E,A57)</f>
        <v>0</v>
      </c>
    </row>
    <row r="57" spans="1:4">
      <c r="A57" t="s">
        <v>5527</v>
      </c>
      <c r="B57" t="s">
        <v>5528</v>
      </c>
      <c r="C57">
        <v>1159</v>
      </c>
      <c r="D57">
        <f>SUMIFS(Horas!R:R,Horas!E:E,A58)</f>
        <v>0</v>
      </c>
    </row>
    <row r="58" spans="1:4">
      <c r="A58" t="s">
        <v>5578</v>
      </c>
      <c r="B58" t="s">
        <v>5528</v>
      </c>
      <c r="C58">
        <v>1244</v>
      </c>
      <c r="D58">
        <f>SUMIFS(Horas!R:R,Horas!E:E,A59)</f>
        <v>0</v>
      </c>
    </row>
    <row r="59" spans="1:4">
      <c r="A59" t="s">
        <v>6028</v>
      </c>
      <c r="B59" t="s">
        <v>5528</v>
      </c>
      <c r="C59">
        <v>1369</v>
      </c>
      <c r="D59">
        <f>SUMIFS(Horas!R:R,Horas!E:E,A60)</f>
        <v>0</v>
      </c>
    </row>
    <row r="60" spans="1:4">
      <c r="A60" t="s">
        <v>5332</v>
      </c>
      <c r="B60" t="s">
        <v>5333</v>
      </c>
      <c r="C60">
        <v>1178</v>
      </c>
      <c r="D60">
        <f>SUMIFS(Horas!R:R,Horas!E:E,A61)</f>
        <v>0</v>
      </c>
    </row>
    <row r="61" spans="1:4">
      <c r="A61" t="s">
        <v>5579</v>
      </c>
      <c r="B61" t="s">
        <v>5333</v>
      </c>
      <c r="C61">
        <v>1245</v>
      </c>
      <c r="D61">
        <f>SUMIFS(Horas!R:R,Horas!E:E,A62)</f>
        <v>0</v>
      </c>
    </row>
    <row r="62" spans="1:4">
      <c r="A62" t="s">
        <v>6029</v>
      </c>
      <c r="B62" t="s">
        <v>5333</v>
      </c>
      <c r="C62">
        <v>1370</v>
      </c>
      <c r="D62">
        <f>SUMIFS(Horas!R:R,Horas!E:E,A63)</f>
        <v>0</v>
      </c>
    </row>
    <row r="63" spans="1:4">
      <c r="A63" t="s">
        <v>6545</v>
      </c>
      <c r="B63" t="s">
        <v>5333</v>
      </c>
      <c r="C63">
        <v>1494</v>
      </c>
      <c r="D63">
        <f>SUMIFS(Horas!R:R,Horas!E:E,A64)</f>
        <v>0</v>
      </c>
    </row>
    <row r="64" spans="1:4">
      <c r="A64" t="s">
        <v>7140</v>
      </c>
      <c r="B64" t="s">
        <v>5333</v>
      </c>
      <c r="C64">
        <v>1555</v>
      </c>
      <c r="D64">
        <f>SUMIFS(Horas!R:R,Horas!E:E,A65)</f>
        <v>0</v>
      </c>
    </row>
    <row r="65" spans="1:4">
      <c r="A65" t="s">
        <v>7407</v>
      </c>
      <c r="B65" t="s">
        <v>5333</v>
      </c>
      <c r="C65">
        <v>1660</v>
      </c>
      <c r="D65">
        <f>SUMIFS(Horas!R:R,Horas!E:E,A66)</f>
        <v>0</v>
      </c>
    </row>
    <row r="66" spans="1:4">
      <c r="A66" t="s">
        <v>6561</v>
      </c>
      <c r="B66" t="s">
        <v>6562</v>
      </c>
      <c r="C66">
        <v>1507</v>
      </c>
      <c r="D66">
        <f>SUMIFS(Horas!R:R,Horas!E:E,A67)</f>
        <v>0</v>
      </c>
    </row>
    <row r="67" spans="1:4">
      <c r="A67" t="s">
        <v>7338</v>
      </c>
      <c r="B67" t="s">
        <v>6562</v>
      </c>
      <c r="C67">
        <v>1624</v>
      </c>
      <c r="D67">
        <f>SUMIFS(Horas!R:R,Horas!E:E,A68)</f>
        <v>0</v>
      </c>
    </row>
    <row r="68" spans="1:4">
      <c r="A68" t="s">
        <v>4062</v>
      </c>
      <c r="B68" t="s">
        <v>3263</v>
      </c>
      <c r="C68">
        <v>692</v>
      </c>
      <c r="D68">
        <f>SUMIFS(Horas!R:R,Horas!E:E,A69)</f>
        <v>0</v>
      </c>
    </row>
    <row r="69" spans="1:4">
      <c r="A69" t="s">
        <v>5762</v>
      </c>
      <c r="B69" t="s">
        <v>6070</v>
      </c>
      <c r="C69">
        <v>1329</v>
      </c>
      <c r="D69">
        <f>SUMIFS(Horas!R:R,Horas!E:E,A70)</f>
        <v>0</v>
      </c>
    </row>
    <row r="70" spans="1:4">
      <c r="A70" t="s">
        <v>6431</v>
      </c>
      <c r="B70" t="s">
        <v>6432</v>
      </c>
      <c r="C70">
        <v>1439</v>
      </c>
      <c r="D70">
        <f>SUMIFS(Horas!R:R,Horas!E:E,A71)</f>
        <v>0</v>
      </c>
    </row>
    <row r="71" spans="1:4">
      <c r="A71" t="s">
        <v>5863</v>
      </c>
      <c r="B71" t="s">
        <v>5864</v>
      </c>
      <c r="C71">
        <v>1318</v>
      </c>
      <c r="D71">
        <f>SUMIFS(Horas!R:R,Horas!E:E,A72)</f>
        <v>0</v>
      </c>
    </row>
    <row r="72" spans="1:4">
      <c r="A72" t="s">
        <v>6433</v>
      </c>
      <c r="B72" t="s">
        <v>5864</v>
      </c>
      <c r="C72">
        <v>1440</v>
      </c>
      <c r="D72">
        <f>SUMIFS(Horas!R:R,Horas!E:E,A73)</f>
        <v>0</v>
      </c>
    </row>
    <row r="73" spans="1:4">
      <c r="A73" t="s">
        <v>6730</v>
      </c>
      <c r="B73" t="s">
        <v>5864</v>
      </c>
      <c r="C73">
        <v>1529</v>
      </c>
      <c r="D73">
        <f>SUMIFS(Horas!R:R,Horas!E:E,A74)</f>
        <v>0</v>
      </c>
    </row>
    <row r="74" spans="1:4">
      <c r="A74" t="s">
        <v>7327</v>
      </c>
      <c r="B74" t="s">
        <v>5864</v>
      </c>
      <c r="C74">
        <v>1617</v>
      </c>
      <c r="D74">
        <f>SUMIFS(Horas!R:R,Horas!E:E,A75)</f>
        <v>0</v>
      </c>
    </row>
    <row r="75" spans="1:4">
      <c r="A75" t="s">
        <v>6731</v>
      </c>
      <c r="B75" t="s">
        <v>6732</v>
      </c>
      <c r="C75">
        <v>1524</v>
      </c>
      <c r="D75">
        <f>SUMIFS(Horas!R:R,Horas!E:E,A76)</f>
        <v>0</v>
      </c>
    </row>
    <row r="76" spans="1:4">
      <c r="A76" t="s">
        <v>7328</v>
      </c>
      <c r="B76" t="s">
        <v>7329</v>
      </c>
      <c r="C76">
        <v>1618</v>
      </c>
      <c r="D76">
        <f>SUMIFS(Horas!R:R,Horas!E:E,A77)</f>
        <v>0</v>
      </c>
    </row>
    <row r="77" spans="1:4">
      <c r="A77" t="s">
        <v>5867</v>
      </c>
      <c r="B77" t="s">
        <v>5868</v>
      </c>
      <c r="C77">
        <v>1321</v>
      </c>
      <c r="D77">
        <f>SUMIFS(Horas!R:R,Horas!E:E,A78)</f>
        <v>0</v>
      </c>
    </row>
    <row r="78" spans="1:4">
      <c r="A78" t="s">
        <v>4775</v>
      </c>
      <c r="B78" t="s">
        <v>4776</v>
      </c>
      <c r="C78">
        <v>1076</v>
      </c>
      <c r="D78">
        <f>SUMIFS(Horas!R:R,Horas!E:E,A79)</f>
        <v>0</v>
      </c>
    </row>
    <row r="79" spans="1:4">
      <c r="A79" t="s">
        <v>5535</v>
      </c>
      <c r="B79" t="s">
        <v>5536</v>
      </c>
      <c r="C79">
        <v>1206</v>
      </c>
      <c r="D79">
        <f>SUMIFS(Horas!R:R,Horas!E:E,A80)</f>
        <v>0</v>
      </c>
    </row>
    <row r="80" spans="1:4">
      <c r="A80" t="s">
        <v>6571</v>
      </c>
      <c r="B80" t="s">
        <v>6572</v>
      </c>
      <c r="C80">
        <v>1514</v>
      </c>
      <c r="D80">
        <f>SUMIFS(Horas!R:R,Horas!E:E,A81)</f>
        <v>0</v>
      </c>
    </row>
    <row r="81" spans="1:4">
      <c r="A81" t="s">
        <v>2689</v>
      </c>
      <c r="B81" t="s">
        <v>2690</v>
      </c>
      <c r="C81">
        <v>364</v>
      </c>
      <c r="D81">
        <f>SUMIFS(Horas!R:R,Horas!E:E,A82)</f>
        <v>0</v>
      </c>
    </row>
    <row r="82" spans="1:4">
      <c r="A82" t="s">
        <v>2528</v>
      </c>
      <c r="B82" t="s">
        <v>2529</v>
      </c>
      <c r="C82">
        <v>277</v>
      </c>
      <c r="D82">
        <f>SUMIFS(Horas!R:R,Horas!E:E,A83)</f>
        <v>0</v>
      </c>
    </row>
    <row r="83" spans="1:4">
      <c r="A83" t="s">
        <v>2179</v>
      </c>
      <c r="B83" t="s">
        <v>2180</v>
      </c>
      <c r="C83">
        <v>124</v>
      </c>
      <c r="D83">
        <f>SUMIFS(Horas!R:R,Horas!E:E,A84)</f>
        <v>0</v>
      </c>
    </row>
    <row r="84" spans="1:4">
      <c r="A84" t="s">
        <v>3409</v>
      </c>
      <c r="B84" t="s">
        <v>3410</v>
      </c>
      <c r="C84">
        <v>775</v>
      </c>
      <c r="D84">
        <f>SUMIFS(Horas!R:R,Horas!E:E,A85)</f>
        <v>0</v>
      </c>
    </row>
    <row r="85" spans="1:4">
      <c r="A85" t="s">
        <v>6454</v>
      </c>
      <c r="B85" t="s">
        <v>6455</v>
      </c>
      <c r="C85">
        <v>1431</v>
      </c>
      <c r="D85">
        <f>SUMIFS(Horas!R:R,Horas!E:E,A86)</f>
        <v>0</v>
      </c>
    </row>
    <row r="86" spans="1:4">
      <c r="A86" t="s">
        <v>2910</v>
      </c>
      <c r="B86" t="s">
        <v>4747</v>
      </c>
      <c r="C86">
        <v>493</v>
      </c>
      <c r="D86">
        <f>SUMIFS(Horas!R:R,Horas!E:E,A87)</f>
        <v>0</v>
      </c>
    </row>
    <row r="87" spans="1:4">
      <c r="A87" t="s">
        <v>6456</v>
      </c>
      <c r="B87" t="s">
        <v>6457</v>
      </c>
      <c r="C87">
        <v>1432</v>
      </c>
      <c r="D87">
        <f>SUMIFS(Horas!R:R,Horas!E:E,A88)</f>
        <v>0</v>
      </c>
    </row>
    <row r="88" spans="1:4">
      <c r="A88" t="s">
        <v>2534</v>
      </c>
      <c r="B88" t="s">
        <v>2535</v>
      </c>
      <c r="C88">
        <v>280</v>
      </c>
      <c r="D88">
        <f>SUMIFS(Horas!R:R,Horas!E:E,A89)</f>
        <v>0</v>
      </c>
    </row>
    <row r="89" spans="1:4">
      <c r="A89" t="s">
        <v>6452</v>
      </c>
      <c r="B89" t="s">
        <v>6453</v>
      </c>
      <c r="C89">
        <v>1430</v>
      </c>
      <c r="D89">
        <f>SUMIFS(Horas!R:R,Horas!E:E,A90)</f>
        <v>0</v>
      </c>
    </row>
    <row r="90" spans="1:4">
      <c r="A90" t="s">
        <v>4773</v>
      </c>
      <c r="B90" t="s">
        <v>4774</v>
      </c>
      <c r="C90">
        <v>1075</v>
      </c>
      <c r="D90">
        <f>SUMIFS(Horas!R:R,Horas!E:E,A91)</f>
        <v>0</v>
      </c>
    </row>
    <row r="91" spans="1:4">
      <c r="A91" t="s">
        <v>6444</v>
      </c>
      <c r="B91" t="s">
        <v>6445</v>
      </c>
      <c r="C91">
        <v>1422</v>
      </c>
      <c r="D91">
        <f>SUMIFS(Horas!R:R,Horas!E:E,A92)</f>
        <v>0</v>
      </c>
    </row>
    <row r="92" spans="1:4">
      <c r="A92" t="s">
        <v>4765</v>
      </c>
      <c r="B92" t="s">
        <v>4766</v>
      </c>
      <c r="C92">
        <v>1070</v>
      </c>
      <c r="D92">
        <f>SUMIFS(Horas!R:R,Horas!E:E,A93)</f>
        <v>0</v>
      </c>
    </row>
    <row r="93" spans="1:4">
      <c r="A93" t="s">
        <v>4793</v>
      </c>
      <c r="B93" t="s">
        <v>4794</v>
      </c>
      <c r="C93">
        <v>1085</v>
      </c>
      <c r="D93">
        <f>SUMIFS(Horas!R:R,Horas!E:E,A94)</f>
        <v>0</v>
      </c>
    </row>
    <row r="94" spans="1:4">
      <c r="A94" t="s">
        <v>4767</v>
      </c>
      <c r="B94" t="s">
        <v>4768</v>
      </c>
      <c r="C94">
        <v>1072</v>
      </c>
      <c r="D94">
        <f>SUMIFS(Horas!R:R,Horas!E:E,A95)</f>
        <v>0</v>
      </c>
    </row>
    <row r="95" spans="1:4">
      <c r="A95" t="s">
        <v>5326</v>
      </c>
      <c r="B95" t="s">
        <v>5327</v>
      </c>
      <c r="C95">
        <v>1175</v>
      </c>
      <c r="D95">
        <f>SUMIFS(Horas!R:R,Horas!E:E,A96)</f>
        <v>0</v>
      </c>
    </row>
    <row r="96" spans="1:4">
      <c r="A96" t="s">
        <v>4759</v>
      </c>
      <c r="B96" t="s">
        <v>4760</v>
      </c>
      <c r="C96">
        <v>1067</v>
      </c>
      <c r="D96">
        <f>SUMIFS(Horas!R:R,Horas!E:E,A97)</f>
        <v>0</v>
      </c>
    </row>
    <row r="97" spans="1:4">
      <c r="A97" t="s">
        <v>4850</v>
      </c>
      <c r="B97" t="s">
        <v>4851</v>
      </c>
      <c r="C97">
        <v>1121</v>
      </c>
      <c r="D97">
        <f>SUMIFS(Horas!R:R,Horas!E:E,A98)</f>
        <v>0</v>
      </c>
    </row>
    <row r="98" spans="1:4">
      <c r="A98" t="s">
        <v>5835</v>
      </c>
      <c r="B98" t="s">
        <v>5836</v>
      </c>
      <c r="C98">
        <v>1301</v>
      </c>
      <c r="D98">
        <f>SUMIFS(Horas!R:R,Horas!E:E,A99)</f>
        <v>0</v>
      </c>
    </row>
    <row r="99" spans="1:4">
      <c r="A99" t="s">
        <v>3491</v>
      </c>
      <c r="B99" t="s">
        <v>3492</v>
      </c>
      <c r="C99">
        <v>816</v>
      </c>
      <c r="D99">
        <f>SUMIFS(Horas!R:R,Horas!E:E,A100)</f>
        <v>0</v>
      </c>
    </row>
    <row r="100" spans="1:4">
      <c r="A100" t="s">
        <v>5324</v>
      </c>
      <c r="B100" t="s">
        <v>6537</v>
      </c>
      <c r="C100">
        <v>1173</v>
      </c>
      <c r="D100">
        <f>SUMIFS(Horas!R:R,Horas!E:E,A101)</f>
        <v>0</v>
      </c>
    </row>
    <row r="101" spans="1:4">
      <c r="A101" t="s">
        <v>3938</v>
      </c>
      <c r="B101" t="s">
        <v>3863</v>
      </c>
      <c r="C101">
        <v>1019</v>
      </c>
      <c r="D101">
        <f>SUMIFS(Horas!R:R,Horas!E:E,A102)</f>
        <v>0</v>
      </c>
    </row>
    <row r="102" spans="1:4">
      <c r="A102" t="s">
        <v>3344</v>
      </c>
      <c r="B102" t="s">
        <v>3345</v>
      </c>
      <c r="C102">
        <v>736</v>
      </c>
      <c r="D102">
        <f>SUMIFS(Horas!R:R,Horas!E:E,A103)</f>
        <v>0</v>
      </c>
    </row>
    <row r="103" spans="1:4">
      <c r="A103" t="s">
        <v>3572</v>
      </c>
      <c r="B103" t="s">
        <v>3573</v>
      </c>
      <c r="C103">
        <v>860</v>
      </c>
      <c r="D103">
        <f>SUMIFS(Horas!R:R,Horas!E:E,A104)</f>
        <v>0</v>
      </c>
    </row>
    <row r="104" spans="1:4">
      <c r="A104" t="s">
        <v>7403</v>
      </c>
      <c r="B104" t="s">
        <v>7404</v>
      </c>
      <c r="C104">
        <v>1657</v>
      </c>
      <c r="D104">
        <f>SUMIFS(Horas!R:R,Horas!E:E,A105)</f>
        <v>0</v>
      </c>
    </row>
    <row r="105" spans="1:4">
      <c r="A105" t="s">
        <v>3959</v>
      </c>
      <c r="B105" t="s">
        <v>3960</v>
      </c>
      <c r="C105">
        <v>1038</v>
      </c>
      <c r="D105">
        <f>SUMIFS(Horas!R:R,Horas!E:E,A106)</f>
        <v>0</v>
      </c>
    </row>
    <row r="106" spans="1:4">
      <c r="A106" t="s">
        <v>4791</v>
      </c>
      <c r="B106" t="s">
        <v>4792</v>
      </c>
      <c r="C106">
        <v>1084</v>
      </c>
      <c r="D106">
        <f>SUMIFS(Horas!R:R,Horas!E:E,A107)</f>
        <v>0</v>
      </c>
    </row>
    <row r="107" spans="1:4">
      <c r="A107" t="s">
        <v>5936</v>
      </c>
      <c r="B107" t="s">
        <v>5937</v>
      </c>
      <c r="C107">
        <v>1366</v>
      </c>
      <c r="D107">
        <f>SUMIFS(Horas!R:R,Horas!E:E,A108)</f>
        <v>0</v>
      </c>
    </row>
    <row r="108" spans="1:4">
      <c r="A108" t="s">
        <v>7396</v>
      </c>
      <c r="B108" t="s">
        <v>7397</v>
      </c>
      <c r="C108">
        <v>1653</v>
      </c>
      <c r="D108">
        <f>SUMIFS(Horas!R:R,Horas!E:E,A109)</f>
        <v>0</v>
      </c>
    </row>
    <row r="109" spans="1:4">
      <c r="A109" t="s">
        <v>7279</v>
      </c>
      <c r="B109" t="s">
        <v>7280</v>
      </c>
      <c r="C109">
        <v>1022</v>
      </c>
      <c r="D109">
        <f>SUMIFS(Horas!R:R,Horas!E:E,A110)</f>
        <v>0</v>
      </c>
    </row>
    <row r="110" spans="1:4">
      <c r="A110" t="s">
        <v>5325</v>
      </c>
      <c r="B110" t="s">
        <v>6538</v>
      </c>
      <c r="C110">
        <v>1174</v>
      </c>
      <c r="D110">
        <f>SUMIFS(Horas!R:R,Horas!E:E,A111)</f>
        <v>0</v>
      </c>
    </row>
    <row r="111" spans="1:4">
      <c r="A111" t="s">
        <v>3226</v>
      </c>
      <c r="B111" t="s">
        <v>3227</v>
      </c>
      <c r="C111">
        <v>671</v>
      </c>
      <c r="D111">
        <f>SUMIFS(Horas!R:R,Horas!E:E,A112)</f>
        <v>0</v>
      </c>
    </row>
    <row r="112" spans="1:4">
      <c r="A112" t="s">
        <v>3936</v>
      </c>
      <c r="B112" t="s">
        <v>3640</v>
      </c>
      <c r="C112">
        <v>898</v>
      </c>
      <c r="D112">
        <f>SUMIFS(Horas!R:R,Horas!E:E,A113)</f>
        <v>0</v>
      </c>
    </row>
    <row r="113" spans="1:4">
      <c r="A113" t="s">
        <v>3395</v>
      </c>
      <c r="B113" t="s">
        <v>3396</v>
      </c>
      <c r="C113">
        <v>768</v>
      </c>
      <c r="D113">
        <f>SUMIFS(Horas!R:R,Horas!E:E,A114)</f>
        <v>0</v>
      </c>
    </row>
    <row r="114" spans="1:4">
      <c r="A114" t="s">
        <v>3391</v>
      </c>
      <c r="B114" t="s">
        <v>3392</v>
      </c>
      <c r="C114">
        <v>763</v>
      </c>
      <c r="D114">
        <f>SUMIFS(Horas!R:R,Horas!E:E,A115)</f>
        <v>0</v>
      </c>
    </row>
    <row r="115" spans="1:4">
      <c r="A115" t="s">
        <v>7308</v>
      </c>
      <c r="B115" t="s">
        <v>7309</v>
      </c>
      <c r="C115">
        <v>1586</v>
      </c>
      <c r="D115">
        <f>SUMIFS(Horas!R:R,Horas!E:E,A116)</f>
        <v>0</v>
      </c>
    </row>
    <row r="116" spans="1:4">
      <c r="A116" t="s">
        <v>7380</v>
      </c>
      <c r="B116" t="s">
        <v>7381</v>
      </c>
      <c r="C116">
        <v>1646</v>
      </c>
      <c r="D116">
        <f>SUMIFS(Horas!R:R,Horas!E:E,A117)</f>
        <v>0</v>
      </c>
    </row>
    <row r="117" spans="1:4">
      <c r="A117" t="s">
        <v>3657</v>
      </c>
      <c r="B117" t="s">
        <v>3658</v>
      </c>
      <c r="C117">
        <v>908</v>
      </c>
      <c r="D117">
        <f>SUMIFS(Horas!R:R,Horas!E:E,A118)</f>
        <v>0</v>
      </c>
    </row>
    <row r="118" spans="1:4">
      <c r="A118" t="s">
        <v>3773</v>
      </c>
      <c r="B118" t="s">
        <v>4750</v>
      </c>
      <c r="C118">
        <v>974</v>
      </c>
      <c r="D118">
        <f>SUMIFS(Horas!R:R,Horas!E:E,A119)</f>
        <v>0</v>
      </c>
    </row>
    <row r="119" spans="1:4">
      <c r="A119" t="s">
        <v>6277</v>
      </c>
      <c r="B119" t="s">
        <v>4750</v>
      </c>
      <c r="C119">
        <v>1395</v>
      </c>
      <c r="D119">
        <f>SUMIFS(Horas!R:R,Horas!E:E,A120)</f>
        <v>0</v>
      </c>
    </row>
    <row r="120" spans="1:4">
      <c r="A120" t="s">
        <v>7281</v>
      </c>
      <c r="B120" t="s">
        <v>7282</v>
      </c>
      <c r="C120">
        <v>1053</v>
      </c>
      <c r="D120">
        <f>SUMIFS(Horas!R:R,Horas!E:E,A121)</f>
        <v>0</v>
      </c>
    </row>
    <row r="121" spans="1:4">
      <c r="A121" t="s">
        <v>7398</v>
      </c>
      <c r="B121" t="s">
        <v>7399</v>
      </c>
      <c r="C121">
        <v>1654</v>
      </c>
      <c r="D121">
        <f>SUMIFS(Horas!R:R,Horas!E:E,A122)</f>
        <v>0</v>
      </c>
    </row>
    <row r="122" spans="1:4">
      <c r="A122" t="s">
        <v>2532</v>
      </c>
      <c r="B122" t="s">
        <v>2533</v>
      </c>
      <c r="C122">
        <v>279</v>
      </c>
      <c r="D122">
        <f>SUMIFS(Horas!R:R,Horas!E:E,A123)</f>
        <v>0</v>
      </c>
    </row>
    <row r="123" spans="1:4">
      <c r="A123" t="s">
        <v>2831</v>
      </c>
      <c r="B123" t="s">
        <v>2832</v>
      </c>
      <c r="C123">
        <v>452</v>
      </c>
      <c r="D123">
        <f>SUMIFS(Horas!R:R,Horas!E:E,A124)</f>
        <v>0</v>
      </c>
    </row>
    <row r="124" spans="1:4">
      <c r="A124" t="s">
        <v>3935</v>
      </c>
      <c r="B124" t="s">
        <v>3378</v>
      </c>
      <c r="C124">
        <v>756</v>
      </c>
      <c r="D124">
        <f>SUMIFS(Horas!R:R,Horas!E:E,A125)</f>
        <v>0</v>
      </c>
    </row>
    <row r="125" spans="1:4">
      <c r="A125" t="s">
        <v>3122</v>
      </c>
      <c r="B125" t="s">
        <v>3123</v>
      </c>
      <c r="C125">
        <v>613</v>
      </c>
      <c r="D125">
        <f>SUMIFS(Horas!R:R,Horas!E:E,A126)</f>
        <v>0</v>
      </c>
    </row>
    <row r="126" spans="1:4">
      <c r="A126" t="s">
        <v>3092</v>
      </c>
      <c r="B126" t="s">
        <v>3093</v>
      </c>
      <c r="C126">
        <v>591</v>
      </c>
      <c r="D126">
        <f>SUMIFS(Horas!R:R,Horas!E:E,A127)</f>
        <v>0</v>
      </c>
    </row>
    <row r="127" spans="1:4">
      <c r="A127" t="s">
        <v>3538</v>
      </c>
      <c r="B127" t="s">
        <v>3539</v>
      </c>
      <c r="C127">
        <v>843</v>
      </c>
      <c r="D127">
        <f>SUMIFS(Horas!R:R,Horas!E:E,A128)</f>
        <v>0</v>
      </c>
    </row>
    <row r="128" spans="1:4">
      <c r="A128" t="s">
        <v>3691</v>
      </c>
      <c r="B128" t="s">
        <v>3692</v>
      </c>
      <c r="C128">
        <v>928</v>
      </c>
      <c r="D128">
        <f>SUMIFS(Horas!R:R,Horas!E:E,A129)</f>
        <v>0</v>
      </c>
    </row>
    <row r="129" spans="1:4">
      <c r="A129" t="s">
        <v>6275</v>
      </c>
      <c r="B129" t="s">
        <v>4847</v>
      </c>
      <c r="C129">
        <v>1118</v>
      </c>
      <c r="D129">
        <f>SUMIFS(Horas!R:R,Horas!E:E,A130)</f>
        <v>0</v>
      </c>
    </row>
    <row r="130" spans="1:4">
      <c r="A130" t="s">
        <v>6044</v>
      </c>
      <c r="B130" t="s">
        <v>6045</v>
      </c>
      <c r="C130">
        <v>1381</v>
      </c>
      <c r="D130">
        <f>SUMIFS(Horas!R:R,Horas!E:E,A131)</f>
        <v>0</v>
      </c>
    </row>
    <row r="131" spans="1:4">
      <c r="A131" t="s">
        <v>3780</v>
      </c>
      <c r="B131" t="s">
        <v>3781</v>
      </c>
      <c r="C131">
        <v>978</v>
      </c>
      <c r="D131">
        <f>SUMIFS(Horas!R:R,Horas!E:E,A132)</f>
        <v>0</v>
      </c>
    </row>
    <row r="132" spans="1:4">
      <c r="A132" t="s">
        <v>3797</v>
      </c>
      <c r="B132" t="s">
        <v>3798</v>
      </c>
      <c r="C132">
        <v>988</v>
      </c>
      <c r="D132">
        <f>SUMIFS(Horas!R:R,Horas!E:E,A133)</f>
        <v>0</v>
      </c>
    </row>
    <row r="133" spans="1:4">
      <c r="A133" t="s">
        <v>3750</v>
      </c>
      <c r="B133" t="s">
        <v>3751</v>
      </c>
      <c r="C133">
        <v>961</v>
      </c>
      <c r="D133">
        <f>SUMIFS(Horas!R:R,Horas!E:E,A134)</f>
        <v>0</v>
      </c>
    </row>
    <row r="134" spans="1:4">
      <c r="A134" t="s">
        <v>6462</v>
      </c>
      <c r="B134" t="s">
        <v>6463</v>
      </c>
      <c r="C134">
        <v>1436</v>
      </c>
      <c r="D134">
        <f>SUMIFS(Horas!R:R,Horas!E:E,A135)</f>
        <v>0</v>
      </c>
    </row>
    <row r="135" spans="1:4">
      <c r="A135" t="s">
        <v>2756</v>
      </c>
      <c r="B135" t="s">
        <v>2757</v>
      </c>
      <c r="C135">
        <v>410</v>
      </c>
      <c r="D135">
        <f>SUMIFS(Horas!R:R,Horas!E:E,A136)</f>
        <v>0</v>
      </c>
    </row>
    <row r="136" spans="1:4">
      <c r="A136" t="s">
        <v>3594</v>
      </c>
      <c r="B136" t="s">
        <v>3595</v>
      </c>
      <c r="C136">
        <v>871</v>
      </c>
      <c r="D136">
        <f>SUMIFS(Horas!R:R,Horas!E:E,A137)</f>
        <v>0</v>
      </c>
    </row>
    <row r="137" spans="1:4">
      <c r="A137" t="s">
        <v>2857</v>
      </c>
      <c r="B137" t="s">
        <v>2858</v>
      </c>
      <c r="C137">
        <v>464</v>
      </c>
      <c r="D137">
        <f>SUMIFS(Horas!R:R,Horas!E:E,A138)</f>
        <v>0</v>
      </c>
    </row>
    <row r="138" spans="1:4">
      <c r="A138" t="s">
        <v>2750</v>
      </c>
      <c r="B138" t="s">
        <v>2751</v>
      </c>
      <c r="C138">
        <v>406</v>
      </c>
      <c r="D138">
        <f>SUMIFS(Horas!R:R,Horas!E:E,A139)</f>
        <v>0</v>
      </c>
    </row>
    <row r="139" spans="1:4">
      <c r="A139" t="s">
        <v>2752</v>
      </c>
      <c r="B139" t="s">
        <v>2753</v>
      </c>
      <c r="C139">
        <v>408</v>
      </c>
      <c r="D139">
        <f>SUMIFS(Horas!R:R,Horas!E:E,A140)</f>
        <v>0</v>
      </c>
    </row>
    <row r="140" spans="1:4">
      <c r="A140" t="s">
        <v>5934</v>
      </c>
      <c r="B140" t="s">
        <v>5935</v>
      </c>
      <c r="C140">
        <v>1364</v>
      </c>
      <c r="D140">
        <f>SUMIFS(Horas!R:R,Horas!E:E,A141)</f>
        <v>0</v>
      </c>
    </row>
    <row r="141" spans="1:4">
      <c r="A141" t="s">
        <v>2745</v>
      </c>
      <c r="B141" t="s">
        <v>2746</v>
      </c>
      <c r="C141">
        <v>403</v>
      </c>
      <c r="D141">
        <f>SUMIFS(Horas!R:R,Horas!E:E,A142)</f>
        <v>0</v>
      </c>
    </row>
    <row r="142" spans="1:4">
      <c r="A142" t="s">
        <v>3326</v>
      </c>
      <c r="B142" t="s">
        <v>3327</v>
      </c>
      <c r="C142">
        <v>727</v>
      </c>
      <c r="D142">
        <f>SUMIFS(Horas!R:R,Horas!E:E,A143)</f>
        <v>0</v>
      </c>
    </row>
    <row r="143" spans="1:4">
      <c r="A143" t="s">
        <v>2789</v>
      </c>
      <c r="B143" t="s">
        <v>2790</v>
      </c>
      <c r="C143">
        <v>431</v>
      </c>
      <c r="D143">
        <f>SUMIFS(Horas!R:R,Horas!E:E,A144)</f>
        <v>0</v>
      </c>
    </row>
    <row r="144" spans="1:4">
      <c r="A144" t="s">
        <v>2747</v>
      </c>
      <c r="B144" t="s">
        <v>5477</v>
      </c>
      <c r="C144">
        <v>404</v>
      </c>
      <c r="D144">
        <f>SUMIFS(Horas!R:R,Horas!E:E,A145)</f>
        <v>0</v>
      </c>
    </row>
    <row r="145" spans="1:4">
      <c r="A145" t="s">
        <v>6752</v>
      </c>
      <c r="B145" t="s">
        <v>6753</v>
      </c>
      <c r="C145">
        <v>1523</v>
      </c>
      <c r="D145">
        <f>SUMIFS(Horas!R:R,Horas!E:E,A146)</f>
        <v>0</v>
      </c>
    </row>
    <row r="146" spans="1:4">
      <c r="A146" t="s">
        <v>4114</v>
      </c>
      <c r="B146" t="s">
        <v>4115</v>
      </c>
      <c r="C146">
        <v>1063</v>
      </c>
      <c r="D146">
        <f>SUMIFS(Horas!R:R,Horas!E:E,A147)</f>
        <v>0</v>
      </c>
    </row>
    <row r="147" spans="1:4">
      <c r="A147" t="s">
        <v>5929</v>
      </c>
      <c r="B147" t="s">
        <v>5930</v>
      </c>
      <c r="C147">
        <v>1361</v>
      </c>
      <c r="D147">
        <f>SUMIFS(Horas!R:R,Horas!E:E,A148)</f>
        <v>0</v>
      </c>
    </row>
    <row r="148" spans="1:4">
      <c r="A148" t="s">
        <v>7169</v>
      </c>
      <c r="B148" t="s">
        <v>7170</v>
      </c>
      <c r="C148">
        <v>1587</v>
      </c>
      <c r="D148">
        <f>SUMIFS(Horas!R:R,Horas!E:E,A149)</f>
        <v>0</v>
      </c>
    </row>
    <row r="149" spans="1:4">
      <c r="A149" t="s">
        <v>7171</v>
      </c>
      <c r="B149" t="s">
        <v>7172</v>
      </c>
      <c r="C149">
        <v>1588</v>
      </c>
      <c r="D149">
        <f>SUMIFS(Horas!R:R,Horas!E:E,A150)</f>
        <v>0</v>
      </c>
    </row>
    <row r="150" spans="1:4">
      <c r="A150" t="s">
        <v>7173</v>
      </c>
      <c r="B150" t="s">
        <v>7174</v>
      </c>
      <c r="C150">
        <v>1589</v>
      </c>
      <c r="D150">
        <f>SUMIFS(Horas!R:R,Horas!E:E,A151)</f>
        <v>0</v>
      </c>
    </row>
    <row r="151" spans="1:4">
      <c r="A151" t="s">
        <v>5576</v>
      </c>
      <c r="B151" t="s">
        <v>5577</v>
      </c>
      <c r="C151">
        <v>1241</v>
      </c>
      <c r="D151">
        <f>SUMIFS(Horas!R:R,Horas!E:E,A152)</f>
        <v>0</v>
      </c>
    </row>
    <row r="152" spans="1:4">
      <c r="A152" t="s">
        <v>2649</v>
      </c>
      <c r="B152" t="s">
        <v>2650</v>
      </c>
      <c r="C152">
        <v>344</v>
      </c>
      <c r="D152">
        <f>SUMIFS(Horas!R:R,Horas!E:E,A153)</f>
        <v>0</v>
      </c>
    </row>
    <row r="153" spans="1:4">
      <c r="A153" t="s">
        <v>2530</v>
      </c>
      <c r="B153" t="s">
        <v>2531</v>
      </c>
      <c r="C153">
        <v>278</v>
      </c>
      <c r="D153">
        <f>SUMIFS(Horas!R:R,Horas!E:E,A154)</f>
        <v>0</v>
      </c>
    </row>
    <row r="154" spans="1:4">
      <c r="A154" t="s">
        <v>7388</v>
      </c>
      <c r="B154" t="s">
        <v>7389</v>
      </c>
      <c r="C154">
        <v>1649</v>
      </c>
      <c r="D154">
        <f>SUMIFS(Horas!R:R,Horas!E:E,A155)</f>
        <v>0</v>
      </c>
    </row>
    <row r="155" spans="1:4">
      <c r="A155" t="s">
        <v>7302</v>
      </c>
      <c r="B155" t="s">
        <v>7303</v>
      </c>
      <c r="C155">
        <v>1548</v>
      </c>
      <c r="D155">
        <f>SUMIFS(Horas!R:R,Horas!E:E,A156)</f>
        <v>0</v>
      </c>
    </row>
    <row r="156" spans="1:4">
      <c r="A156" t="s">
        <v>7390</v>
      </c>
      <c r="B156" t="s">
        <v>7391</v>
      </c>
      <c r="C156">
        <v>1650</v>
      </c>
      <c r="D156">
        <f>SUMIFS(Horas!R:R,Horas!E:E,A157)</f>
        <v>0</v>
      </c>
    </row>
    <row r="157" spans="1:4">
      <c r="A157" t="s">
        <v>7304</v>
      </c>
      <c r="B157" t="s">
        <v>7305</v>
      </c>
      <c r="C157">
        <v>1549</v>
      </c>
      <c r="D157">
        <f>SUMIFS(Horas!R:R,Horas!E:E,A158)</f>
        <v>0</v>
      </c>
    </row>
    <row r="158" spans="1:4">
      <c r="A158" t="s">
        <v>7135</v>
      </c>
      <c r="B158" t="s">
        <v>7136</v>
      </c>
      <c r="C158">
        <v>1551</v>
      </c>
      <c r="D158">
        <f>SUMIFS(Horas!R:R,Horas!E:E,A159)</f>
        <v>0</v>
      </c>
    </row>
    <row r="159" spans="1:4">
      <c r="A159" t="s">
        <v>7192</v>
      </c>
      <c r="B159" t="s">
        <v>7193</v>
      </c>
      <c r="C159">
        <v>1606</v>
      </c>
      <c r="D159">
        <f>SUMIFS(Horas!R:R,Horas!E:E,A160)</f>
        <v>0</v>
      </c>
    </row>
    <row r="160" spans="1:4">
      <c r="A160" t="s">
        <v>4900</v>
      </c>
      <c r="B160" t="s">
        <v>4901</v>
      </c>
      <c r="C160">
        <v>1158</v>
      </c>
      <c r="D160">
        <f>SUMIFS(Horas!R:R,Horas!E:E,A161)</f>
        <v>0</v>
      </c>
    </row>
    <row r="161" spans="1:4">
      <c r="A161" t="s">
        <v>4771</v>
      </c>
      <c r="B161" t="s">
        <v>4772</v>
      </c>
      <c r="C161">
        <v>1074</v>
      </c>
      <c r="D161">
        <f>SUMIFS(Horas!R:R,Horas!E:E,A162)</f>
        <v>0</v>
      </c>
    </row>
    <row r="162" spans="1:4">
      <c r="A162" t="s">
        <v>6565</v>
      </c>
      <c r="B162" t="s">
        <v>6566</v>
      </c>
      <c r="C162">
        <v>1510</v>
      </c>
      <c r="D162">
        <f>SUMIFS(Horas!R:R,Horas!E:E,A163)</f>
        <v>0</v>
      </c>
    </row>
    <row r="163" spans="1:4">
      <c r="A163" t="s">
        <v>6041</v>
      </c>
      <c r="B163" t="s">
        <v>6042</v>
      </c>
      <c r="C163">
        <v>1379</v>
      </c>
      <c r="D163">
        <f>SUMIFS(Horas!R:R,Horas!E:E,A164)</f>
        <v>0</v>
      </c>
    </row>
    <row r="164" spans="1:4">
      <c r="A164" t="s">
        <v>4815</v>
      </c>
      <c r="B164" t="s">
        <v>4816</v>
      </c>
      <c r="C164">
        <v>1099</v>
      </c>
      <c r="D164">
        <f>SUMIFS(Horas!R:R,Horas!E:E,A165)</f>
        <v>0</v>
      </c>
    </row>
    <row r="165" spans="1:4">
      <c r="A165" t="s">
        <v>6036</v>
      </c>
      <c r="B165" t="s">
        <v>4816</v>
      </c>
      <c r="C165">
        <v>1375</v>
      </c>
      <c r="D165">
        <f>SUMIFS(Horas!R:R,Horas!E:E,A166)</f>
        <v>0</v>
      </c>
    </row>
    <row r="166" spans="1:4">
      <c r="A166" t="s">
        <v>3653</v>
      </c>
      <c r="B166" t="s">
        <v>3654</v>
      </c>
      <c r="C166">
        <v>905</v>
      </c>
      <c r="D166">
        <f>SUMIFS(Horas!R:R,Horas!E:E,A167)</f>
        <v>0</v>
      </c>
    </row>
    <row r="167" spans="1:4">
      <c r="A167" t="s">
        <v>6048</v>
      </c>
      <c r="B167" t="s">
        <v>6049</v>
      </c>
      <c r="C167">
        <v>1385</v>
      </c>
      <c r="D167">
        <f>SUMIFS(Horas!R:R,Horas!E:E,A168)</f>
        <v>0</v>
      </c>
    </row>
    <row r="168" spans="1:4">
      <c r="A168" t="s">
        <v>2442</v>
      </c>
      <c r="B168" t="s">
        <v>2443</v>
      </c>
      <c r="C168">
        <v>226</v>
      </c>
      <c r="D168">
        <f>SUMIFS(Horas!R:R,Horas!E:E,A169)</f>
        <v>0</v>
      </c>
    </row>
    <row r="169" spans="1:4">
      <c r="A169" t="s">
        <v>3501</v>
      </c>
      <c r="B169" t="s">
        <v>3502</v>
      </c>
      <c r="C169">
        <v>821</v>
      </c>
      <c r="D169">
        <f>SUMIFS(Horas!R:R,Horas!E:E,A170)</f>
        <v>0</v>
      </c>
    </row>
    <row r="170" spans="1:4">
      <c r="A170" t="s">
        <v>3507</v>
      </c>
      <c r="B170" t="s">
        <v>3508</v>
      </c>
      <c r="C170">
        <v>824</v>
      </c>
      <c r="D170">
        <f>SUMIFS(Horas!R:R,Horas!E:E,A171)</f>
        <v>0</v>
      </c>
    </row>
    <row r="171" spans="1:4">
      <c r="A171" t="s">
        <v>3674</v>
      </c>
      <c r="B171" t="s">
        <v>3675</v>
      </c>
      <c r="C171">
        <v>919</v>
      </c>
      <c r="D171">
        <f>SUMIFS(Horas!R:R,Horas!E:E,A172)</f>
        <v>0</v>
      </c>
    </row>
    <row r="172" spans="1:4">
      <c r="A172" t="s">
        <v>3897</v>
      </c>
      <c r="B172" t="s">
        <v>3898</v>
      </c>
      <c r="C172">
        <v>1023</v>
      </c>
      <c r="D172">
        <f>SUMIFS(Horas!R:R,Horas!E:E,A173)</f>
        <v>0</v>
      </c>
    </row>
    <row r="173" spans="1:4">
      <c r="A173" t="s">
        <v>5565</v>
      </c>
      <c r="B173" t="s">
        <v>5401</v>
      </c>
      <c r="C173">
        <v>1231</v>
      </c>
      <c r="D173">
        <f>SUMIFS(Horas!R:R,Horas!E:E,A174)</f>
        <v>0</v>
      </c>
    </row>
    <row r="174" spans="1:4">
      <c r="A174" t="s">
        <v>5558</v>
      </c>
      <c r="B174" t="s">
        <v>5559</v>
      </c>
      <c r="C174">
        <v>1226</v>
      </c>
      <c r="D174">
        <f>SUMIFS(Horas!R:R,Horas!E:E,A175)</f>
        <v>0</v>
      </c>
    </row>
    <row r="175" spans="1:4">
      <c r="A175" t="s">
        <v>5917</v>
      </c>
      <c r="B175" t="s">
        <v>5918</v>
      </c>
      <c r="C175">
        <v>1355</v>
      </c>
      <c r="D175">
        <f>SUMIFS(Horas!R:R,Horas!E:E,A176)</f>
        <v>0</v>
      </c>
    </row>
    <row r="176" spans="1:4">
      <c r="A176" t="s">
        <v>6468</v>
      </c>
      <c r="B176" t="s">
        <v>6469</v>
      </c>
      <c r="C176">
        <v>1442</v>
      </c>
      <c r="D176">
        <f>SUMIFS(Horas!R:R,Horas!E:E,A177)</f>
        <v>0</v>
      </c>
    </row>
    <row r="177" spans="1:4">
      <c r="A177" t="s">
        <v>6766</v>
      </c>
      <c r="B177" t="s">
        <v>6767</v>
      </c>
      <c r="C177">
        <v>1538</v>
      </c>
      <c r="D177">
        <f>SUMIFS(Horas!R:R,Horas!E:E,A178)</f>
        <v>0</v>
      </c>
    </row>
    <row r="178" spans="1:4">
      <c r="A178" t="s">
        <v>3740</v>
      </c>
      <c r="B178" t="s">
        <v>3741</v>
      </c>
      <c r="C178">
        <v>956</v>
      </c>
      <c r="D178">
        <f>SUMIFS(Horas!R:R,Horas!E:E,A179)</f>
        <v>0</v>
      </c>
    </row>
    <row r="179" spans="1:4">
      <c r="A179" t="s">
        <v>3771</v>
      </c>
      <c r="B179" t="s">
        <v>3772</v>
      </c>
      <c r="C179">
        <v>973</v>
      </c>
      <c r="D179">
        <f>SUMIFS(Horas!R:R,Horas!E:E,A180)</f>
        <v>0</v>
      </c>
    </row>
    <row r="180" spans="1:4">
      <c r="A180" t="s">
        <v>3509</v>
      </c>
      <c r="B180" t="s">
        <v>4748</v>
      </c>
      <c r="C180">
        <v>825</v>
      </c>
      <c r="D180">
        <f>SUMIFS(Horas!R:R,Horas!E:E,A181)</f>
        <v>0</v>
      </c>
    </row>
    <row r="181" spans="1:4">
      <c r="A181" t="s">
        <v>3560</v>
      </c>
      <c r="B181" t="s">
        <v>3561</v>
      </c>
      <c r="C181">
        <v>854</v>
      </c>
      <c r="D181">
        <f>SUMIFS(Horas!R:R,Horas!E:E,A182)</f>
        <v>0</v>
      </c>
    </row>
    <row r="182" spans="1:4">
      <c r="A182" t="s">
        <v>5522</v>
      </c>
      <c r="B182" t="s">
        <v>5523</v>
      </c>
      <c r="C182">
        <v>1124</v>
      </c>
      <c r="D182">
        <f>SUMIFS(Horas!R:R,Horas!E:E,A183)</f>
        <v>0</v>
      </c>
    </row>
    <row r="183" spans="1:4">
      <c r="A183" t="s">
        <v>4755</v>
      </c>
      <c r="B183" t="s">
        <v>4756</v>
      </c>
      <c r="C183">
        <v>1065</v>
      </c>
      <c r="D183">
        <f>SUMIFS(Horas!R:R,Horas!E:E,A184)</f>
        <v>0</v>
      </c>
    </row>
    <row r="184" spans="1:4">
      <c r="A184" t="s">
        <v>3253</v>
      </c>
      <c r="B184" t="s">
        <v>3254</v>
      </c>
      <c r="C184">
        <v>687</v>
      </c>
      <c r="D184">
        <f>SUMIFS(Horas!R:R,Horas!E:E,A185)</f>
        <v>0</v>
      </c>
    </row>
    <row r="185" spans="1:4">
      <c r="A185" t="s">
        <v>3562</v>
      </c>
      <c r="B185" t="s">
        <v>3563</v>
      </c>
      <c r="C185">
        <v>855</v>
      </c>
      <c r="D185">
        <f>SUMIFS(Horas!R:R,Horas!E:E,A186)</f>
        <v>0</v>
      </c>
    </row>
    <row r="186" spans="1:4">
      <c r="A186" t="s">
        <v>5314</v>
      </c>
      <c r="B186" t="s">
        <v>3563</v>
      </c>
      <c r="C186">
        <v>1061</v>
      </c>
      <c r="D186">
        <f>SUMIFS(Horas!R:R,Horas!E:E,A187)</f>
        <v>0</v>
      </c>
    </row>
    <row r="187" spans="1:4">
      <c r="A187" t="s">
        <v>4754</v>
      </c>
      <c r="B187" t="s">
        <v>3949</v>
      </c>
      <c r="C187">
        <v>1032</v>
      </c>
      <c r="D187">
        <f>SUMIFS(Horas!R:R,Horas!E:E,A188)</f>
        <v>0</v>
      </c>
    </row>
    <row r="188" spans="1:4">
      <c r="A188" t="s">
        <v>5927</v>
      </c>
      <c r="B188" t="s">
        <v>5928</v>
      </c>
      <c r="C188">
        <v>1360</v>
      </c>
      <c r="D188">
        <f>SUMIFS(Horas!R:R,Horas!E:E,A189)</f>
        <v>0</v>
      </c>
    </row>
    <row r="189" spans="1:4">
      <c r="A189" t="s">
        <v>3503</v>
      </c>
      <c r="B189" t="s">
        <v>3504</v>
      </c>
      <c r="C189">
        <v>822</v>
      </c>
      <c r="D189">
        <f>SUMIFS(Horas!R:R,Horas!E:E,A190)</f>
        <v>0</v>
      </c>
    </row>
    <row r="190" spans="1:4">
      <c r="A190" t="s">
        <v>7147</v>
      </c>
      <c r="B190" t="s">
        <v>7148</v>
      </c>
      <c r="C190">
        <v>1563</v>
      </c>
      <c r="D190">
        <f>SUMIFS(Horas!R:R,Horas!E:E,A191)</f>
        <v>0</v>
      </c>
    </row>
    <row r="191" spans="1:4">
      <c r="A191" t="s">
        <v>5315</v>
      </c>
      <c r="B191" t="s">
        <v>4814</v>
      </c>
      <c r="C191">
        <v>1098</v>
      </c>
      <c r="D191">
        <f>SUMIFS(Horas!R:R,Horas!E:E,A192)</f>
        <v>0</v>
      </c>
    </row>
    <row r="192" spans="1:4">
      <c r="A192" t="s">
        <v>3748</v>
      </c>
      <c r="B192" t="s">
        <v>3749</v>
      </c>
      <c r="C192">
        <v>960</v>
      </c>
      <c r="D192">
        <f>SUMIFS(Horas!R:R,Horas!E:E,A193)</f>
        <v>0</v>
      </c>
    </row>
    <row r="193" spans="1:4">
      <c r="A193" t="s">
        <v>3673</v>
      </c>
      <c r="B193" t="s">
        <v>4749</v>
      </c>
      <c r="C193">
        <v>918</v>
      </c>
      <c r="D193">
        <f>SUMIFS(Horas!R:R,Horas!E:E,A194)</f>
        <v>0</v>
      </c>
    </row>
    <row r="194" spans="1:4">
      <c r="A194" t="s">
        <v>7119</v>
      </c>
      <c r="B194" t="s">
        <v>7120</v>
      </c>
      <c r="C194">
        <v>1150</v>
      </c>
      <c r="D194">
        <f>SUMIFS(Horas!R:R,Horas!E:E,A195)</f>
        <v>0</v>
      </c>
    </row>
    <row r="195" spans="1:4">
      <c r="A195" t="s">
        <v>7356</v>
      </c>
      <c r="B195" t="s">
        <v>7357</v>
      </c>
      <c r="C195">
        <v>1634</v>
      </c>
      <c r="D195">
        <f>SUMIFS(Horas!R:R,Horas!E:E,A196)</f>
        <v>0</v>
      </c>
    </row>
    <row r="196" spans="1:4">
      <c r="A196" t="s">
        <v>7354</v>
      </c>
      <c r="B196" t="s">
        <v>7355</v>
      </c>
      <c r="C196">
        <v>1633</v>
      </c>
      <c r="D196">
        <f>SUMIFS(Horas!R:R,Horas!E:E,A197)</f>
        <v>0</v>
      </c>
    </row>
    <row r="197" spans="1:4">
      <c r="A197" t="s">
        <v>2423</v>
      </c>
      <c r="B197" t="s">
        <v>2424</v>
      </c>
      <c r="C197">
        <v>212</v>
      </c>
      <c r="D197">
        <f>SUMIFS(Horas!R:R,Horas!E:E,A198)</f>
        <v>0</v>
      </c>
    </row>
    <row r="198" spans="1:4">
      <c r="A198" t="s">
        <v>2388</v>
      </c>
      <c r="B198" t="s">
        <v>2389</v>
      </c>
      <c r="C198">
        <v>207</v>
      </c>
      <c r="D198">
        <f>SUMIFS(Horas!R:R,Horas!E:E,A199)</f>
        <v>0</v>
      </c>
    </row>
    <row r="199" spans="1:4">
      <c r="A199" t="s">
        <v>2972</v>
      </c>
      <c r="B199" t="s">
        <v>2973</v>
      </c>
      <c r="C199">
        <v>527</v>
      </c>
      <c r="D199">
        <f>SUMIFS(Horas!R:R,Horas!E:E,A200)</f>
        <v>0</v>
      </c>
    </row>
    <row r="200" spans="1:4">
      <c r="A200" t="s">
        <v>7145</v>
      </c>
      <c r="B200" t="s">
        <v>7146</v>
      </c>
      <c r="C200">
        <v>1561</v>
      </c>
      <c r="D200">
        <f>SUMIFS(Horas!R:R,Horas!E:E,A201)</f>
        <v>0</v>
      </c>
    </row>
    <row r="201" spans="1:4">
      <c r="A201" t="s">
        <v>2271</v>
      </c>
      <c r="B201" t="s">
        <v>2272</v>
      </c>
      <c r="C201">
        <v>170</v>
      </c>
      <c r="D201">
        <f>SUMIFS(Horas!R:R,Horas!E:E,A202)</f>
        <v>0</v>
      </c>
    </row>
    <row r="202" spans="1:4">
      <c r="A202" t="s">
        <v>2395</v>
      </c>
      <c r="B202" t="s">
        <v>2396</v>
      </c>
      <c r="C202">
        <v>190</v>
      </c>
      <c r="D202">
        <f>SUMIFS(Horas!R:R,Horas!E:E,A203)</f>
        <v>0</v>
      </c>
    </row>
    <row r="203" spans="1:4">
      <c r="A203" t="s">
        <v>4079</v>
      </c>
      <c r="B203" t="s">
        <v>4080</v>
      </c>
      <c r="C203">
        <v>1059</v>
      </c>
      <c r="D203">
        <f>SUMIFS(Horas!R:R,Horas!E:E,A204)</f>
        <v>0</v>
      </c>
    </row>
    <row r="204" spans="1:4">
      <c r="A204" t="s">
        <v>2883</v>
      </c>
      <c r="B204" t="s">
        <v>2884</v>
      </c>
      <c r="C204">
        <v>478</v>
      </c>
      <c r="D204">
        <f>SUMIFS(Horas!R:R,Horas!E:E,A205)</f>
        <v>0</v>
      </c>
    </row>
    <row r="205" spans="1:4">
      <c r="A205" t="s">
        <v>2619</v>
      </c>
      <c r="B205" t="s">
        <v>2620</v>
      </c>
      <c r="C205">
        <v>329</v>
      </c>
      <c r="D205">
        <f>SUMIFS(Horas!R:R,Horas!E:E,A206)</f>
        <v>0</v>
      </c>
    </row>
    <row r="206" spans="1:4">
      <c r="A206" t="s">
        <v>2623</v>
      </c>
      <c r="B206" t="s">
        <v>2624</v>
      </c>
      <c r="C206">
        <v>331</v>
      </c>
      <c r="D206">
        <f>SUMIFS(Horas!R:R,Horas!E:E,A207)</f>
        <v>0</v>
      </c>
    </row>
    <row r="207" spans="1:4">
      <c r="A207" t="s">
        <v>2621</v>
      </c>
      <c r="B207" t="s">
        <v>2622</v>
      </c>
      <c r="C207">
        <v>330</v>
      </c>
      <c r="D207">
        <f>SUMIFS(Horas!R:R,Horas!E:E,A208)</f>
        <v>0</v>
      </c>
    </row>
    <row r="208" spans="1:4">
      <c r="A208" t="s">
        <v>2617</v>
      </c>
      <c r="B208" t="s">
        <v>2618</v>
      </c>
      <c r="C208">
        <v>328</v>
      </c>
      <c r="D208">
        <f>SUMIFS(Horas!R:R,Horas!E:E,A209)</f>
        <v>0</v>
      </c>
    </row>
    <row r="209" spans="1:4">
      <c r="A209" t="s">
        <v>2627</v>
      </c>
      <c r="B209" t="s">
        <v>2628</v>
      </c>
      <c r="C209">
        <v>333</v>
      </c>
      <c r="D209">
        <f>SUMIFS(Horas!R:R,Horas!E:E,A210)</f>
        <v>0</v>
      </c>
    </row>
    <row r="210" spans="1:4">
      <c r="A210" t="s">
        <v>2629</v>
      </c>
      <c r="B210" t="s">
        <v>2630</v>
      </c>
      <c r="C210">
        <v>334</v>
      </c>
      <c r="D210">
        <f>SUMIFS(Horas!R:R,Horas!E:E,A211)</f>
        <v>0</v>
      </c>
    </row>
    <row r="211" spans="1:4">
      <c r="A211" t="s">
        <v>2625</v>
      </c>
      <c r="B211" t="s">
        <v>2626</v>
      </c>
      <c r="C211">
        <v>332</v>
      </c>
      <c r="D211">
        <f>SUMIFS(Horas!R:R,Horas!E:E,A212)</f>
        <v>0</v>
      </c>
    </row>
    <row r="212" spans="1:4">
      <c r="A212" t="s">
        <v>7144</v>
      </c>
      <c r="B212" t="s">
        <v>2485</v>
      </c>
      <c r="C212">
        <v>1559</v>
      </c>
      <c r="D212">
        <f>SUMIFS(Horas!R:R,Horas!E:E,A213)</f>
        <v>0</v>
      </c>
    </row>
    <row r="213" spans="1:4">
      <c r="A213" t="s">
        <v>3953</v>
      </c>
      <c r="B213" t="s">
        <v>3954</v>
      </c>
      <c r="C213">
        <v>1035</v>
      </c>
      <c r="D213">
        <f>SUMIFS(Horas!R:R,Horas!E:E,A214)</f>
        <v>0</v>
      </c>
    </row>
    <row r="214" spans="1:4">
      <c r="A214" t="s">
        <v>5933</v>
      </c>
      <c r="B214" t="s">
        <v>6026</v>
      </c>
      <c r="C214">
        <v>1363</v>
      </c>
      <c r="D214">
        <f>SUMIFS(Horas!R:R,Horas!E:E,A215)</f>
        <v>0</v>
      </c>
    </row>
    <row r="215" spans="1:4">
      <c r="A215" t="s">
        <v>7316</v>
      </c>
      <c r="B215" t="s">
        <v>7317</v>
      </c>
      <c r="C215">
        <v>1610</v>
      </c>
      <c r="D215">
        <f>SUMIFS(Horas!R:R,Horas!E:E,A216)</f>
        <v>0</v>
      </c>
    </row>
    <row r="216" spans="1:4">
      <c r="A216" t="s">
        <v>4753</v>
      </c>
      <c r="B216" t="s">
        <v>3948</v>
      </c>
      <c r="C216">
        <v>1031</v>
      </c>
      <c r="D216">
        <f>SUMIFS(Horas!R:R,Horas!E:E,A217)</f>
        <v>0</v>
      </c>
    </row>
    <row r="217" spans="1:4">
      <c r="A217" t="s">
        <v>7352</v>
      </c>
      <c r="B217" t="s">
        <v>7353</v>
      </c>
      <c r="C217">
        <v>1632</v>
      </c>
      <c r="D217">
        <f>SUMIFS(Horas!R:R,Horas!E:E,A218)</f>
        <v>0</v>
      </c>
    </row>
    <row r="218" spans="1:4">
      <c r="A218" t="s">
        <v>7350</v>
      </c>
      <c r="B218" t="s">
        <v>7351</v>
      </c>
      <c r="C218">
        <v>1631</v>
      </c>
      <c r="D218">
        <f>SUMIFS(Horas!R:R,Horas!E:E,A219)</f>
        <v>0</v>
      </c>
    </row>
    <row r="219" spans="1:4">
      <c r="A219" t="s">
        <v>5521</v>
      </c>
      <c r="B219" t="s">
        <v>2485</v>
      </c>
      <c r="C219">
        <v>1062</v>
      </c>
      <c r="D219">
        <f>SUMIFS(Horas!R:R,Horas!E:E,A220)</f>
        <v>0</v>
      </c>
    </row>
    <row r="220" spans="1:4">
      <c r="A220" t="s">
        <v>5832</v>
      </c>
      <c r="B220" t="s">
        <v>7123</v>
      </c>
      <c r="C220">
        <v>1297</v>
      </c>
      <c r="D220">
        <f>SUMIFS(Horas!R:R,Horas!E:E,A221)</f>
        <v>0</v>
      </c>
    </row>
    <row r="221" spans="1:4">
      <c r="A221" t="s">
        <v>2484</v>
      </c>
      <c r="B221" t="s">
        <v>2485</v>
      </c>
      <c r="C221">
        <v>251</v>
      </c>
      <c r="D221">
        <f>SUMIFS(Horas!R:R,Horas!E:E,A222)</f>
        <v>0</v>
      </c>
    </row>
    <row r="222" spans="1:4">
      <c r="A222" t="s">
        <v>2579</v>
      </c>
      <c r="B222" t="s">
        <v>2580</v>
      </c>
      <c r="C222">
        <v>307</v>
      </c>
      <c r="D222">
        <f>SUMIFS(Horas!R:R,Horas!E:E,A223)</f>
        <v>0</v>
      </c>
    </row>
    <row r="223" spans="1:4">
      <c r="A223" t="s">
        <v>3746</v>
      </c>
      <c r="B223" t="s">
        <v>3747</v>
      </c>
      <c r="C223">
        <v>959</v>
      </c>
      <c r="D223">
        <f>SUMIFS(Horas!R:R,Horas!E:E,A224)</f>
        <v>0</v>
      </c>
    </row>
    <row r="224" spans="1:4">
      <c r="A224" t="s">
        <v>5770</v>
      </c>
      <c r="B224" t="s">
        <v>5771</v>
      </c>
      <c r="C224">
        <v>1238</v>
      </c>
      <c r="D224">
        <f>SUMIFS(Horas!R:R,Horas!E:E,A225)</f>
        <v>0</v>
      </c>
    </row>
    <row r="225" spans="1:4">
      <c r="A225" t="s">
        <v>5566</v>
      </c>
      <c r="B225" t="s">
        <v>5567</v>
      </c>
      <c r="C225">
        <v>1232</v>
      </c>
      <c r="D225">
        <f>SUMIFS(Horas!R:R,Horas!E:E,A226)</f>
        <v>0</v>
      </c>
    </row>
    <row r="226" spans="1:4">
      <c r="A226" t="s">
        <v>5525</v>
      </c>
      <c r="B226" t="s">
        <v>5526</v>
      </c>
      <c r="C226">
        <v>1149</v>
      </c>
      <c r="D226">
        <f>SUMIFS(Horas!R:R,Horas!E:E,A227)</f>
        <v>0</v>
      </c>
    </row>
    <row r="227" spans="1:4">
      <c r="A227" t="s">
        <v>3758</v>
      </c>
      <c r="B227" t="s">
        <v>3895</v>
      </c>
      <c r="C227">
        <v>965</v>
      </c>
      <c r="D227">
        <f>SUMIFS(Horas!R:R,Horas!E:E,A228)</f>
        <v>0</v>
      </c>
    </row>
    <row r="228" spans="1:4">
      <c r="A228" t="s">
        <v>3969</v>
      </c>
      <c r="B228" t="s">
        <v>3895</v>
      </c>
      <c r="C228">
        <v>1044</v>
      </c>
      <c r="D228">
        <f>SUMIFS(Horas!R:R,Horas!E:E,A229)</f>
        <v>0</v>
      </c>
    </row>
    <row r="229" spans="1:4">
      <c r="A229" t="s">
        <v>2508</v>
      </c>
      <c r="B229" t="s">
        <v>2509</v>
      </c>
      <c r="C229">
        <v>267</v>
      </c>
      <c r="D229">
        <f>SUMIFS(Horas!R:R,Horas!E:E,A230)</f>
        <v>0</v>
      </c>
    </row>
    <row r="230" spans="1:4">
      <c r="A230" t="s">
        <v>2667</v>
      </c>
      <c r="B230" t="s">
        <v>2668</v>
      </c>
      <c r="C230">
        <v>353</v>
      </c>
      <c r="D230">
        <f>SUMIFS(Horas!R:R,Horas!E:E,A231)</f>
        <v>0</v>
      </c>
    </row>
    <row r="231" spans="1:4">
      <c r="A231" t="s">
        <v>2496</v>
      </c>
      <c r="B231" t="s">
        <v>2497</v>
      </c>
      <c r="C231">
        <v>261</v>
      </c>
      <c r="D231">
        <f>SUMIFS(Horas!R:R,Horas!E:E,A232)</f>
        <v>0</v>
      </c>
    </row>
    <row r="232" spans="1:4">
      <c r="A232" t="s">
        <v>6098</v>
      </c>
      <c r="B232" t="s">
        <v>6099</v>
      </c>
      <c r="C232">
        <v>1398</v>
      </c>
      <c r="D232">
        <f>SUMIFS(Horas!R:R,Horas!E:E,A233)</f>
        <v>0</v>
      </c>
    </row>
    <row r="233" spans="1:4">
      <c r="A233" t="s">
        <v>2885</v>
      </c>
      <c r="B233" t="s">
        <v>2886</v>
      </c>
      <c r="C233">
        <v>479</v>
      </c>
      <c r="D233">
        <f>SUMIFS(Horas!R:R,Horas!E:E,A234)</f>
        <v>0</v>
      </c>
    </row>
    <row r="234" spans="1:4">
      <c r="A234" t="s">
        <v>2492</v>
      </c>
      <c r="B234" t="s">
        <v>2493</v>
      </c>
      <c r="C234">
        <v>257</v>
      </c>
      <c r="D234">
        <f>SUMIFS(Horas!R:R,Horas!E:E,A235)</f>
        <v>0</v>
      </c>
    </row>
    <row r="235" spans="1:4">
      <c r="A235" t="s">
        <v>3676</v>
      </c>
      <c r="B235" t="s">
        <v>3677</v>
      </c>
      <c r="C235">
        <v>920</v>
      </c>
      <c r="D235">
        <f>SUMIFS(Horas!R:R,Horas!E:E,A236)</f>
        <v>0</v>
      </c>
    </row>
    <row r="236" spans="1:4">
      <c r="A236" t="s">
        <v>4848</v>
      </c>
      <c r="B236" t="s">
        <v>4849</v>
      </c>
      <c r="C236">
        <v>1119</v>
      </c>
      <c r="D236">
        <f>SUMIFS(Horas!R:R,Horas!E:E,A237)</f>
        <v>0</v>
      </c>
    </row>
    <row r="237" spans="1:4">
      <c r="A237" t="s">
        <v>4904</v>
      </c>
      <c r="B237" t="s">
        <v>5316</v>
      </c>
      <c r="C237">
        <v>1161</v>
      </c>
      <c r="D237">
        <f>SUMIFS(Horas!R:R,Horas!E:E,A238)</f>
        <v>0</v>
      </c>
    </row>
    <row r="238" spans="1:4">
      <c r="A238" t="s">
        <v>7321</v>
      </c>
      <c r="B238" t="s">
        <v>7322</v>
      </c>
      <c r="C238">
        <v>1614</v>
      </c>
      <c r="D238">
        <f>SUMIFS(Horas!R:R,Horas!E:E,A239)</f>
        <v>0</v>
      </c>
    </row>
    <row r="239" spans="1:4">
      <c r="A239" t="s">
        <v>3259</v>
      </c>
      <c r="B239" t="s">
        <v>3260</v>
      </c>
      <c r="C239">
        <v>690</v>
      </c>
      <c r="D239">
        <f>SUMIFS(Horas!R:R,Horas!E:E,A240)</f>
        <v>0</v>
      </c>
    </row>
    <row r="240" spans="1:4">
      <c r="A240" t="s">
        <v>3791</v>
      </c>
      <c r="B240" t="s">
        <v>3792</v>
      </c>
      <c r="C240">
        <v>984</v>
      </c>
      <c r="D240">
        <f>SUMIFS(Horas!R:R,Horas!E:E,A241)</f>
        <v>0</v>
      </c>
    </row>
    <row r="241" spans="1:4">
      <c r="A241" t="s">
        <v>3200</v>
      </c>
      <c r="B241" t="s">
        <v>3201</v>
      </c>
      <c r="C241">
        <v>655</v>
      </c>
      <c r="D241">
        <f>SUMIFS(Horas!R:R,Horas!E:E,A242)</f>
        <v>0</v>
      </c>
    </row>
    <row r="242" spans="1:4">
      <c r="A242" t="s">
        <v>4116</v>
      </c>
      <c r="B242" t="s">
        <v>4117</v>
      </c>
      <c r="C242">
        <v>1064</v>
      </c>
      <c r="D242">
        <f>SUMIFS(Horas!R:R,Horas!E:E,A243)</f>
        <v>0</v>
      </c>
    </row>
    <row r="243" spans="1:4">
      <c r="A243" t="s">
        <v>3965</v>
      </c>
      <c r="B243" t="s">
        <v>3966</v>
      </c>
      <c r="C243">
        <v>1041</v>
      </c>
      <c r="D243">
        <f>SUMIFS(Horas!R:R,Horas!E:E,A244)</f>
        <v>0</v>
      </c>
    </row>
    <row r="244" spans="1:4">
      <c r="A244" t="s">
        <v>3721</v>
      </c>
      <c r="B244" t="s">
        <v>3722</v>
      </c>
      <c r="C244">
        <v>945</v>
      </c>
      <c r="D244">
        <f>SUMIFS(Horas!R:R,Horas!E:E,A245)</f>
        <v>0</v>
      </c>
    </row>
    <row r="245" spans="1:4">
      <c r="A245" t="s">
        <v>5483</v>
      </c>
      <c r="B245" t="s">
        <v>5484</v>
      </c>
      <c r="C245">
        <v>1252</v>
      </c>
      <c r="D245">
        <f>SUMIFS(Horas!R:R,Horas!E:E,A246)</f>
        <v>0</v>
      </c>
    </row>
    <row r="246" spans="1:4">
      <c r="A246" t="s">
        <v>3723</v>
      </c>
      <c r="B246" t="s">
        <v>3724</v>
      </c>
      <c r="C246">
        <v>946</v>
      </c>
      <c r="D246">
        <f>SUMIFS(Horas!R:R,Horas!E:E,A247)</f>
        <v>0</v>
      </c>
    </row>
    <row r="247" spans="1:4">
      <c r="A247" t="s">
        <v>2754</v>
      </c>
      <c r="B247" t="s">
        <v>2755</v>
      </c>
      <c r="C247">
        <v>409</v>
      </c>
      <c r="D247">
        <f>SUMIFS(Horas!R:R,Horas!E:E,A248)</f>
        <v>0</v>
      </c>
    </row>
    <row r="248" spans="1:4">
      <c r="A248" t="s">
        <v>3899</v>
      </c>
      <c r="B248" t="s">
        <v>3900</v>
      </c>
      <c r="C248">
        <v>1024</v>
      </c>
      <c r="D248">
        <f>SUMIFS(Horas!R:R,Horas!E:E,A249)</f>
        <v>0</v>
      </c>
    </row>
    <row r="249" spans="1:4">
      <c r="A249" t="s">
        <v>3530</v>
      </c>
      <c r="B249" t="s">
        <v>3531</v>
      </c>
      <c r="C249">
        <v>839</v>
      </c>
      <c r="D249">
        <f>SUMIFS(Horas!R:R,Horas!E:E,A250)</f>
        <v>0</v>
      </c>
    </row>
    <row r="250" spans="1:4">
      <c r="A250" t="s">
        <v>2777</v>
      </c>
      <c r="B250" t="s">
        <v>2778</v>
      </c>
      <c r="C250">
        <v>422</v>
      </c>
      <c r="D250">
        <f>SUMIFS(Horas!R:R,Horas!E:E,A251)</f>
        <v>0</v>
      </c>
    </row>
    <row r="251" spans="1:4">
      <c r="A251" t="s">
        <v>2776</v>
      </c>
      <c r="B251" t="s">
        <v>5348</v>
      </c>
      <c r="C251">
        <v>421</v>
      </c>
      <c r="D251">
        <f>SUMIFS(Horas!R:R,Horas!E:E,A252)</f>
        <v>0</v>
      </c>
    </row>
    <row r="252" spans="1:4">
      <c r="A252" t="s">
        <v>5554</v>
      </c>
      <c r="B252" t="s">
        <v>5555</v>
      </c>
      <c r="C252">
        <v>1219</v>
      </c>
      <c r="D252">
        <f>SUMIFS(Horas!R:R,Horas!E:E,A253)</f>
        <v>0</v>
      </c>
    </row>
    <row r="253" spans="1:4">
      <c r="A253" t="s">
        <v>2929</v>
      </c>
      <c r="B253" t="s">
        <v>3934</v>
      </c>
      <c r="C253">
        <v>503</v>
      </c>
      <c r="D253">
        <f>SUMIFS(Horas!R:R,Horas!E:E,A254)</f>
        <v>0</v>
      </c>
    </row>
    <row r="254" spans="1:4">
      <c r="A254" t="s">
        <v>3148</v>
      </c>
      <c r="B254" t="s">
        <v>3149</v>
      </c>
      <c r="C254">
        <v>628</v>
      </c>
      <c r="D254">
        <f>SUMIFS(Horas!R:R,Horas!E:E,A255)</f>
        <v>0</v>
      </c>
    </row>
    <row r="255" spans="1:4">
      <c r="A255" t="s">
        <v>2930</v>
      </c>
      <c r="B255" t="s">
        <v>2931</v>
      </c>
      <c r="C255">
        <v>504</v>
      </c>
      <c r="D255">
        <f>SUMIFS(Horas!R:R,Horas!E:E,A256)</f>
        <v>0</v>
      </c>
    </row>
    <row r="256" spans="1:4">
      <c r="A256" t="s">
        <v>2932</v>
      </c>
      <c r="B256" t="s">
        <v>2933</v>
      </c>
      <c r="C256">
        <v>505</v>
      </c>
      <c r="D256">
        <f>SUMIFS(Horas!R:R,Horas!E:E,A257)</f>
        <v>0</v>
      </c>
    </row>
    <row r="257" spans="1:4">
      <c r="A257" t="s">
        <v>2986</v>
      </c>
      <c r="B257" t="s">
        <v>2987</v>
      </c>
      <c r="C257">
        <v>535</v>
      </c>
      <c r="D257">
        <f>SUMIFS(Horas!R:R,Horas!E:E,A258)</f>
        <v>0</v>
      </c>
    </row>
    <row r="258" spans="1:4">
      <c r="A258" t="s">
        <v>3663</v>
      </c>
      <c r="B258" t="s">
        <v>3664</v>
      </c>
      <c r="C258">
        <v>912</v>
      </c>
      <c r="D258">
        <f>SUMIFS(Horas!R:R,Horas!E:E,A259)</f>
        <v>0</v>
      </c>
    </row>
    <row r="259" spans="1:4">
      <c r="A259" t="s">
        <v>2774</v>
      </c>
      <c r="B259" t="s">
        <v>2775</v>
      </c>
      <c r="C259">
        <v>420</v>
      </c>
      <c r="D259">
        <f>SUMIFS(Horas!R:R,Horas!E:E,A260)</f>
        <v>0</v>
      </c>
    </row>
    <row r="260" spans="1:4">
      <c r="A260" t="s">
        <v>3665</v>
      </c>
      <c r="B260" t="s">
        <v>3666</v>
      </c>
      <c r="C260">
        <v>913</v>
      </c>
      <c r="D260">
        <f>SUMIFS(Horas!R:R,Horas!E:E,A261)</f>
        <v>0</v>
      </c>
    </row>
    <row r="261" spans="1:4">
      <c r="A261" t="s">
        <v>5381</v>
      </c>
      <c r="B261" t="s">
        <v>5382</v>
      </c>
      <c r="C261">
        <v>1202</v>
      </c>
      <c r="D261">
        <f>SUMIFS(Horas!R:R,Horas!E:E,A262)</f>
        <v>0</v>
      </c>
    </row>
    <row r="262" spans="1:4">
      <c r="A262" t="s">
        <v>5899</v>
      </c>
      <c r="B262" t="s">
        <v>5900</v>
      </c>
      <c r="C262">
        <v>1344</v>
      </c>
      <c r="D262">
        <f>SUMIFS(Horas!R:R,Horas!E:E,A263)</f>
        <v>0</v>
      </c>
    </row>
    <row r="263" spans="1:4">
      <c r="A263" t="s">
        <v>6541</v>
      </c>
      <c r="B263" t="s">
        <v>6542</v>
      </c>
      <c r="C263">
        <v>1492</v>
      </c>
      <c r="D263">
        <f>SUMIFS(Horas!R:R,Horas!E:E,A264)</f>
        <v>0</v>
      </c>
    </row>
    <row r="264" spans="1:4">
      <c r="A264" t="s">
        <v>3701</v>
      </c>
      <c r="B264" t="s">
        <v>3702</v>
      </c>
      <c r="C264">
        <v>934</v>
      </c>
      <c r="D264">
        <f>SUMIFS(Horas!R:R,Horas!E:E,A265)</f>
        <v>0</v>
      </c>
    </row>
    <row r="265" spans="1:4">
      <c r="A265" t="s">
        <v>2996</v>
      </c>
      <c r="B265" t="s">
        <v>2997</v>
      </c>
      <c r="C265">
        <v>540</v>
      </c>
      <c r="D265">
        <f>SUMIFS(Horas!R:R,Horas!E:E,A266)</f>
        <v>0</v>
      </c>
    </row>
    <row r="266" spans="1:4">
      <c r="A266" t="s">
        <v>5851</v>
      </c>
      <c r="B266" t="s">
        <v>5852</v>
      </c>
      <c r="C266">
        <v>1309</v>
      </c>
      <c r="D266">
        <f>SUMIFS(Horas!R:R,Horas!E:E,A267)</f>
        <v>0</v>
      </c>
    </row>
    <row r="267" spans="1:4">
      <c r="A267" t="s">
        <v>6764</v>
      </c>
      <c r="B267" t="s">
        <v>6765</v>
      </c>
      <c r="C267">
        <v>1537</v>
      </c>
      <c r="D267">
        <f>SUMIFS(Horas!R:R,Horas!E:E,A268)</f>
        <v>0</v>
      </c>
    </row>
    <row r="268" spans="1:4">
      <c r="A268" t="s">
        <v>7362</v>
      </c>
      <c r="B268" t="s">
        <v>7363</v>
      </c>
      <c r="C268">
        <v>1637</v>
      </c>
      <c r="D268">
        <f>SUMIFS(Horas!R:R,Horas!E:E,A269)</f>
        <v>0</v>
      </c>
    </row>
    <row r="269" spans="1:4">
      <c r="A269" t="s">
        <v>6497</v>
      </c>
      <c r="B269" t="s">
        <v>6498</v>
      </c>
      <c r="C269">
        <v>1478</v>
      </c>
      <c r="D269">
        <f>SUMIFS(Horas!R:R,Horas!E:E,A270)</f>
        <v>0</v>
      </c>
    </row>
    <row r="270" spans="1:4">
      <c r="A270" t="s">
        <v>3661</v>
      </c>
      <c r="B270" t="s">
        <v>3662</v>
      </c>
      <c r="C270">
        <v>911</v>
      </c>
      <c r="D270">
        <f>SUMIFS(Horas!R:R,Horas!E:E,A271)</f>
        <v>0</v>
      </c>
    </row>
    <row r="271" spans="1:4">
      <c r="A271" t="s">
        <v>3970</v>
      </c>
      <c r="B271" t="s">
        <v>3971</v>
      </c>
      <c r="C271">
        <v>1045</v>
      </c>
      <c r="D271">
        <f>SUMIFS(Horas!R:R,Horas!E:E,A272)</f>
        <v>0</v>
      </c>
    </row>
    <row r="272" spans="1:4">
      <c r="A272" t="s">
        <v>4856</v>
      </c>
      <c r="B272" t="s">
        <v>4857</v>
      </c>
      <c r="C272">
        <v>1125</v>
      </c>
      <c r="D272">
        <f>SUMIFS(Horas!R:R,Horas!E:E,A273)</f>
        <v>0</v>
      </c>
    </row>
    <row r="273" spans="1:4">
      <c r="A273" t="s">
        <v>5537</v>
      </c>
      <c r="B273" t="s">
        <v>5538</v>
      </c>
      <c r="C273">
        <v>1207</v>
      </c>
      <c r="D273">
        <f>SUMIFS(Horas!R:R,Horas!E:E,A274)</f>
        <v>0</v>
      </c>
    </row>
    <row r="274" spans="1:4">
      <c r="A274" t="s">
        <v>5872</v>
      </c>
      <c r="B274" t="s">
        <v>5873</v>
      </c>
      <c r="C274">
        <v>1330</v>
      </c>
      <c r="D274">
        <f>SUMIFS(Horas!R:R,Horas!E:E,A275)</f>
        <v>0</v>
      </c>
    </row>
    <row r="275" spans="1:4">
      <c r="A275" t="s">
        <v>7153</v>
      </c>
      <c r="B275" t="s">
        <v>7154</v>
      </c>
      <c r="C275">
        <v>1570</v>
      </c>
      <c r="D275">
        <f>SUMIFS(Horas!R:R,Horas!E:E,A276)</f>
        <v>0</v>
      </c>
    </row>
    <row r="276" spans="1:4">
      <c r="A276" t="s">
        <v>7157</v>
      </c>
      <c r="B276" t="s">
        <v>7158</v>
      </c>
      <c r="C276">
        <v>1575</v>
      </c>
      <c r="D276">
        <f>SUMIFS(Horas!R:R,Horas!E:E,A277)</f>
        <v>0</v>
      </c>
    </row>
    <row r="277" spans="1:4">
      <c r="A277" t="s">
        <v>6290</v>
      </c>
      <c r="B277" t="s">
        <v>6291</v>
      </c>
      <c r="C277">
        <v>1405</v>
      </c>
      <c r="D277">
        <f>SUMIFS(Horas!R:R,Horas!E:E,A278)</f>
        <v>0</v>
      </c>
    </row>
    <row r="278" spans="1:4">
      <c r="A278" t="s">
        <v>6557</v>
      </c>
      <c r="B278" t="s">
        <v>6558</v>
      </c>
      <c r="C278">
        <v>1504</v>
      </c>
      <c r="D278">
        <f>SUMIFS(Horas!R:R,Horas!E:E,A279)</f>
        <v>0</v>
      </c>
    </row>
    <row r="279" spans="1:4">
      <c r="A279" t="s">
        <v>7340</v>
      </c>
      <c r="B279" t="s">
        <v>7341</v>
      </c>
      <c r="C279">
        <v>1626</v>
      </c>
      <c r="D279">
        <f>SUMIFS(Horas!R:R,Horas!E:E,A280)</f>
        <v>0</v>
      </c>
    </row>
    <row r="280" spans="1:4">
      <c r="A280" t="s">
        <v>6294</v>
      </c>
      <c r="B280" t="s">
        <v>6295</v>
      </c>
      <c r="C280">
        <v>1407</v>
      </c>
      <c r="D280">
        <f>SUMIFS(Horas!R:R,Horas!E:E,A281)</f>
        <v>0</v>
      </c>
    </row>
    <row r="281" spans="1:4">
      <c r="A281" t="s">
        <v>6276</v>
      </c>
      <c r="B281" t="s">
        <v>5860</v>
      </c>
      <c r="C281">
        <v>1315</v>
      </c>
      <c r="D281">
        <f>SUMIFS(Horas!R:R,Horas!E:E,A282)</f>
        <v>0</v>
      </c>
    </row>
    <row r="282" spans="1:4">
      <c r="A282" t="s">
        <v>7184</v>
      </c>
      <c r="B282" t="s">
        <v>7185</v>
      </c>
      <c r="C282">
        <v>1598</v>
      </c>
      <c r="D282">
        <f>SUMIFS(Horas!R:R,Horas!E:E,A283)</f>
        <v>0</v>
      </c>
    </row>
    <row r="283" spans="1:4">
      <c r="A283" t="s">
        <v>7413</v>
      </c>
      <c r="B283" t="s">
        <v>7414</v>
      </c>
      <c r="C283">
        <v>1664</v>
      </c>
      <c r="D283">
        <f>SUMIFS(Horas!R:R,Horas!E:E,A284)</f>
        <v>0</v>
      </c>
    </row>
    <row r="284" spans="1:4">
      <c r="A284" t="s">
        <v>6567</v>
      </c>
      <c r="B284" t="s">
        <v>6568</v>
      </c>
      <c r="C284">
        <v>1512</v>
      </c>
      <c r="D284">
        <f>SUMIFS(Horas!R:R,Horas!E:E,A285)</f>
        <v>0</v>
      </c>
    </row>
    <row r="285" spans="1:4">
      <c r="A285" t="s">
        <v>7161</v>
      </c>
      <c r="B285" t="s">
        <v>7162</v>
      </c>
      <c r="C285">
        <v>1578</v>
      </c>
      <c r="D285">
        <f>SUMIFS(Horas!R:R,Horas!E:E,A286)</f>
        <v>0</v>
      </c>
    </row>
    <row r="286" spans="1:4">
      <c r="A286" t="s">
        <v>5861</v>
      </c>
      <c r="B286" t="s">
        <v>5862</v>
      </c>
      <c r="C286">
        <v>1316</v>
      </c>
      <c r="D286">
        <f>SUMIFS(Horas!R:R,Horas!E:E,A287)</f>
        <v>0</v>
      </c>
    </row>
    <row r="287" spans="1:4">
      <c r="A287" t="s">
        <v>6292</v>
      </c>
      <c r="B287" t="s">
        <v>6293</v>
      </c>
      <c r="C287">
        <v>1406</v>
      </c>
      <c r="D287">
        <f>SUMIFS(Horas!R:R,Horas!E:E,A288)</f>
        <v>0</v>
      </c>
    </row>
    <row r="288" spans="1:4">
      <c r="A288" t="s">
        <v>6569</v>
      </c>
      <c r="B288" t="s">
        <v>6570</v>
      </c>
      <c r="C288">
        <v>1513</v>
      </c>
      <c r="D288">
        <f>SUMIFS(Horas!R:R,Horas!E:E,A289)</f>
        <v>0</v>
      </c>
    </row>
    <row r="289" spans="1:4">
      <c r="A289" t="s">
        <v>7177</v>
      </c>
      <c r="B289" t="s">
        <v>7176</v>
      </c>
      <c r="C289">
        <v>1593</v>
      </c>
      <c r="D289">
        <f>SUMIFS(Horas!R:R,Horas!E:E,A290)</f>
        <v>0</v>
      </c>
    </row>
    <row r="290" spans="1:4">
      <c r="A290" t="s">
        <v>7180</v>
      </c>
      <c r="B290" t="s">
        <v>7179</v>
      </c>
      <c r="C290">
        <v>1595</v>
      </c>
      <c r="D290">
        <f>SUMIFS(Horas!R:R,Horas!E:E,A291)</f>
        <v>0</v>
      </c>
    </row>
    <row r="291" spans="1:4">
      <c r="A291" t="s">
        <v>7183</v>
      </c>
      <c r="B291" t="s">
        <v>7182</v>
      </c>
      <c r="C291">
        <v>1597</v>
      </c>
      <c r="D291">
        <f>SUMIFS(Horas!R:R,Horas!E:E,A292)</f>
        <v>0</v>
      </c>
    </row>
    <row r="292" spans="1:4">
      <c r="A292" t="s">
        <v>3731</v>
      </c>
      <c r="B292" t="s">
        <v>3732</v>
      </c>
      <c r="C292">
        <v>950</v>
      </c>
      <c r="D292">
        <f>SUMIFS(Horas!R:R,Horas!E:E,A293)</f>
        <v>0</v>
      </c>
    </row>
    <row r="293" spans="1:4">
      <c r="A293" t="s">
        <v>3727</v>
      </c>
      <c r="B293" t="s">
        <v>3728</v>
      </c>
      <c r="C293">
        <v>948</v>
      </c>
      <c r="D293">
        <f>SUMIFS(Horas!R:R,Horas!E:E,A294)</f>
        <v>0</v>
      </c>
    </row>
    <row r="294" spans="1:4">
      <c r="A294" t="s">
        <v>5377</v>
      </c>
      <c r="B294" t="s">
        <v>5378</v>
      </c>
      <c r="C294">
        <v>1200</v>
      </c>
      <c r="D294">
        <f>SUMIFS(Horas!R:R,Horas!E:E,A295)</f>
        <v>0</v>
      </c>
    </row>
    <row r="295" spans="1:4">
      <c r="A295" t="s">
        <v>3807</v>
      </c>
      <c r="B295" t="s">
        <v>3808</v>
      </c>
      <c r="C295">
        <v>998</v>
      </c>
      <c r="D295">
        <f>SUMIFS(Horas!R:R,Horas!E:E,A296)</f>
        <v>0</v>
      </c>
    </row>
    <row r="296" spans="1:4">
      <c r="A296" t="s">
        <v>5342</v>
      </c>
      <c r="B296" t="s">
        <v>5343</v>
      </c>
      <c r="C296">
        <v>1183</v>
      </c>
      <c r="D296">
        <f>SUMIFS(Horas!R:R,Horas!E:E,A297)</f>
        <v>0</v>
      </c>
    </row>
    <row r="297" spans="1:4">
      <c r="A297" t="s">
        <v>5318</v>
      </c>
      <c r="B297" t="s">
        <v>5319</v>
      </c>
      <c r="C297">
        <v>1170</v>
      </c>
      <c r="D297">
        <f>SUMIFS(Horas!R:R,Horas!E:E,A298)</f>
        <v>0</v>
      </c>
    </row>
    <row r="298" spans="1:4">
      <c r="A298" t="s">
        <v>4810</v>
      </c>
      <c r="B298" t="s">
        <v>4811</v>
      </c>
      <c r="C298">
        <v>1096</v>
      </c>
      <c r="D298">
        <f>SUMIFS(Horas!R:R,Horas!E:E,A299)</f>
        <v>0</v>
      </c>
    </row>
    <row r="299" spans="1:4">
      <c r="A299" t="s">
        <v>5322</v>
      </c>
      <c r="B299" t="s">
        <v>5323</v>
      </c>
      <c r="C299">
        <v>1172</v>
      </c>
      <c r="D299">
        <f>SUMIFS(Horas!R:R,Horas!E:E,A300)</f>
        <v>0</v>
      </c>
    </row>
    <row r="300" spans="1:4">
      <c r="A300" t="s">
        <v>3939</v>
      </c>
      <c r="B300" t="s">
        <v>3940</v>
      </c>
      <c r="C300">
        <v>1021</v>
      </c>
      <c r="D300">
        <f>SUMIFS(Horas!R:R,Horas!E:E,A301)</f>
        <v>0</v>
      </c>
    </row>
    <row r="301" spans="1:4">
      <c r="A301" t="s">
        <v>4069</v>
      </c>
      <c r="B301" t="s">
        <v>4070</v>
      </c>
      <c r="C301">
        <v>1054</v>
      </c>
      <c r="D301">
        <f>SUMIFS(Horas!R:R,Horas!E:E,A302)</f>
        <v>0</v>
      </c>
    </row>
    <row r="302" spans="1:4">
      <c r="A302" t="s">
        <v>4896</v>
      </c>
      <c r="B302" t="s">
        <v>4897</v>
      </c>
      <c r="C302">
        <v>1156</v>
      </c>
      <c r="D302">
        <f>SUMIFS(Horas!R:R,Horas!E:E,A303)</f>
        <v>0</v>
      </c>
    </row>
    <row r="303" spans="1:4">
      <c r="A303" t="s">
        <v>3901</v>
      </c>
      <c r="B303" t="s">
        <v>3902</v>
      </c>
      <c r="C303">
        <v>1025</v>
      </c>
      <c r="D303">
        <f>SUMIFS(Horas!R:R,Horas!E:E,A304)</f>
        <v>0</v>
      </c>
    </row>
    <row r="304" spans="1:4">
      <c r="A304" t="s">
        <v>3715</v>
      </c>
      <c r="B304" t="s">
        <v>3716</v>
      </c>
      <c r="C304">
        <v>942</v>
      </c>
      <c r="D304">
        <f>SUMIFS(Horas!R:R,Horas!E:E,A305)</f>
        <v>0</v>
      </c>
    </row>
    <row r="305" spans="1:4">
      <c r="A305" t="s">
        <v>3803</v>
      </c>
      <c r="B305" t="s">
        <v>3804</v>
      </c>
      <c r="C305">
        <v>994</v>
      </c>
      <c r="D305">
        <f>SUMIFS(Horas!R:R,Horas!E:E,A306)</f>
        <v>0</v>
      </c>
    </row>
    <row r="306" spans="1:4">
      <c r="A306" t="s">
        <v>5344</v>
      </c>
      <c r="B306" t="s">
        <v>5345</v>
      </c>
      <c r="C306">
        <v>1185</v>
      </c>
      <c r="D306">
        <f>SUMIFS(Horas!R:R,Horas!E:E,A307)</f>
        <v>0</v>
      </c>
    </row>
    <row r="307" spans="1:4">
      <c r="A307" t="s">
        <v>3801</v>
      </c>
      <c r="B307" t="s">
        <v>3802</v>
      </c>
      <c r="C307">
        <v>993</v>
      </c>
      <c r="D307">
        <f>SUMIFS(Horas!R:R,Horas!E:E,A308)</f>
        <v>0</v>
      </c>
    </row>
    <row r="308" spans="1:4">
      <c r="A308" t="s">
        <v>3717</v>
      </c>
      <c r="B308" t="s">
        <v>3718</v>
      </c>
      <c r="C308">
        <v>943</v>
      </c>
      <c r="D308">
        <f>SUMIFS(Horas!R:R,Horas!E:E,A309)</f>
        <v>0</v>
      </c>
    </row>
    <row r="309" spans="1:4">
      <c r="A309" t="s">
        <v>4880</v>
      </c>
      <c r="B309" t="s">
        <v>4881</v>
      </c>
      <c r="C309">
        <v>1141</v>
      </c>
      <c r="D309">
        <f>SUMIFS(Horas!R:R,Horas!E:E,A310)</f>
        <v>0</v>
      </c>
    </row>
    <row r="310" spans="1:4">
      <c r="A310" t="s">
        <v>3729</v>
      </c>
      <c r="B310" t="s">
        <v>3730</v>
      </c>
      <c r="C310">
        <v>949</v>
      </c>
      <c r="D310">
        <f>SUMIFS(Horas!R:R,Horas!E:E,A311)</f>
        <v>0</v>
      </c>
    </row>
    <row r="311" spans="1:4">
      <c r="A311" t="s">
        <v>3967</v>
      </c>
      <c r="B311" t="s">
        <v>3968</v>
      </c>
      <c r="C311">
        <v>1042</v>
      </c>
      <c r="D311">
        <f>SUMIFS(Horas!R:R,Horas!E:E,A312)</f>
        <v>0</v>
      </c>
    </row>
    <row r="312" spans="1:4">
      <c r="A312" t="s">
        <v>3713</v>
      </c>
      <c r="B312" t="s">
        <v>3714</v>
      </c>
      <c r="C312">
        <v>941</v>
      </c>
      <c r="D312">
        <f>SUMIFS(Horas!R:R,Horas!E:E,A313)</f>
        <v>0</v>
      </c>
    </row>
    <row r="313" spans="1:4">
      <c r="A313" t="s">
        <v>3733</v>
      </c>
      <c r="B313" t="s">
        <v>3734</v>
      </c>
      <c r="C313">
        <v>951</v>
      </c>
      <c r="D313">
        <f>SUMIFS(Horas!R:R,Horas!E:E,A314)</f>
        <v>0</v>
      </c>
    </row>
    <row r="314" spans="1:4">
      <c r="A314" t="s">
        <v>5677</v>
      </c>
      <c r="B314" t="s">
        <v>5680</v>
      </c>
      <c r="C314">
        <v>1253</v>
      </c>
      <c r="D314">
        <f>SUMIFS(Horas!R:R,Horas!E:E,A315)</f>
        <v>0</v>
      </c>
    </row>
    <row r="315" spans="1:4">
      <c r="A315" t="s">
        <v>6299</v>
      </c>
      <c r="B315" t="s">
        <v>6300</v>
      </c>
      <c r="C315">
        <v>1412</v>
      </c>
      <c r="D315">
        <f>SUMIFS(Horas!R:R,Horas!E:E,A316)</f>
        <v>0</v>
      </c>
    </row>
    <row r="316" spans="1:4">
      <c r="A316" t="s">
        <v>3735</v>
      </c>
      <c r="B316" t="s">
        <v>3712</v>
      </c>
      <c r="C316">
        <v>952</v>
      </c>
      <c r="D316">
        <f>SUMIFS(Horas!R:R,Horas!E:E,A317)</f>
        <v>0</v>
      </c>
    </row>
    <row r="317" spans="1:4">
      <c r="A317" t="s">
        <v>5340</v>
      </c>
      <c r="B317" t="s">
        <v>5341</v>
      </c>
      <c r="C317">
        <v>1182</v>
      </c>
      <c r="D317">
        <f>SUMIFS(Horas!R:R,Horas!E:E,A318)</f>
        <v>0</v>
      </c>
    </row>
    <row r="318" spans="1:4">
      <c r="A318" t="s">
        <v>7186</v>
      </c>
      <c r="B318" t="s">
        <v>7187</v>
      </c>
      <c r="C318">
        <v>1599</v>
      </c>
      <c r="D318">
        <f>SUMIFS(Horas!R:R,Horas!E:E,A319)</f>
        <v>0</v>
      </c>
    </row>
    <row r="319" spans="1:4">
      <c r="A319" t="s">
        <v>7152</v>
      </c>
      <c r="B319" t="s">
        <v>7150</v>
      </c>
      <c r="C319">
        <v>1569</v>
      </c>
      <c r="D319">
        <f>SUMIFS(Horas!R:R,Horas!E:E,A320)</f>
        <v>0</v>
      </c>
    </row>
    <row r="320" spans="1:4">
      <c r="A320" t="s">
        <v>3277</v>
      </c>
      <c r="B320" t="s">
        <v>3278</v>
      </c>
      <c r="C320">
        <v>701</v>
      </c>
      <c r="D320">
        <f>SUMIFS(Horas!R:R,Horas!E:E,A321)</f>
        <v>0</v>
      </c>
    </row>
    <row r="321" spans="1:4">
      <c r="A321" t="s">
        <v>4834</v>
      </c>
      <c r="B321" t="s">
        <v>4835</v>
      </c>
      <c r="C321">
        <v>1111</v>
      </c>
      <c r="D321">
        <f>SUMIFS(Horas!R:R,Horas!E:E,A322)</f>
        <v>0</v>
      </c>
    </row>
    <row r="322" spans="1:4">
      <c r="A322" t="s">
        <v>3659</v>
      </c>
      <c r="B322" t="s">
        <v>3660</v>
      </c>
      <c r="C322">
        <v>910</v>
      </c>
      <c r="D322">
        <f>SUMIFS(Horas!R:R,Horas!E:E,A323)</f>
        <v>0</v>
      </c>
    </row>
    <row r="323" spans="1:4">
      <c r="A323" t="s">
        <v>7131</v>
      </c>
      <c r="B323" t="s">
        <v>7132</v>
      </c>
      <c r="C323">
        <v>1527</v>
      </c>
      <c r="D323">
        <f>SUMIFS(Horas!R:R,Horas!E:E,A324)</f>
        <v>0</v>
      </c>
    </row>
    <row r="324" spans="1:4">
      <c r="A324" t="s">
        <v>5891</v>
      </c>
      <c r="B324" t="s">
        <v>5892</v>
      </c>
      <c r="C324">
        <v>1340</v>
      </c>
      <c r="D324">
        <f>SUMIFS(Horas!R:R,Horas!E:E,A325)</f>
        <v>0</v>
      </c>
    </row>
    <row r="325" spans="1:4">
      <c r="A325" t="s">
        <v>6494</v>
      </c>
      <c r="B325" t="s">
        <v>6495</v>
      </c>
      <c r="C325">
        <v>1475</v>
      </c>
      <c r="D325">
        <f>SUMIFS(Horas!R:R,Horas!E:E,A326)</f>
        <v>0</v>
      </c>
    </row>
    <row r="326" spans="1:4">
      <c r="A326" t="s">
        <v>5810</v>
      </c>
      <c r="B326" t="s">
        <v>5811</v>
      </c>
      <c r="C326">
        <v>1283</v>
      </c>
      <c r="D326">
        <f>SUMIFS(Horas!R:R,Horas!E:E,A327)</f>
        <v>0</v>
      </c>
    </row>
    <row r="327" spans="1:4">
      <c r="A327" t="s">
        <v>4073</v>
      </c>
      <c r="B327" t="s">
        <v>4074</v>
      </c>
      <c r="C327">
        <v>1056</v>
      </c>
      <c r="D327">
        <f>SUMIFS(Horas!R:R,Horas!E:E,A328)</f>
        <v>0</v>
      </c>
    </row>
    <row r="328" spans="1:4">
      <c r="A328" t="s">
        <v>3834</v>
      </c>
      <c r="B328" t="s">
        <v>3835</v>
      </c>
      <c r="C328">
        <v>1014</v>
      </c>
      <c r="D328">
        <f>SUMIFS(Horas!R:R,Horas!E:E,A329)</f>
        <v>0</v>
      </c>
    </row>
    <row r="329" spans="1:4">
      <c r="A329" t="s">
        <v>3510</v>
      </c>
      <c r="B329" t="s">
        <v>3511</v>
      </c>
      <c r="C329">
        <v>826</v>
      </c>
      <c r="D329">
        <f>SUMIFS(Horas!R:R,Horas!E:E,A330)</f>
        <v>0</v>
      </c>
    </row>
    <row r="330" spans="1:4">
      <c r="A330" t="s">
        <v>3836</v>
      </c>
      <c r="B330" t="s">
        <v>3837</v>
      </c>
      <c r="C330">
        <v>1015</v>
      </c>
      <c r="D330">
        <f>SUMIFS(Horas!R:R,Horas!E:E,A331)</f>
        <v>0</v>
      </c>
    </row>
    <row r="331" spans="1:4">
      <c r="A331" t="s">
        <v>3974</v>
      </c>
      <c r="B331" t="s">
        <v>3975</v>
      </c>
      <c r="C331">
        <v>1047</v>
      </c>
      <c r="D331">
        <f>SUMIFS(Horas!R:R,Horas!E:E,A332)</f>
        <v>0</v>
      </c>
    </row>
    <row r="332" spans="1:4">
      <c r="A332" t="s">
        <v>4873</v>
      </c>
      <c r="B332" t="s">
        <v>4874</v>
      </c>
      <c r="C332">
        <v>1136</v>
      </c>
      <c r="D332">
        <f>SUMIFS(Horas!R:R,Horas!E:E,A333)</f>
        <v>0</v>
      </c>
    </row>
    <row r="333" spans="1:4">
      <c r="A333" t="s">
        <v>5878</v>
      </c>
      <c r="B333" t="s">
        <v>5879</v>
      </c>
      <c r="C333">
        <v>1333</v>
      </c>
      <c r="D333">
        <f>SUMIFS(Horas!R:R,Horas!E:E,A334)</f>
        <v>0</v>
      </c>
    </row>
    <row r="334" spans="1:4">
      <c r="A334" t="s">
        <v>6499</v>
      </c>
      <c r="B334" t="s">
        <v>6500</v>
      </c>
      <c r="C334">
        <v>1479</v>
      </c>
      <c r="D334">
        <f>SUMIFS(Horas!R:R,Horas!E:E,A335)</f>
        <v>0</v>
      </c>
    </row>
    <row r="335" spans="1:4">
      <c r="A335" t="s">
        <v>5568</v>
      </c>
      <c r="B335" t="s">
        <v>5569</v>
      </c>
      <c r="C335">
        <v>1233</v>
      </c>
      <c r="D335">
        <f>SUMIFS(Horas!R:R,Horas!E:E,A336)</f>
        <v>0</v>
      </c>
    </row>
    <row r="336" spans="1:4">
      <c r="A336" t="s">
        <v>6039</v>
      </c>
      <c r="B336" t="s">
        <v>6040</v>
      </c>
      <c r="C336">
        <v>1378</v>
      </c>
      <c r="D336">
        <f>SUMIFS(Horas!R:R,Horas!E:E,A337)</f>
        <v>0</v>
      </c>
    </row>
    <row r="337" spans="1:4">
      <c r="A337" t="s">
        <v>6762</v>
      </c>
      <c r="B337" t="s">
        <v>6763</v>
      </c>
      <c r="C337">
        <v>1536</v>
      </c>
      <c r="D337">
        <f>SUMIFS(Horas!R:R,Horas!E:E,A338)</f>
        <v>0</v>
      </c>
    </row>
    <row r="338" spans="1:4">
      <c r="A338" t="s">
        <v>5905</v>
      </c>
      <c r="B338" t="s">
        <v>5906</v>
      </c>
      <c r="C338">
        <v>1348</v>
      </c>
      <c r="D338">
        <f>SUMIFS(Horas!R:R,Horas!E:E,A339)</f>
        <v>0</v>
      </c>
    </row>
    <row r="339" spans="1:4">
      <c r="A339" t="s">
        <v>6501</v>
      </c>
      <c r="B339" t="s">
        <v>6502</v>
      </c>
      <c r="C339">
        <v>1481</v>
      </c>
      <c r="D339">
        <f>SUMIFS(Horas!R:R,Horas!E:E,A340)</f>
        <v>0</v>
      </c>
    </row>
    <row r="340" spans="1:4">
      <c r="A340" t="s">
        <v>3864</v>
      </c>
      <c r="B340" t="s">
        <v>3896</v>
      </c>
      <c r="C340">
        <v>1020</v>
      </c>
      <c r="D340">
        <f>SUMIFS(Horas!R:R,Horas!E:E,A341)</f>
        <v>0</v>
      </c>
    </row>
    <row r="341" spans="1:4">
      <c r="A341" t="s">
        <v>3862</v>
      </c>
      <c r="B341" t="s">
        <v>3831</v>
      </c>
      <c r="C341">
        <v>1012</v>
      </c>
      <c r="D341">
        <f>SUMIFS(Horas!R:R,Horas!E:E,A342)</f>
        <v>0</v>
      </c>
    </row>
    <row r="342" spans="1:4">
      <c r="A342" t="s">
        <v>3838</v>
      </c>
      <c r="B342" t="s">
        <v>3839</v>
      </c>
      <c r="C342">
        <v>1016</v>
      </c>
      <c r="D342">
        <f>SUMIFS(Horas!R:R,Horas!E:E,A343)</f>
        <v>0</v>
      </c>
    </row>
    <row r="343" spans="1:4">
      <c r="A343" t="s">
        <v>3805</v>
      </c>
      <c r="B343" t="s">
        <v>3806</v>
      </c>
      <c r="C343">
        <v>995</v>
      </c>
      <c r="D343">
        <f>SUMIFS(Horas!R:R,Horas!E:E,A344)</f>
        <v>0</v>
      </c>
    </row>
    <row r="344" spans="1:4">
      <c r="A344" t="s">
        <v>3840</v>
      </c>
      <c r="B344" t="s">
        <v>3841</v>
      </c>
      <c r="C344">
        <v>1017</v>
      </c>
      <c r="D344">
        <f>SUMIFS(Horas!R:R,Horas!E:E,A345)</f>
        <v>0</v>
      </c>
    </row>
    <row r="345" spans="1:4">
      <c r="A345" t="s">
        <v>7165</v>
      </c>
      <c r="B345" t="s">
        <v>7166</v>
      </c>
      <c r="C345">
        <v>1580</v>
      </c>
      <c r="D345">
        <f>SUMIFS(Horas!R:R,Horas!E:E,A346)</f>
        <v>0</v>
      </c>
    </row>
    <row r="346" spans="1:4">
      <c r="A346" t="s">
        <v>5140</v>
      </c>
      <c r="B346" t="s">
        <v>4836</v>
      </c>
      <c r="C346">
        <v>1112</v>
      </c>
      <c r="D346">
        <f>SUMIFS(Horas!R:R,Horas!E:E,A347)</f>
        <v>0</v>
      </c>
    </row>
    <row r="347" spans="1:4">
      <c r="A347" t="s">
        <v>5884</v>
      </c>
      <c r="B347" t="s">
        <v>5885</v>
      </c>
      <c r="C347">
        <v>1336</v>
      </c>
      <c r="D347">
        <f>SUMIFS(Horas!R:R,Horas!E:E,A348)</f>
        <v>0</v>
      </c>
    </row>
    <row r="348" spans="1:4">
      <c r="A348" t="s">
        <v>2522</v>
      </c>
      <c r="B348" t="s">
        <v>2523</v>
      </c>
      <c r="C348">
        <v>274</v>
      </c>
      <c r="D348">
        <f>SUMIFS(Horas!R:R,Horas!E:E,A349)</f>
        <v>0</v>
      </c>
    </row>
    <row r="349" spans="1:4">
      <c r="A349" t="s">
        <v>3815</v>
      </c>
      <c r="B349" t="s">
        <v>3816</v>
      </c>
      <c r="C349">
        <v>1002</v>
      </c>
      <c r="D349">
        <f>SUMIFS(Horas!R:R,Horas!E:E,A350)</f>
        <v>0</v>
      </c>
    </row>
    <row r="350" spans="1:4">
      <c r="A350" t="s">
        <v>5765</v>
      </c>
      <c r="B350" t="s">
        <v>4751</v>
      </c>
      <c r="C350">
        <v>1009</v>
      </c>
      <c r="D350">
        <f>SUMIFS(Horas!R:R,Horas!E:E,A351)</f>
        <v>0</v>
      </c>
    </row>
    <row r="351" spans="1:4">
      <c r="A351" t="s">
        <v>5856</v>
      </c>
      <c r="B351" t="s">
        <v>5857</v>
      </c>
      <c r="C351">
        <v>1313</v>
      </c>
      <c r="D351">
        <f>SUMIFS(Horas!R:R,Horas!E:E,A352)</f>
        <v>0</v>
      </c>
    </row>
    <row r="352" spans="1:4">
      <c r="A352" t="s">
        <v>6757</v>
      </c>
      <c r="B352" t="s">
        <v>6758</v>
      </c>
      <c r="C352">
        <v>1531</v>
      </c>
      <c r="D352">
        <f>SUMIFS(Horas!R:R,Horas!E:E,A353)</f>
        <v>0</v>
      </c>
    </row>
    <row r="353" spans="1:4">
      <c r="A353" t="s">
        <v>7360</v>
      </c>
      <c r="B353" t="s">
        <v>7361</v>
      </c>
      <c r="C353">
        <v>1636</v>
      </c>
      <c r="D353">
        <f>SUMIFS(Horas!R:R,Horas!E:E,A354)</f>
        <v>0</v>
      </c>
    </row>
    <row r="354" spans="1:4">
      <c r="A354" t="s">
        <v>7151</v>
      </c>
      <c r="B354" t="s">
        <v>7150</v>
      </c>
      <c r="C354">
        <v>1568</v>
      </c>
      <c r="D354">
        <f>SUMIFS(Horas!R:R,Horas!E:E,A355)</f>
        <v>0</v>
      </c>
    </row>
    <row r="355" spans="1:4">
      <c r="A355" t="s">
        <v>5353</v>
      </c>
      <c r="B355" t="s">
        <v>5354</v>
      </c>
      <c r="C355">
        <v>1188</v>
      </c>
      <c r="D355">
        <f>SUMIFS(Horas!R:R,Horas!E:E,A356)</f>
        <v>0</v>
      </c>
    </row>
    <row r="356" spans="1:4">
      <c r="A356" t="s">
        <v>6446</v>
      </c>
      <c r="B356" t="s">
        <v>6447</v>
      </c>
      <c r="C356">
        <v>1423</v>
      </c>
      <c r="D356">
        <f>SUMIFS(Horas!R:R,Horas!E:E,A357)</f>
        <v>0</v>
      </c>
    </row>
    <row r="357" spans="1:4">
      <c r="A357" t="s">
        <v>5812</v>
      </c>
      <c r="B357" t="s">
        <v>5813</v>
      </c>
      <c r="C357">
        <v>1284</v>
      </c>
      <c r="D357">
        <f>SUMIFS(Horas!R:R,Horas!E:E,A358)</f>
        <v>0</v>
      </c>
    </row>
    <row r="358" spans="1:4">
      <c r="A358" t="s">
        <v>7163</v>
      </c>
      <c r="B358" t="s">
        <v>7164</v>
      </c>
      <c r="C358">
        <v>1579</v>
      </c>
      <c r="D358">
        <f>SUMIFS(Horas!R:R,Horas!E:E,A359)</f>
        <v>0</v>
      </c>
    </row>
    <row r="359" spans="1:4">
      <c r="A359" t="s">
        <v>5882</v>
      </c>
      <c r="B359" t="s">
        <v>5883</v>
      </c>
      <c r="C359">
        <v>1335</v>
      </c>
      <c r="D359">
        <f>SUMIFS(Horas!R:R,Horas!E:E,A360)</f>
        <v>0</v>
      </c>
    </row>
    <row r="360" spans="1:4">
      <c r="A360" t="s">
        <v>6492</v>
      </c>
      <c r="B360" t="s">
        <v>6493</v>
      </c>
      <c r="C360">
        <v>1464</v>
      </c>
      <c r="D360">
        <f>SUMIFS(Horas!R:R,Horas!E:E,A361)</f>
        <v>0</v>
      </c>
    </row>
    <row r="361" spans="1:4">
      <c r="A361" t="s">
        <v>5573</v>
      </c>
      <c r="B361" t="s">
        <v>5769</v>
      </c>
      <c r="C361">
        <v>1237</v>
      </c>
      <c r="D361">
        <f>SUMIFS(Horas!R:R,Horas!E:E,A362)</f>
        <v>0</v>
      </c>
    </row>
    <row r="362" spans="1:4">
      <c r="A362" t="s">
        <v>7296</v>
      </c>
      <c r="B362" t="s">
        <v>7297</v>
      </c>
      <c r="C362">
        <v>1526</v>
      </c>
      <c r="D362">
        <f>SUMIFS(Horas!R:R,Horas!E:E,A363)</f>
        <v>0</v>
      </c>
    </row>
    <row r="363" spans="1:4">
      <c r="A363" t="s">
        <v>7334</v>
      </c>
      <c r="B363" t="s">
        <v>7335</v>
      </c>
      <c r="C363">
        <v>1622</v>
      </c>
      <c r="D363">
        <f>SUMIFS(Horas!R:R,Horas!E:E,A364)</f>
        <v>0</v>
      </c>
    </row>
    <row r="364" spans="1:4">
      <c r="A364" t="s">
        <v>3813</v>
      </c>
      <c r="B364" t="s">
        <v>3814</v>
      </c>
      <c r="C364">
        <v>1001</v>
      </c>
      <c r="D364">
        <f>SUMIFS(Horas!R:R,Horas!E:E,A365)</f>
        <v>0</v>
      </c>
    </row>
    <row r="365" spans="1:4">
      <c r="A365" t="s">
        <v>3809</v>
      </c>
      <c r="B365" t="s">
        <v>3810</v>
      </c>
      <c r="C365">
        <v>999</v>
      </c>
      <c r="D365">
        <f>SUMIFS(Horas!R:R,Horas!E:E,A366)</f>
        <v>0</v>
      </c>
    </row>
    <row r="366" spans="1:4">
      <c r="A366" t="s">
        <v>3811</v>
      </c>
      <c r="B366" t="s">
        <v>3812</v>
      </c>
      <c r="C366">
        <v>1000</v>
      </c>
      <c r="D366">
        <f>SUMIFS(Horas!R:R,Horas!E:E,A367)</f>
        <v>0</v>
      </c>
    </row>
    <row r="367" spans="1:4">
      <c r="A367" t="s">
        <v>3643</v>
      </c>
      <c r="B367" t="s">
        <v>3644</v>
      </c>
      <c r="C367">
        <v>900</v>
      </c>
      <c r="D367">
        <f>SUMIFS(Horas!R:R,Horas!E:E,A368)</f>
        <v>0</v>
      </c>
    </row>
    <row r="368" spans="1:4">
      <c r="A368" t="s">
        <v>5563</v>
      </c>
      <c r="B368" t="s">
        <v>5564</v>
      </c>
      <c r="C368">
        <v>1229</v>
      </c>
      <c r="D368">
        <f>SUMIFS(Horas!R:R,Horas!E:E,A369)</f>
        <v>0</v>
      </c>
    </row>
    <row r="369" spans="1:4">
      <c r="A369" t="s">
        <v>2341</v>
      </c>
      <c r="B369" t="s">
        <v>2342</v>
      </c>
      <c r="C369">
        <v>192</v>
      </c>
      <c r="D369">
        <f>SUMIFS(Horas!R:R,Horas!E:E,A370)</f>
        <v>0</v>
      </c>
    </row>
    <row r="370" spans="1:4">
      <c r="A370" t="s">
        <v>5833</v>
      </c>
      <c r="B370" t="s">
        <v>5834</v>
      </c>
      <c r="C370">
        <v>1298</v>
      </c>
      <c r="D370">
        <f>SUMIFS(Horas!R:R,Horas!E:E,A371)</f>
        <v>0</v>
      </c>
    </row>
    <row r="371" spans="1:4">
      <c r="A371" t="s">
        <v>5571</v>
      </c>
      <c r="B371" t="s">
        <v>5572</v>
      </c>
      <c r="C371">
        <v>1236</v>
      </c>
      <c r="D371">
        <f>SUMIFS(Horas!R:R,Horas!E:E,A372)</f>
        <v>0</v>
      </c>
    </row>
    <row r="372" spans="1:4">
      <c r="A372" t="s">
        <v>6025</v>
      </c>
      <c r="B372" t="s">
        <v>5572</v>
      </c>
      <c r="C372">
        <v>1246</v>
      </c>
      <c r="D372">
        <f>SUMIFS(Horas!R:R,Horas!E:E,A373)</f>
        <v>0</v>
      </c>
    </row>
    <row r="373" spans="1:4">
      <c r="A373" t="s">
        <v>6546</v>
      </c>
      <c r="B373" t="s">
        <v>5572</v>
      </c>
      <c r="C373">
        <v>1495</v>
      </c>
      <c r="D373">
        <f>SUMIFS(Horas!R:R,Horas!E:E,A374)</f>
        <v>0</v>
      </c>
    </row>
    <row r="374" spans="1:4">
      <c r="A374" t="s">
        <v>7141</v>
      </c>
      <c r="B374" t="s">
        <v>5572</v>
      </c>
      <c r="C374">
        <v>1556</v>
      </c>
      <c r="D374">
        <f>SUMIFS(Horas!R:R,Horas!E:E,A375)</f>
        <v>0</v>
      </c>
    </row>
    <row r="375" spans="1:4">
      <c r="A375" t="s">
        <v>7408</v>
      </c>
      <c r="B375" t="s">
        <v>5572</v>
      </c>
      <c r="C375">
        <v>1661</v>
      </c>
      <c r="D375">
        <f>SUMIFS(Horas!R:R,Horas!E:E,A376)</f>
        <v>0</v>
      </c>
    </row>
    <row r="376" spans="1:4">
      <c r="A376" t="s">
        <v>2609</v>
      </c>
      <c r="B376" t="s">
        <v>2610</v>
      </c>
      <c r="C376">
        <v>323</v>
      </c>
      <c r="D376">
        <f>SUMIFS(Horas!R:R,Horas!E:E,A377)</f>
        <v>0</v>
      </c>
    </row>
    <row r="377" spans="1:4">
      <c r="A377" t="s">
        <v>4902</v>
      </c>
      <c r="B377" t="s">
        <v>4903</v>
      </c>
      <c r="C377">
        <v>1160</v>
      </c>
      <c r="D377">
        <f>SUMIFS(Horas!R:R,Horas!E:E,A378)</f>
        <v>0</v>
      </c>
    </row>
    <row r="378" spans="1:4">
      <c r="A378" t="s">
        <v>5580</v>
      </c>
      <c r="B378" t="s">
        <v>4903</v>
      </c>
      <c r="C378">
        <v>1247</v>
      </c>
      <c r="D378">
        <f>SUMIFS(Horas!R:R,Horas!E:E,A379)</f>
        <v>0</v>
      </c>
    </row>
    <row r="379" spans="1:4">
      <c r="A379" t="s">
        <v>6043</v>
      </c>
      <c r="B379" t="s">
        <v>4903</v>
      </c>
      <c r="C379">
        <v>1380</v>
      </c>
      <c r="D379">
        <f>SUMIFS(Horas!R:R,Horas!E:E,A380)</f>
        <v>0</v>
      </c>
    </row>
    <row r="380" spans="1:4">
      <c r="A380" t="s">
        <v>6550</v>
      </c>
      <c r="B380" t="s">
        <v>4903</v>
      </c>
      <c r="C380">
        <v>1498</v>
      </c>
      <c r="D380">
        <f>SUMIFS(Horas!R:R,Horas!E:E,A381)</f>
        <v>0</v>
      </c>
    </row>
    <row r="381" spans="1:4">
      <c r="A381" t="s">
        <v>7143</v>
      </c>
      <c r="B381" t="s">
        <v>4903</v>
      </c>
      <c r="C381">
        <v>1558</v>
      </c>
      <c r="D381">
        <f>SUMIFS(Horas!R:R,Horas!E:E,A382)</f>
        <v>0</v>
      </c>
    </row>
    <row r="382" spans="1:4">
      <c r="A382" t="s">
        <v>7406</v>
      </c>
      <c r="B382" t="s">
        <v>4903</v>
      </c>
      <c r="C382">
        <v>1659</v>
      </c>
      <c r="D382">
        <f>SUMIFS(Horas!R:R,Horas!E:E,A383)</f>
        <v>0</v>
      </c>
    </row>
    <row r="383" spans="1:4">
      <c r="A383" t="s">
        <v>3793</v>
      </c>
      <c r="B383" t="s">
        <v>3794</v>
      </c>
      <c r="C383">
        <v>985</v>
      </c>
      <c r="D383">
        <f>SUMIFS(Horas!R:R,Horas!E:E,A384)</f>
        <v>0</v>
      </c>
    </row>
    <row r="384" spans="1:4">
      <c r="A384" t="s">
        <v>5772</v>
      </c>
      <c r="B384" t="s">
        <v>5773</v>
      </c>
      <c r="C384">
        <v>1254</v>
      </c>
      <c r="D384">
        <f>SUMIFS(Horas!R:R,Horas!E:E,A385)</f>
        <v>0</v>
      </c>
    </row>
    <row r="385" spans="1:4">
      <c r="A385" t="s">
        <v>5774</v>
      </c>
      <c r="B385" t="s">
        <v>5775</v>
      </c>
      <c r="C385">
        <v>1260</v>
      </c>
      <c r="D385">
        <f>SUMIFS(Horas!R:R,Horas!E:E,A386)</f>
        <v>0</v>
      </c>
    </row>
    <row r="386" spans="1:4">
      <c r="A386" t="s">
        <v>3769</v>
      </c>
      <c r="B386" t="s">
        <v>3770</v>
      </c>
      <c r="C386">
        <v>972</v>
      </c>
      <c r="D386">
        <f>SUMIFS(Horas!R:R,Horas!E:E,A387)</f>
        <v>0</v>
      </c>
    </row>
    <row r="387" spans="1:4">
      <c r="A387" t="s">
        <v>3978</v>
      </c>
      <c r="B387" t="s">
        <v>3979</v>
      </c>
      <c r="C387">
        <v>1049</v>
      </c>
      <c r="D387">
        <f>SUMIFS(Horas!R:R,Horas!E:E,A388)</f>
        <v>0</v>
      </c>
    </row>
    <row r="388" spans="1:4">
      <c r="A388" t="s">
        <v>4875</v>
      </c>
      <c r="B388" t="s">
        <v>4876</v>
      </c>
      <c r="C388">
        <v>1137</v>
      </c>
      <c r="D388">
        <f>SUMIFS(Horas!R:R,Horas!E:E,A389)</f>
        <v>0</v>
      </c>
    </row>
    <row r="389" spans="1:4">
      <c r="A389" t="s">
        <v>5545</v>
      </c>
      <c r="B389" t="s">
        <v>5546</v>
      </c>
      <c r="C389">
        <v>1212</v>
      </c>
      <c r="D389">
        <f>SUMIFS(Horas!R:R,Horas!E:E,A390)</f>
        <v>0</v>
      </c>
    </row>
    <row r="390" spans="1:4">
      <c r="A390" t="s">
        <v>5909</v>
      </c>
      <c r="B390" t="s">
        <v>5910</v>
      </c>
      <c r="C390">
        <v>1351</v>
      </c>
      <c r="D390">
        <f>SUMIFS(Horas!R:R,Horas!E:E,A391)</f>
        <v>0</v>
      </c>
    </row>
    <row r="391" spans="1:4">
      <c r="A391" t="s">
        <v>6472</v>
      </c>
      <c r="B391" t="s">
        <v>6473</v>
      </c>
      <c r="C391">
        <v>1445</v>
      </c>
      <c r="D391">
        <f>SUMIFS(Horas!R:R,Horas!E:E,A392)</f>
        <v>0</v>
      </c>
    </row>
    <row r="392" spans="1:4">
      <c r="A392" t="s">
        <v>6768</v>
      </c>
      <c r="B392" t="s">
        <v>6769</v>
      </c>
      <c r="C392">
        <v>1539</v>
      </c>
      <c r="D392">
        <f>SUMIFS(Horas!R:R,Horas!E:E,A393)</f>
        <v>0</v>
      </c>
    </row>
    <row r="393" spans="1:4">
      <c r="A393" t="s">
        <v>7346</v>
      </c>
      <c r="B393" t="s">
        <v>7347</v>
      </c>
      <c r="C393">
        <v>1629</v>
      </c>
      <c r="D393">
        <f>SUMIFS(Horas!R:R,Horas!E:E,A394)</f>
        <v>0</v>
      </c>
    </row>
    <row r="394" spans="1:4">
      <c r="A394" t="s">
        <v>6032</v>
      </c>
      <c r="B394" t="s">
        <v>6033</v>
      </c>
      <c r="C394">
        <v>1372</v>
      </c>
      <c r="D394">
        <f>SUMIFS(Horas!R:R,Horas!E:E,A395)</f>
        <v>0</v>
      </c>
    </row>
    <row r="395" spans="1:4">
      <c r="A395" t="s">
        <v>6484</v>
      </c>
      <c r="B395" t="s">
        <v>6485</v>
      </c>
      <c r="C395">
        <v>1458</v>
      </c>
      <c r="D395">
        <f>SUMIFS(Horas!R:R,Horas!E:E,A396)</f>
        <v>0</v>
      </c>
    </row>
    <row r="396" spans="1:4">
      <c r="A396" t="s">
        <v>5776</v>
      </c>
      <c r="B396" t="s">
        <v>5777</v>
      </c>
      <c r="C396">
        <v>1261</v>
      </c>
      <c r="D396">
        <f>SUMIFS(Horas!R:R,Horas!E:E,A397)</f>
        <v>0</v>
      </c>
    </row>
    <row r="397" spans="1:4">
      <c r="A397" t="s">
        <v>6034</v>
      </c>
      <c r="B397" t="s">
        <v>6035</v>
      </c>
      <c r="C397">
        <v>1373</v>
      </c>
      <c r="D397">
        <f>SUMIFS(Horas!R:R,Horas!E:E,A398)</f>
        <v>0</v>
      </c>
    </row>
    <row r="398" spans="1:4">
      <c r="A398" t="s">
        <v>6486</v>
      </c>
      <c r="B398" t="s">
        <v>6487</v>
      </c>
      <c r="C398">
        <v>1459</v>
      </c>
      <c r="D398">
        <f>SUMIFS(Horas!R:R,Horas!E:E,A399)</f>
        <v>0</v>
      </c>
    </row>
    <row r="399" spans="1:4">
      <c r="A399" t="s">
        <v>5778</v>
      </c>
      <c r="B399" t="s">
        <v>5779</v>
      </c>
      <c r="C399">
        <v>1262</v>
      </c>
      <c r="D399">
        <f>SUMIFS(Horas!R:R,Horas!E:E,A400)</f>
        <v>0</v>
      </c>
    </row>
    <row r="400" spans="1:4">
      <c r="A400" t="s">
        <v>6488</v>
      </c>
      <c r="B400" t="s">
        <v>6489</v>
      </c>
      <c r="C400">
        <v>1461</v>
      </c>
      <c r="D400">
        <f>SUMIFS(Horas!R:R,Horas!E:E,A401)</f>
        <v>0</v>
      </c>
    </row>
    <row r="401" spans="1:4">
      <c r="A401" t="s">
        <v>5688</v>
      </c>
      <c r="B401" t="s">
        <v>5689</v>
      </c>
      <c r="C401">
        <v>1259</v>
      </c>
      <c r="D401">
        <f>SUMIFS(Horas!R:R,Horas!E:E,A402)</f>
        <v>0</v>
      </c>
    </row>
    <row r="402" spans="1:4">
      <c r="A402" t="s">
        <v>5886</v>
      </c>
      <c r="B402" t="s">
        <v>5689</v>
      </c>
      <c r="C402">
        <v>1337</v>
      </c>
      <c r="D402">
        <f>SUMIFS(Horas!R:R,Horas!E:E,A403)</f>
        <v>0</v>
      </c>
    </row>
    <row r="403" spans="1:4">
      <c r="A403" t="s">
        <v>6490</v>
      </c>
      <c r="B403" t="s">
        <v>6491</v>
      </c>
      <c r="C403">
        <v>1462</v>
      </c>
      <c r="D403">
        <f>SUMIFS(Horas!R:R,Horas!E:E,A404)</f>
        <v>0</v>
      </c>
    </row>
    <row r="404" spans="1:4">
      <c r="A404" t="s">
        <v>5780</v>
      </c>
      <c r="B404" t="s">
        <v>5781</v>
      </c>
      <c r="C404">
        <v>1263</v>
      </c>
      <c r="D404">
        <f>SUMIFS(Horas!R:R,Horas!E:E,A405)</f>
        <v>0</v>
      </c>
    </row>
    <row r="405" spans="1:4">
      <c r="A405" t="s">
        <v>5800</v>
      </c>
      <c r="B405" t="s">
        <v>5801</v>
      </c>
      <c r="C405">
        <v>1274</v>
      </c>
      <c r="D405">
        <f>SUMIFS(Horas!R:R,Horas!E:E,A406)</f>
        <v>0</v>
      </c>
    </row>
    <row r="406" spans="1:4">
      <c r="A406" t="s">
        <v>6448</v>
      </c>
      <c r="B406" t="s">
        <v>6449</v>
      </c>
      <c r="C406">
        <v>1424</v>
      </c>
      <c r="D406">
        <f>SUMIFS(Horas!R:R,Horas!E:E,A407)</f>
        <v>0</v>
      </c>
    </row>
    <row r="407" spans="1:4">
      <c r="A407" t="s">
        <v>5681</v>
      </c>
      <c r="B407" t="s">
        <v>5682</v>
      </c>
      <c r="C407">
        <v>1255</v>
      </c>
      <c r="D407">
        <f>SUMIFS(Horas!R:R,Horas!E:E,A408)</f>
        <v>0</v>
      </c>
    </row>
    <row r="408" spans="1:4">
      <c r="A408" t="s">
        <v>5796</v>
      </c>
      <c r="B408" t="s">
        <v>5797</v>
      </c>
      <c r="C408">
        <v>1271</v>
      </c>
      <c r="D408">
        <f>SUMIFS(Horas!R:R,Horas!E:E,A409)</f>
        <v>0</v>
      </c>
    </row>
    <row r="409" spans="1:4">
      <c r="A409" t="s">
        <v>5798</v>
      </c>
      <c r="B409" t="s">
        <v>5799</v>
      </c>
      <c r="C409">
        <v>1273</v>
      </c>
      <c r="D409">
        <f>SUMIFS(Horas!R:R,Horas!E:E,A410)</f>
        <v>0</v>
      </c>
    </row>
    <row r="410" spans="1:4">
      <c r="A410" t="s">
        <v>5782</v>
      </c>
      <c r="B410" t="s">
        <v>5783</v>
      </c>
      <c r="C410">
        <v>1264</v>
      </c>
      <c r="D410">
        <f>SUMIFS(Horas!R:R,Horas!E:E,A411)</f>
        <v>0</v>
      </c>
    </row>
    <row r="411" spans="1:4">
      <c r="A411" t="s">
        <v>7314</v>
      </c>
      <c r="B411" t="s">
        <v>7315</v>
      </c>
      <c r="C411">
        <v>1608</v>
      </c>
      <c r="D411">
        <f>SUMIFS(Horas!R:R,Horas!E:E,A412)</f>
        <v>0</v>
      </c>
    </row>
    <row r="412" spans="1:4">
      <c r="A412" t="s">
        <v>5784</v>
      </c>
      <c r="B412" t="s">
        <v>5785</v>
      </c>
      <c r="C412">
        <v>1265</v>
      </c>
      <c r="D412">
        <f>SUMIFS(Horas!R:R,Horas!E:E,A413)</f>
        <v>0</v>
      </c>
    </row>
    <row r="413" spans="1:4">
      <c r="A413" t="s">
        <v>5794</v>
      </c>
      <c r="B413" t="s">
        <v>5795</v>
      </c>
      <c r="C413">
        <v>1270</v>
      </c>
      <c r="D413">
        <f>SUMIFS(Horas!R:R,Horas!E:E,A414)</f>
        <v>0</v>
      </c>
    </row>
    <row r="414" spans="1:4">
      <c r="A414" t="s">
        <v>5792</v>
      </c>
      <c r="B414" t="s">
        <v>5793</v>
      </c>
      <c r="C414">
        <v>1269</v>
      </c>
      <c r="D414">
        <f>SUMIFS(Horas!R:R,Horas!E:E,A415)</f>
        <v>0</v>
      </c>
    </row>
    <row r="415" spans="1:4">
      <c r="A415" t="s">
        <v>5915</v>
      </c>
      <c r="B415" t="s">
        <v>5916</v>
      </c>
      <c r="C415">
        <v>1272</v>
      </c>
      <c r="D415">
        <f>SUMIFS(Horas!R:R,Horas!E:E,A416)</f>
        <v>0</v>
      </c>
    </row>
    <row r="416" spans="1:4">
      <c r="A416" t="s">
        <v>5529</v>
      </c>
      <c r="B416" t="s">
        <v>4909</v>
      </c>
      <c r="C416">
        <v>1166</v>
      </c>
      <c r="D416">
        <f>SUMIFS(Horas!R:R,Horas!E:E,A417)</f>
        <v>0</v>
      </c>
    </row>
    <row r="417" spans="1:4">
      <c r="A417" t="s">
        <v>5802</v>
      </c>
      <c r="B417" t="s">
        <v>5803</v>
      </c>
      <c r="C417">
        <v>1275</v>
      </c>
      <c r="D417">
        <f>SUMIFS(Horas!R:R,Horas!E:E,A418)</f>
        <v>0</v>
      </c>
    </row>
    <row r="418" spans="1:4">
      <c r="A418" t="s">
        <v>5786</v>
      </c>
      <c r="B418" t="s">
        <v>5787</v>
      </c>
      <c r="C418">
        <v>1266</v>
      </c>
      <c r="D418">
        <f>SUMIFS(Horas!R:R,Horas!E:E,A419)</f>
        <v>0</v>
      </c>
    </row>
    <row r="419" spans="1:4">
      <c r="A419" t="s">
        <v>5824</v>
      </c>
      <c r="B419" t="s">
        <v>5825</v>
      </c>
      <c r="C419">
        <v>1291</v>
      </c>
      <c r="D419">
        <f>SUMIFS(Horas!R:R,Horas!E:E,A420)</f>
        <v>0</v>
      </c>
    </row>
    <row r="420" spans="1:4">
      <c r="A420" t="s">
        <v>6030</v>
      </c>
      <c r="B420" t="s">
        <v>6031</v>
      </c>
      <c r="C420">
        <v>1371</v>
      </c>
      <c r="D420">
        <f>SUMIFS(Horas!R:R,Horas!E:E,A421)</f>
        <v>0</v>
      </c>
    </row>
    <row r="421" spans="1:4">
      <c r="A421" t="s">
        <v>5790</v>
      </c>
      <c r="B421" t="s">
        <v>5791</v>
      </c>
      <c r="C421">
        <v>1268</v>
      </c>
      <c r="D421">
        <f>SUMIFS(Horas!R:R,Horas!E:E,A422)</f>
        <v>0</v>
      </c>
    </row>
    <row r="422" spans="1:4">
      <c r="A422" t="s">
        <v>5788</v>
      </c>
      <c r="B422" t="s">
        <v>5789</v>
      </c>
      <c r="C422">
        <v>1267</v>
      </c>
      <c r="D422">
        <f>SUMIFS(Horas!R:R,Horas!E:E,A423)</f>
        <v>0</v>
      </c>
    </row>
    <row r="423" spans="1:4">
      <c r="A423" t="s">
        <v>6442</v>
      </c>
      <c r="B423" t="s">
        <v>5690</v>
      </c>
      <c r="C423">
        <v>1276</v>
      </c>
      <c r="D423">
        <f>SUMIFS(Horas!R:R,Horas!E:E,A424)</f>
        <v>0</v>
      </c>
    </row>
    <row r="424" spans="1:4">
      <c r="A424" t="s">
        <v>6483</v>
      </c>
      <c r="B424" t="s">
        <v>5690</v>
      </c>
      <c r="C424">
        <v>1456</v>
      </c>
      <c r="D424">
        <f>SUMIFS(Horas!R:R,Horas!E:E,A425)</f>
        <v>0</v>
      </c>
    </row>
    <row r="425" spans="1:4">
      <c r="A425" t="s">
        <v>3154</v>
      </c>
      <c r="B425" t="s">
        <v>3155</v>
      </c>
      <c r="C425">
        <v>631</v>
      </c>
      <c r="D425">
        <f>SUMIFS(Horas!R:R,Horas!E:E,A426)</f>
        <v>0</v>
      </c>
    </row>
    <row r="426" spans="1:4">
      <c r="A426" t="s">
        <v>7411</v>
      </c>
      <c r="B426" t="s">
        <v>7412</v>
      </c>
      <c r="C426">
        <v>1663</v>
      </c>
      <c r="D426">
        <f>SUMIFS(Horas!R:R,Horas!E:E,A427)</f>
        <v>0</v>
      </c>
    </row>
    <row r="427" spans="1:4">
      <c r="A427" t="s">
        <v>3976</v>
      </c>
      <c r="B427" t="s">
        <v>3977</v>
      </c>
      <c r="C427">
        <v>1048</v>
      </c>
      <c r="D427">
        <f>SUMIFS(Horas!R:R,Horas!E:E,A428)</f>
        <v>0</v>
      </c>
    </row>
    <row r="428" spans="1:4">
      <c r="A428" t="s">
        <v>4860</v>
      </c>
      <c r="B428" t="s">
        <v>4861</v>
      </c>
      <c r="C428">
        <v>1129</v>
      </c>
      <c r="D428">
        <f>SUMIFS(Horas!R:R,Horas!E:E,A429)</f>
        <v>0</v>
      </c>
    </row>
    <row r="429" spans="1:4">
      <c r="A429" t="s">
        <v>5479</v>
      </c>
      <c r="B429" t="s">
        <v>5480</v>
      </c>
      <c r="C429">
        <v>1221</v>
      </c>
      <c r="D429">
        <f>SUMIFS(Horas!R:R,Horas!E:E,A430)</f>
        <v>0</v>
      </c>
    </row>
    <row r="430" spans="1:4">
      <c r="A430" t="s">
        <v>5880</v>
      </c>
      <c r="B430" t="s">
        <v>5881</v>
      </c>
      <c r="C430">
        <v>1334</v>
      </c>
      <c r="D430">
        <f>SUMIFS(Horas!R:R,Horas!E:E,A431)</f>
        <v>0</v>
      </c>
    </row>
    <row r="431" spans="1:4">
      <c r="A431" t="s">
        <v>6481</v>
      </c>
      <c r="B431" t="s">
        <v>6482</v>
      </c>
      <c r="C431">
        <v>1452</v>
      </c>
      <c r="D431">
        <f>SUMIFS(Horas!R:R,Horas!E:E,A432)</f>
        <v>0</v>
      </c>
    </row>
    <row r="432" spans="1:4">
      <c r="A432" t="s">
        <v>6770</v>
      </c>
      <c r="B432" t="s">
        <v>6771</v>
      </c>
      <c r="C432">
        <v>1540</v>
      </c>
      <c r="D432">
        <f>SUMIFS(Horas!R:R,Horas!E:E,A433)</f>
        <v>0</v>
      </c>
    </row>
    <row r="433" spans="1:4">
      <c r="A433" t="s">
        <v>7364</v>
      </c>
      <c r="B433" t="s">
        <v>7365</v>
      </c>
      <c r="C433">
        <v>1638</v>
      </c>
      <c r="D433">
        <f>SUMIFS(Horas!R:R,Horas!E:E,A434)</f>
        <v>0</v>
      </c>
    </row>
    <row r="434" spans="1:4">
      <c r="A434" t="s">
        <v>3782</v>
      </c>
      <c r="B434" t="s">
        <v>3783</v>
      </c>
      <c r="C434">
        <v>979</v>
      </c>
      <c r="D434">
        <f>SUMIFS(Horas!R:R,Horas!E:E,A435)</f>
        <v>0</v>
      </c>
    </row>
    <row r="435" spans="1:4">
      <c r="A435" t="s">
        <v>4891</v>
      </c>
      <c r="B435" t="s">
        <v>4892</v>
      </c>
      <c r="C435">
        <v>1153</v>
      </c>
      <c r="D435">
        <f>SUMIFS(Horas!R:R,Horas!E:E,A436)</f>
        <v>0</v>
      </c>
    </row>
    <row r="436" spans="1:4">
      <c r="A436" t="s">
        <v>5560</v>
      </c>
      <c r="B436" t="s">
        <v>4892</v>
      </c>
      <c r="C436">
        <v>1227</v>
      </c>
      <c r="D436">
        <f>SUMIFS(Horas!R:R,Horas!E:E,A437)</f>
        <v>0</v>
      </c>
    </row>
    <row r="437" spans="1:4">
      <c r="A437" t="s">
        <v>6088</v>
      </c>
      <c r="B437" t="s">
        <v>6089</v>
      </c>
      <c r="C437">
        <v>1409</v>
      </c>
      <c r="D437">
        <f>SUMIFS(Horas!R:R,Horas!E:E,A438)</f>
        <v>0</v>
      </c>
    </row>
    <row r="438" spans="1:4">
      <c r="A438" t="s">
        <v>3281</v>
      </c>
      <c r="B438" t="s">
        <v>3282</v>
      </c>
      <c r="C438">
        <v>703</v>
      </c>
      <c r="D438">
        <f>SUMIFS(Horas!R:R,Horas!E:E,A439)</f>
        <v>0</v>
      </c>
    </row>
    <row r="439" spans="1:4">
      <c r="A439" t="s">
        <v>4067</v>
      </c>
      <c r="B439" t="s">
        <v>4068</v>
      </c>
      <c r="C439">
        <v>1052</v>
      </c>
      <c r="D439">
        <f>SUMIFS(Horas!R:R,Horas!E:E,A440)</f>
        <v>0</v>
      </c>
    </row>
    <row r="440" spans="1:4">
      <c r="A440" t="s">
        <v>4867</v>
      </c>
      <c r="B440" t="s">
        <v>4868</v>
      </c>
      <c r="C440">
        <v>1133</v>
      </c>
      <c r="D440">
        <f>SUMIFS(Horas!R:R,Horas!E:E,A441)</f>
        <v>0</v>
      </c>
    </row>
    <row r="441" spans="1:4">
      <c r="A441" t="s">
        <v>5547</v>
      </c>
      <c r="B441" t="s">
        <v>5548</v>
      </c>
      <c r="C441">
        <v>1213</v>
      </c>
      <c r="D441">
        <f>SUMIFS(Horas!R:R,Horas!E:E,A442)</f>
        <v>0</v>
      </c>
    </row>
    <row r="442" spans="1:4">
      <c r="A442" t="s">
        <v>5893</v>
      </c>
      <c r="B442" t="s">
        <v>5894</v>
      </c>
      <c r="C442">
        <v>1341</v>
      </c>
      <c r="D442">
        <f>SUMIFS(Horas!R:R,Horas!E:E,A443)</f>
        <v>0</v>
      </c>
    </row>
    <row r="443" spans="1:4">
      <c r="A443" t="s">
        <v>6474</v>
      </c>
      <c r="B443" t="s">
        <v>6475</v>
      </c>
      <c r="C443">
        <v>1446</v>
      </c>
      <c r="D443">
        <f>SUMIFS(Horas!R:R,Horas!E:E,A444)</f>
        <v>0</v>
      </c>
    </row>
    <row r="444" spans="1:4">
      <c r="A444" t="s">
        <v>4065</v>
      </c>
      <c r="B444" t="s">
        <v>4066</v>
      </c>
      <c r="C444">
        <v>1051</v>
      </c>
      <c r="D444">
        <f>SUMIFS(Horas!R:R,Horas!E:E,A445)</f>
        <v>0</v>
      </c>
    </row>
    <row r="445" spans="1:4">
      <c r="A445" t="s">
        <v>6748</v>
      </c>
      <c r="B445" t="s">
        <v>6749</v>
      </c>
      <c r="C445">
        <v>1448</v>
      </c>
      <c r="D445">
        <f>SUMIFS(Horas!R:R,Horas!E:E,A446)</f>
        <v>0</v>
      </c>
    </row>
    <row r="446" spans="1:4">
      <c r="A446" t="s">
        <v>4869</v>
      </c>
      <c r="B446" t="s">
        <v>4870</v>
      </c>
      <c r="C446">
        <v>1134</v>
      </c>
      <c r="D446">
        <f>SUMIFS(Horas!R:R,Horas!E:E,A447)</f>
        <v>0</v>
      </c>
    </row>
    <row r="447" spans="1:4">
      <c r="A447" t="s">
        <v>5561</v>
      </c>
      <c r="B447" t="s">
        <v>5562</v>
      </c>
      <c r="C447">
        <v>1228</v>
      </c>
      <c r="D447">
        <f>SUMIFS(Horas!R:R,Horas!E:E,A448)</f>
        <v>0</v>
      </c>
    </row>
    <row r="448" spans="1:4">
      <c r="A448" t="s">
        <v>5889</v>
      </c>
      <c r="B448" t="s">
        <v>5890</v>
      </c>
      <c r="C448">
        <v>1339</v>
      </c>
      <c r="D448">
        <f>SUMIFS(Horas!R:R,Horas!E:E,A449)</f>
        <v>0</v>
      </c>
    </row>
    <row r="449" spans="1:4">
      <c r="A449" t="s">
        <v>6772</v>
      </c>
      <c r="B449" t="s">
        <v>6773</v>
      </c>
      <c r="C449">
        <v>1541</v>
      </c>
      <c r="D449">
        <f>SUMIFS(Horas!R:R,Horas!E:E,A450)</f>
        <v>0</v>
      </c>
    </row>
    <row r="450" spans="1:4">
      <c r="A450" t="s">
        <v>7344</v>
      </c>
      <c r="B450" t="s">
        <v>7345</v>
      </c>
      <c r="C450">
        <v>1628</v>
      </c>
      <c r="D450">
        <f>SUMIFS(Horas!R:R,Horas!E:E,A451)</f>
        <v>0</v>
      </c>
    </row>
    <row r="451" spans="1:4">
      <c r="A451" t="s">
        <v>3832</v>
      </c>
      <c r="B451" t="s">
        <v>3833</v>
      </c>
      <c r="C451">
        <v>1013</v>
      </c>
      <c r="D451">
        <f>SUMIFS(Horas!R:R,Horas!E:E,A452)</f>
        <v>0</v>
      </c>
    </row>
    <row r="452" spans="1:4">
      <c r="A452" t="s">
        <v>2799</v>
      </c>
      <c r="B452" t="s">
        <v>2800</v>
      </c>
      <c r="C452">
        <v>436</v>
      </c>
      <c r="D452">
        <f>SUMIFS(Horas!R:R,Horas!E:E,A453)</f>
        <v>0</v>
      </c>
    </row>
    <row r="453" spans="1:4">
      <c r="A453" t="s">
        <v>7348</v>
      </c>
      <c r="B453" t="s">
        <v>7349</v>
      </c>
      <c r="C453">
        <v>1630</v>
      </c>
      <c r="D453">
        <f>SUMIFS(Horas!R:R,Horas!E:E,A454)</f>
        <v>0</v>
      </c>
    </row>
    <row r="454" spans="1:4">
      <c r="A454" t="s">
        <v>3725</v>
      </c>
      <c r="B454" t="s">
        <v>3726</v>
      </c>
      <c r="C454">
        <v>947</v>
      </c>
      <c r="D454">
        <f>SUMIFS(Horas!R:R,Horas!E:E,A455)</f>
        <v>0</v>
      </c>
    </row>
    <row r="455" spans="1:4">
      <c r="A455" t="s">
        <v>6759</v>
      </c>
      <c r="B455" t="s">
        <v>6760</v>
      </c>
      <c r="C455">
        <v>1532</v>
      </c>
      <c r="D455">
        <f>SUMIFS(Horas!R:R,Horas!E:E,A456)</f>
        <v>0</v>
      </c>
    </row>
    <row r="456" spans="1:4">
      <c r="A456" t="s">
        <v>7342</v>
      </c>
      <c r="B456" t="s">
        <v>7343</v>
      </c>
      <c r="C456">
        <v>1627</v>
      </c>
      <c r="D456">
        <f>SUMIFS(Horas!R:R,Horas!E:E,A457)</f>
        <v>0</v>
      </c>
    </row>
    <row r="457" spans="1:4">
      <c r="A457" t="s">
        <v>5351</v>
      </c>
      <c r="B457" t="s">
        <v>5352</v>
      </c>
      <c r="C457">
        <v>1187</v>
      </c>
      <c r="D457">
        <f>SUMIFS(Horas!R:R,Horas!E:E,A458)</f>
        <v>0</v>
      </c>
    </row>
    <row r="458" spans="1:4">
      <c r="A458" t="s">
        <v>5570</v>
      </c>
      <c r="B458" t="s">
        <v>5768</v>
      </c>
      <c r="C458">
        <v>1235</v>
      </c>
      <c r="D458">
        <f>SUMIFS(Horas!R:R,Horas!E:E,A459)</f>
        <v>0</v>
      </c>
    </row>
    <row r="459" spans="1:4">
      <c r="A459" t="s">
        <v>5808</v>
      </c>
      <c r="B459" t="s">
        <v>5809</v>
      </c>
      <c r="C459">
        <v>1282</v>
      </c>
      <c r="D459">
        <f>SUMIFS(Horas!R:R,Horas!E:E,A460)</f>
        <v>0</v>
      </c>
    </row>
    <row r="460" spans="1:4">
      <c r="A460" t="s">
        <v>5921</v>
      </c>
      <c r="B460" t="s">
        <v>5922</v>
      </c>
      <c r="C460">
        <v>1357</v>
      </c>
      <c r="D460">
        <f>SUMIFS(Horas!R:R,Horas!E:E,A461)</f>
        <v>0</v>
      </c>
    </row>
    <row r="461" spans="1:4">
      <c r="A461" t="s">
        <v>7129</v>
      </c>
      <c r="B461" t="s">
        <v>7130</v>
      </c>
      <c r="C461">
        <v>1485</v>
      </c>
      <c r="D461">
        <f>SUMIFS(Horas!R:R,Horas!E:E,A462)</f>
        <v>0</v>
      </c>
    </row>
    <row r="462" spans="1:4">
      <c r="A462" t="s">
        <v>7409</v>
      </c>
      <c r="B462" t="s">
        <v>7410</v>
      </c>
      <c r="C462">
        <v>1662</v>
      </c>
      <c r="D462">
        <f>SUMIFS(Horas!R:R,Horas!E:E,A463)</f>
        <v>0</v>
      </c>
    </row>
    <row r="463" spans="1:4">
      <c r="A463" t="s">
        <v>3655</v>
      </c>
      <c r="B463" t="s">
        <v>3656</v>
      </c>
      <c r="C463">
        <v>906</v>
      </c>
      <c r="D463">
        <f>SUMIFS(Horas!R:R,Horas!E:E,A464)</f>
        <v>0</v>
      </c>
    </row>
    <row r="464" spans="1:4">
      <c r="A464" t="s">
        <v>3972</v>
      </c>
      <c r="B464" t="s">
        <v>3973</v>
      </c>
      <c r="C464">
        <v>1046</v>
      </c>
      <c r="D464">
        <f>SUMIFS(Horas!R:R,Horas!E:E,A465)</f>
        <v>0</v>
      </c>
    </row>
    <row r="465" spans="1:4">
      <c r="A465" t="s">
        <v>4884</v>
      </c>
      <c r="B465" t="s">
        <v>5524</v>
      </c>
      <c r="C465">
        <v>1144</v>
      </c>
      <c r="D465">
        <f>SUMIFS(Horas!R:R,Horas!E:E,A466)</f>
        <v>0</v>
      </c>
    </row>
    <row r="466" spans="1:4">
      <c r="A466" t="s">
        <v>5897</v>
      </c>
      <c r="B466" t="s">
        <v>5898</v>
      </c>
      <c r="C466">
        <v>1343</v>
      </c>
      <c r="D466">
        <f>SUMIFS(Horas!R:R,Horas!E:E,A467)</f>
        <v>0</v>
      </c>
    </row>
    <row r="467" spans="1:4">
      <c r="A467" t="s">
        <v>6476</v>
      </c>
      <c r="B467" t="s">
        <v>6477</v>
      </c>
      <c r="C467">
        <v>1449</v>
      </c>
      <c r="D467">
        <f>SUMIFS(Horas!R:R,Horas!E:E,A468)</f>
        <v>0</v>
      </c>
    </row>
    <row r="468" spans="1:4">
      <c r="A468" t="s">
        <v>2605</v>
      </c>
      <c r="B468" t="s">
        <v>2606</v>
      </c>
      <c r="C468">
        <v>320</v>
      </c>
      <c r="D468">
        <f>SUMIFS(Horas!R:R,Horas!E:E,A469)</f>
        <v>0</v>
      </c>
    </row>
    <row r="469" spans="1:4">
      <c r="A469" t="s">
        <v>5814</v>
      </c>
      <c r="B469" t="s">
        <v>5815</v>
      </c>
      <c r="C469">
        <v>1285</v>
      </c>
      <c r="D469">
        <f>SUMIFS(Horas!R:R,Horas!E:E,A470)</f>
        <v>0</v>
      </c>
    </row>
    <row r="470" spans="1:4">
      <c r="A470" t="s">
        <v>5919</v>
      </c>
      <c r="B470" t="s">
        <v>5920</v>
      </c>
      <c r="C470">
        <v>1356</v>
      </c>
      <c r="D470">
        <f>SUMIFS(Horas!R:R,Horas!E:E,A471)</f>
        <v>0</v>
      </c>
    </row>
    <row r="471" spans="1:4">
      <c r="A471" t="s">
        <v>6543</v>
      </c>
      <c r="B471" t="s">
        <v>6544</v>
      </c>
      <c r="C471">
        <v>1493</v>
      </c>
      <c r="D471">
        <f>SUMIFS(Horas!R:R,Horas!E:E,A472)</f>
        <v>0</v>
      </c>
    </row>
    <row r="472" spans="1:4">
      <c r="A472" t="s">
        <v>7138</v>
      </c>
      <c r="B472" t="s">
        <v>7139</v>
      </c>
      <c r="C472">
        <v>1553</v>
      </c>
      <c r="D472">
        <f>SUMIFS(Horas!R:R,Horas!E:E,A473)</f>
        <v>0</v>
      </c>
    </row>
    <row r="473" spans="1:4">
      <c r="A473" t="s">
        <v>5379</v>
      </c>
      <c r="B473" t="s">
        <v>5380</v>
      </c>
      <c r="C473">
        <v>1201</v>
      </c>
      <c r="D473">
        <f>SUMIFS(Horas!R:R,Horas!E:E,A474)</f>
        <v>0</v>
      </c>
    </row>
    <row r="474" spans="1:4">
      <c r="A474" t="s">
        <v>3678</v>
      </c>
      <c r="B474" t="s">
        <v>3937</v>
      </c>
      <c r="C474">
        <v>921</v>
      </c>
      <c r="D474">
        <f>SUMIFS(Horas!R:R,Horas!E:E,A475)</f>
        <v>0</v>
      </c>
    </row>
    <row r="475" spans="1:4">
      <c r="A475" t="s">
        <v>3622</v>
      </c>
      <c r="B475" t="s">
        <v>3623</v>
      </c>
      <c r="C475">
        <v>887</v>
      </c>
      <c r="D475">
        <f>SUMIFS(Horas!R:R,Horas!E:E,A476)</f>
        <v>0</v>
      </c>
    </row>
    <row r="476" spans="1:4">
      <c r="A476" t="s">
        <v>3842</v>
      </c>
      <c r="B476" t="s">
        <v>3843</v>
      </c>
      <c r="C476">
        <v>1018</v>
      </c>
      <c r="D476">
        <f>SUMIFS(Horas!R:R,Horas!E:E,A477)</f>
        <v>0</v>
      </c>
    </row>
    <row r="477" spans="1:4">
      <c r="A477" t="s">
        <v>6443</v>
      </c>
      <c r="B477" t="s">
        <v>5692</v>
      </c>
      <c r="C477">
        <v>1280</v>
      </c>
      <c r="D477">
        <f>SUMIFS(Horas!R:R,Horas!E:E,A478)</f>
        <v>0</v>
      </c>
    </row>
    <row r="478" spans="1:4">
      <c r="A478" t="s">
        <v>6458</v>
      </c>
      <c r="B478" t="s">
        <v>6459</v>
      </c>
      <c r="C478">
        <v>1433</v>
      </c>
      <c r="D478">
        <f>SUMIFS(Horas!R:R,Horas!E:E,A479)</f>
        <v>0</v>
      </c>
    </row>
    <row r="479" spans="1:4">
      <c r="A479" t="s">
        <v>2504</v>
      </c>
      <c r="B479" t="s">
        <v>2505</v>
      </c>
      <c r="C479">
        <v>265</v>
      </c>
      <c r="D479">
        <f>SUMIFS(Horas!R:R,Horas!E:E,A480)</f>
        <v>0</v>
      </c>
    </row>
    <row r="480" spans="1:4">
      <c r="A480" t="s">
        <v>2343</v>
      </c>
      <c r="B480" t="s">
        <v>5763</v>
      </c>
      <c r="C480">
        <v>193</v>
      </c>
      <c r="D480">
        <f>SUMIFS(Horas!R:R,Horas!E:E,A481)</f>
        <v>0</v>
      </c>
    </row>
    <row r="481" spans="1:4">
      <c r="A481" t="s">
        <v>6288</v>
      </c>
      <c r="B481" t="s">
        <v>6289</v>
      </c>
      <c r="C481">
        <v>1404</v>
      </c>
      <c r="D481">
        <f>SUMIFS(Horas!R:R,Horas!E:E,A482)</f>
        <v>0</v>
      </c>
    </row>
    <row r="482" spans="1:4">
      <c r="A482" t="s">
        <v>6286</v>
      </c>
      <c r="B482" t="s">
        <v>6287</v>
      </c>
      <c r="C482">
        <v>1403</v>
      </c>
      <c r="D482">
        <f>SUMIFS(Horas!R:R,Horas!E:E,A483)</f>
        <v>0</v>
      </c>
    </row>
    <row r="483" spans="1:4">
      <c r="A483" t="s">
        <v>6280</v>
      </c>
      <c r="B483" t="s">
        <v>6281</v>
      </c>
      <c r="C483">
        <v>179</v>
      </c>
      <c r="D483">
        <f>SUMIFS(Horas!R:R,Horas!E:E,A484)</f>
        <v>0</v>
      </c>
    </row>
    <row r="484" spans="1:4">
      <c r="A484" t="s">
        <v>6282</v>
      </c>
      <c r="B484" t="s">
        <v>6283</v>
      </c>
      <c r="C484">
        <v>1401</v>
      </c>
      <c r="D484">
        <f>SUMIFS(Horas!R:R,Horas!E:E,A485)</f>
        <v>0</v>
      </c>
    </row>
    <row r="485" spans="1:4">
      <c r="A485" t="s">
        <v>6284</v>
      </c>
      <c r="B485" t="s">
        <v>6285</v>
      </c>
      <c r="C485">
        <v>1402</v>
      </c>
      <c r="D485">
        <f>SUMIFS(Horas!R:R,Horas!E:E,A486)</f>
        <v>0</v>
      </c>
    </row>
    <row r="486" spans="1:4">
      <c r="A486" t="s">
        <v>6278</v>
      </c>
      <c r="B486" t="s">
        <v>6279</v>
      </c>
      <c r="C486">
        <v>1400</v>
      </c>
      <c r="D486">
        <f>SUMIFS(Horas!R:R,Horas!E:E,A487)</f>
        <v>0</v>
      </c>
    </row>
    <row r="487" spans="1:4">
      <c r="A487" t="s">
        <v>2458</v>
      </c>
      <c r="B487" t="s">
        <v>2459</v>
      </c>
      <c r="C487">
        <v>235</v>
      </c>
      <c r="D487">
        <f>SUMIFS(Horas!R:R,Horas!E:E,A488)</f>
        <v>0</v>
      </c>
    </row>
    <row r="488" spans="1:4">
      <c r="A488" t="s">
        <v>2687</v>
      </c>
      <c r="B488" t="s">
        <v>2688</v>
      </c>
      <c r="C488">
        <v>363</v>
      </c>
      <c r="D488">
        <f>SUMIFS(Horas!R:R,Horas!E:E,A489)</f>
        <v>0</v>
      </c>
    </row>
    <row r="489" spans="1:4">
      <c r="A489" t="s">
        <v>2500</v>
      </c>
      <c r="B489" t="s">
        <v>2501</v>
      </c>
      <c r="C489">
        <v>263</v>
      </c>
      <c r="D489">
        <f>SUMIFS(Horas!R:R,Horas!E:E,A490)</f>
        <v>0</v>
      </c>
    </row>
    <row r="490" spans="1:4">
      <c r="A490" t="s">
        <v>2486</v>
      </c>
      <c r="B490" t="s">
        <v>2487</v>
      </c>
      <c r="C490">
        <v>252</v>
      </c>
      <c r="D490">
        <f>SUMIFS(Horas!R:R,Horas!E:E,A491)</f>
        <v>0</v>
      </c>
    </row>
    <row r="491" spans="1:4">
      <c r="A491" t="s">
        <v>4769</v>
      </c>
      <c r="B491" t="s">
        <v>4770</v>
      </c>
      <c r="C491">
        <v>1073</v>
      </c>
      <c r="D491">
        <f>SUMIFS(Horas!R:R,Horas!E:E,A492)</f>
        <v>0</v>
      </c>
    </row>
    <row r="492" spans="1:4">
      <c r="A492" t="s">
        <v>2502</v>
      </c>
      <c r="B492" t="s">
        <v>2503</v>
      </c>
      <c r="C492">
        <v>264</v>
      </c>
      <c r="D492">
        <f>SUMIFS(Horas!R:R,Horas!E:E,A493)</f>
        <v>0</v>
      </c>
    </row>
    <row r="493" spans="1:4">
      <c r="A493" t="s">
        <v>2494</v>
      </c>
      <c r="B493" t="s">
        <v>2495</v>
      </c>
      <c r="C493">
        <v>260</v>
      </c>
      <c r="D493">
        <f>SUMIFS(Horas!R:R,Horas!E:E,A494)</f>
        <v>0</v>
      </c>
    </row>
    <row r="494" spans="1:4">
      <c r="A494" t="s">
        <v>2526</v>
      </c>
      <c r="B494" t="s">
        <v>2527</v>
      </c>
      <c r="C494">
        <v>276</v>
      </c>
      <c r="D494">
        <f>SUMIFS(Horas!R:R,Horas!E:E,A495)</f>
        <v>0</v>
      </c>
    </row>
    <row r="495" spans="1:4">
      <c r="A495" t="s">
        <v>3778</v>
      </c>
      <c r="B495" t="s">
        <v>3779</v>
      </c>
      <c r="C495">
        <v>977</v>
      </c>
      <c r="D495">
        <f>SUMIFS(Horas!R:R,Horas!E:E,A496)</f>
        <v>0</v>
      </c>
    </row>
    <row r="496" spans="1:4">
      <c r="A496" t="s">
        <v>5901</v>
      </c>
      <c r="B496" t="s">
        <v>5902</v>
      </c>
      <c r="C496">
        <v>1345</v>
      </c>
      <c r="D496">
        <f>SUMIFS(Horas!R:R,Horas!E:E,A497)</f>
        <v>0</v>
      </c>
    </row>
    <row r="497" spans="1:4">
      <c r="A497" t="s">
        <v>6548</v>
      </c>
      <c r="B497" t="s">
        <v>6549</v>
      </c>
      <c r="C497">
        <v>1497</v>
      </c>
      <c r="D497">
        <f>SUMIFS(Horas!R:R,Horas!E:E,A498)</f>
        <v>0</v>
      </c>
    </row>
    <row r="498" spans="1:4">
      <c r="A498" t="s">
        <v>2603</v>
      </c>
      <c r="B498" t="s">
        <v>2604</v>
      </c>
      <c r="C498">
        <v>319</v>
      </c>
      <c r="D498">
        <f>SUMIFS(Horas!R:R,Horas!E:E,A499)</f>
        <v>0</v>
      </c>
    </row>
    <row r="499" spans="1:4">
      <c r="A499" t="s">
        <v>5334</v>
      </c>
      <c r="B499" t="s">
        <v>5335</v>
      </c>
      <c r="C499">
        <v>1179</v>
      </c>
      <c r="D499">
        <f>SUMIFS(Horas!R:R,Horas!E:E,A500)</f>
        <v>0</v>
      </c>
    </row>
    <row r="500" spans="1:4">
      <c r="A500" t="s">
        <v>5336</v>
      </c>
      <c r="B500" t="s">
        <v>5337</v>
      </c>
      <c r="C500">
        <v>1180</v>
      </c>
      <c r="D500">
        <f>SUMIFS(Horas!R:R,Horas!E:E,A501)</f>
        <v>0</v>
      </c>
    </row>
    <row r="501" spans="1:4">
      <c r="A501" t="s">
        <v>6305</v>
      </c>
      <c r="B501" t="s">
        <v>6306</v>
      </c>
      <c r="C501">
        <v>1416</v>
      </c>
      <c r="D501">
        <f>SUMIFS(Horas!R:R,Horas!E:E,A502)</f>
        <v>0</v>
      </c>
    </row>
    <row r="502" spans="1:4">
      <c r="A502" t="s">
        <v>6273</v>
      </c>
      <c r="B502" t="s">
        <v>6274</v>
      </c>
      <c r="C502">
        <v>258</v>
      </c>
      <c r="D502">
        <f>SUMIFS(Horas!R:R,Horas!E:E,A503)</f>
        <v>0</v>
      </c>
    </row>
    <row r="503" spans="1:4">
      <c r="A503" t="s">
        <v>2740</v>
      </c>
      <c r="B503" t="s">
        <v>2741</v>
      </c>
      <c r="C503">
        <v>376</v>
      </c>
      <c r="D503">
        <f>SUMIFS(Horas!R:R,Horas!E:E,A504)</f>
        <v>0</v>
      </c>
    </row>
    <row r="504" spans="1:4">
      <c r="A504" t="s">
        <v>2707</v>
      </c>
      <c r="B504" t="s">
        <v>5300</v>
      </c>
      <c r="C504">
        <v>373</v>
      </c>
      <c r="D504">
        <f>SUMIFS(Horas!R:R,Horas!E:E,A505)</f>
        <v>0</v>
      </c>
    </row>
    <row r="505" spans="1:4">
      <c r="A505" t="s">
        <v>2705</v>
      </c>
      <c r="B505" t="s">
        <v>2706</v>
      </c>
      <c r="C505">
        <v>372</v>
      </c>
      <c r="D505">
        <f>SUMIFS(Horas!R:R,Horas!E:E,A506)</f>
        <v>0</v>
      </c>
    </row>
    <row r="506" spans="1:4">
      <c r="A506" t="s">
        <v>2703</v>
      </c>
      <c r="B506" t="s">
        <v>2704</v>
      </c>
      <c r="C506">
        <v>371</v>
      </c>
      <c r="D506">
        <f>SUMIFS(Horas!R:R,Horas!E:E,A507)</f>
        <v>0</v>
      </c>
    </row>
    <row r="507" spans="1:4">
      <c r="A507" t="s">
        <v>4785</v>
      </c>
      <c r="B507" t="s">
        <v>4786</v>
      </c>
      <c r="C507">
        <v>1081</v>
      </c>
      <c r="D507">
        <f>SUMIFS(Horas!R:R,Horas!E:E,A508)</f>
        <v>0</v>
      </c>
    </row>
    <row r="508" spans="1:4">
      <c r="A508" t="s">
        <v>2699</v>
      </c>
      <c r="B508" t="s">
        <v>2700</v>
      </c>
      <c r="C508">
        <v>369</v>
      </c>
      <c r="D508">
        <f>SUMIFS(Horas!R:R,Horas!E:E,A509)</f>
        <v>0</v>
      </c>
    </row>
    <row r="509" spans="1:4">
      <c r="A509" t="s">
        <v>3950</v>
      </c>
      <c r="B509" t="s">
        <v>3951</v>
      </c>
      <c r="C509">
        <v>1033</v>
      </c>
      <c r="D509">
        <f>SUMIFS(Horas!R:R,Horas!E:E,A510)</f>
        <v>0</v>
      </c>
    </row>
    <row r="510" spans="1:4">
      <c r="A510" t="s">
        <v>6460</v>
      </c>
      <c r="B510" t="s">
        <v>6461</v>
      </c>
      <c r="C510">
        <v>1435</v>
      </c>
      <c r="D510">
        <f>SUMIFS(Horas!R:R,Horas!E:E,A511)</f>
        <v>0</v>
      </c>
    </row>
    <row r="511" spans="1:4">
      <c r="A511" t="s">
        <v>6774</v>
      </c>
      <c r="B511" t="s">
        <v>6775</v>
      </c>
      <c r="C511">
        <v>1544</v>
      </c>
      <c r="D511">
        <f>SUMIFS(Horas!R:R,Horas!E:E,A512)</f>
        <v>0</v>
      </c>
    </row>
    <row r="512" spans="1:4">
      <c r="A512" t="s">
        <v>5310</v>
      </c>
      <c r="B512" t="s">
        <v>5311</v>
      </c>
      <c r="C512">
        <v>407</v>
      </c>
      <c r="D512">
        <f>SUMIFS(Horas!R:R,Horas!E:E,A513)</f>
        <v>0</v>
      </c>
    </row>
    <row r="513" spans="1:4">
      <c r="A513" t="s">
        <v>5301</v>
      </c>
      <c r="B513" t="s">
        <v>5302</v>
      </c>
      <c r="C513">
        <v>394</v>
      </c>
      <c r="D513">
        <f>SUMIFS(Horas!R:R,Horas!E:E,A514)</f>
        <v>0</v>
      </c>
    </row>
    <row r="514" spans="1:4">
      <c r="A514" t="s">
        <v>5303</v>
      </c>
      <c r="B514" t="s">
        <v>5304</v>
      </c>
      <c r="C514">
        <v>395</v>
      </c>
      <c r="D514">
        <f>SUMIFS(Horas!R:R,Horas!E:E,A515)</f>
        <v>0</v>
      </c>
    </row>
    <row r="515" spans="1:4">
      <c r="A515" t="s">
        <v>5305</v>
      </c>
      <c r="B515" t="s">
        <v>2742</v>
      </c>
      <c r="C515">
        <v>397</v>
      </c>
      <c r="D515">
        <f>SUMIFS(Horas!R:R,Horas!E:E,A516)</f>
        <v>0</v>
      </c>
    </row>
    <row r="516" spans="1:4">
      <c r="A516" t="s">
        <v>5306</v>
      </c>
      <c r="B516" t="s">
        <v>5307</v>
      </c>
      <c r="C516">
        <v>398</v>
      </c>
      <c r="D516">
        <f>SUMIFS(Horas!R:R,Horas!E:E,A517)</f>
        <v>0</v>
      </c>
    </row>
    <row r="517" spans="1:4">
      <c r="A517" t="s">
        <v>5308</v>
      </c>
      <c r="B517" t="s">
        <v>5309</v>
      </c>
      <c r="C517">
        <v>400</v>
      </c>
      <c r="D517">
        <f>SUMIFS(Horas!R:R,Horas!E:E,A518)</f>
        <v>0</v>
      </c>
    </row>
    <row r="518" spans="1:4">
      <c r="A518" t="s">
        <v>5349</v>
      </c>
      <c r="B518" t="s">
        <v>5350</v>
      </c>
      <c r="C518">
        <v>401</v>
      </c>
      <c r="D518">
        <f>SUMIFS(Horas!R:R,Horas!E:E,A519)</f>
        <v>0</v>
      </c>
    </row>
    <row r="519" spans="1:4">
      <c r="A519" t="s">
        <v>3952</v>
      </c>
      <c r="B519" t="s">
        <v>5313</v>
      </c>
      <c r="C519">
        <v>1034</v>
      </c>
      <c r="D519">
        <f>SUMIFS(Horas!R:R,Horas!E:E,A520)</f>
        <v>0</v>
      </c>
    </row>
    <row r="520" spans="1:4">
      <c r="A520" t="s">
        <v>5346</v>
      </c>
      <c r="B520" t="s">
        <v>5347</v>
      </c>
      <c r="C520">
        <v>1186</v>
      </c>
      <c r="D520">
        <f>SUMIFS(Horas!R:R,Horas!E:E,A521)</f>
        <v>0</v>
      </c>
    </row>
    <row r="521" spans="1:4">
      <c r="A521" t="s">
        <v>2944</v>
      </c>
      <c r="B521" t="s">
        <v>2945</v>
      </c>
      <c r="C521">
        <v>513</v>
      </c>
      <c r="D521">
        <f>SUMIFS(Horas!R:R,Horas!E:E,A522)</f>
        <v>0</v>
      </c>
    </row>
    <row r="522" spans="1:4">
      <c r="A522" t="s">
        <v>2952</v>
      </c>
      <c r="B522" t="s">
        <v>2953</v>
      </c>
      <c r="C522">
        <v>517</v>
      </c>
      <c r="D522">
        <f>SUMIFS(Horas!R:R,Horas!E:E,A523)</f>
        <v>0</v>
      </c>
    </row>
    <row r="523" spans="1:4">
      <c r="A523" t="s">
        <v>5371</v>
      </c>
      <c r="B523" t="s">
        <v>5372</v>
      </c>
      <c r="C523">
        <v>512</v>
      </c>
      <c r="D523">
        <f>SUMIFS(Horas!R:R,Horas!E:E,A524)</f>
        <v>0</v>
      </c>
    </row>
    <row r="524" spans="1:4">
      <c r="A524" t="s">
        <v>2946</v>
      </c>
      <c r="B524" t="s">
        <v>2947</v>
      </c>
      <c r="C524">
        <v>514</v>
      </c>
      <c r="D524">
        <f>SUMIFS(Horas!R:R,Horas!E:E,A525)</f>
        <v>0</v>
      </c>
    </row>
    <row r="525" spans="1:4">
      <c r="A525" t="s">
        <v>2956</v>
      </c>
      <c r="B525" t="s">
        <v>2957</v>
      </c>
      <c r="C525">
        <v>519</v>
      </c>
      <c r="D525">
        <f>SUMIFS(Horas!R:R,Horas!E:E,A526)</f>
        <v>0</v>
      </c>
    </row>
    <row r="526" spans="1:4">
      <c r="A526" t="s">
        <v>2950</v>
      </c>
      <c r="B526" t="s">
        <v>2951</v>
      </c>
      <c r="C526">
        <v>516</v>
      </c>
      <c r="D526">
        <f>SUMIFS(Horas!R:R,Horas!E:E,A527)</f>
        <v>0</v>
      </c>
    </row>
    <row r="527" spans="1:4">
      <c r="A527" t="s">
        <v>3328</v>
      </c>
      <c r="B527" t="s">
        <v>3329</v>
      </c>
      <c r="C527">
        <v>728</v>
      </c>
      <c r="D527">
        <f>SUMIFS(Horas!R:R,Horas!E:E,A528)</f>
        <v>0</v>
      </c>
    </row>
    <row r="528" spans="1:4">
      <c r="A528" t="s">
        <v>4905</v>
      </c>
      <c r="B528" t="s">
        <v>4906</v>
      </c>
      <c r="C528">
        <v>1164</v>
      </c>
      <c r="D528">
        <f>SUMIFS(Horas!R:R,Horas!E:E,A529)</f>
        <v>0</v>
      </c>
    </row>
    <row r="529" spans="1:4">
      <c r="A529" t="s">
        <v>5903</v>
      </c>
      <c r="B529" t="s">
        <v>5904</v>
      </c>
      <c r="C529">
        <v>1347</v>
      </c>
      <c r="D529">
        <f>SUMIFS(Horas!R:R,Horas!E:E,A530)</f>
        <v>0</v>
      </c>
    </row>
    <row r="530" spans="1:4">
      <c r="A530" t="s">
        <v>2994</v>
      </c>
      <c r="B530" t="s">
        <v>2995</v>
      </c>
      <c r="C530">
        <v>539</v>
      </c>
      <c r="D530">
        <f>SUMIFS(Horas!R:R,Horas!E:E,A531)</f>
        <v>0</v>
      </c>
    </row>
    <row r="531" spans="1:4">
      <c r="A531" t="s">
        <v>2724</v>
      </c>
      <c r="B531" t="s">
        <v>2725</v>
      </c>
      <c r="C531">
        <v>385</v>
      </c>
      <c r="D531">
        <f>SUMIFS(Horas!R:R,Horas!E:E,A532)</f>
        <v>0</v>
      </c>
    </row>
    <row r="532" spans="1:4">
      <c r="A532" t="s">
        <v>7290</v>
      </c>
      <c r="B532" t="s">
        <v>7291</v>
      </c>
      <c r="C532">
        <v>1293</v>
      </c>
      <c r="D532">
        <f>SUMIFS(Horas!R:R,Horas!E:E,A533)</f>
        <v>0</v>
      </c>
    </row>
    <row r="533" spans="1:4">
      <c r="A533" t="s">
        <v>7392</v>
      </c>
      <c r="B533" t="s">
        <v>7393</v>
      </c>
      <c r="C533">
        <v>1651</v>
      </c>
      <c r="D533">
        <f>SUMIFS(Horas!R:R,Horas!E:E,A534)</f>
        <v>0</v>
      </c>
    </row>
    <row r="534" spans="1:4">
      <c r="A534" t="s">
        <v>7394</v>
      </c>
      <c r="B534" t="s">
        <v>7395</v>
      </c>
      <c r="C534">
        <v>1652</v>
      </c>
      <c r="D534">
        <f>SUMIFS(Horas!R:R,Horas!E:E,A535)</f>
        <v>0</v>
      </c>
    </row>
    <row r="535" spans="1:4">
      <c r="A535" t="s">
        <v>7271</v>
      </c>
      <c r="B535" t="s">
        <v>7272</v>
      </c>
      <c r="C535">
        <v>253</v>
      </c>
      <c r="D535">
        <f>SUMIFS(Horas!R:R,Horas!E:E,A536)</f>
        <v>0</v>
      </c>
    </row>
    <row r="536" spans="1:4">
      <c r="A536" t="s">
        <v>5806</v>
      </c>
      <c r="B536" t="s">
        <v>5807</v>
      </c>
      <c r="C536">
        <v>1281</v>
      </c>
      <c r="D536">
        <f>SUMIFS(Horas!R:R,Horas!E:E,A537)</f>
        <v>0</v>
      </c>
    </row>
    <row r="537" spans="1:4">
      <c r="A537" t="s">
        <v>5320</v>
      </c>
      <c r="B537" t="s">
        <v>5321</v>
      </c>
      <c r="C537">
        <v>1171</v>
      </c>
      <c r="D537">
        <f>SUMIFS(Horas!R:R,Horas!E:E,A538)</f>
        <v>0</v>
      </c>
    </row>
    <row r="538" spans="1:4">
      <c r="A538" t="s">
        <v>6778</v>
      </c>
      <c r="B538" t="s">
        <v>6779</v>
      </c>
      <c r="C538">
        <v>1546</v>
      </c>
      <c r="D538">
        <f>SUMIFS(Horas!R:R,Horas!E:E,A539)</f>
        <v>0</v>
      </c>
    </row>
    <row r="539" spans="1:4">
      <c r="A539" t="s">
        <v>2585</v>
      </c>
      <c r="B539" t="s">
        <v>2586</v>
      </c>
      <c r="C539">
        <v>310</v>
      </c>
      <c r="D539">
        <f>SUMIFS(Horas!R:R,Horas!E:E,A540)</f>
        <v>0</v>
      </c>
    </row>
    <row r="540" spans="1:4">
      <c r="A540" t="s">
        <v>6050</v>
      </c>
      <c r="B540" t="s">
        <v>6051</v>
      </c>
      <c r="C540">
        <v>1386</v>
      </c>
      <c r="D540">
        <f>SUMIFS(Horas!R:R,Horas!E:E,A541)</f>
        <v>0</v>
      </c>
    </row>
    <row r="541" spans="1:4">
      <c r="A541" t="s">
        <v>2942</v>
      </c>
      <c r="B541" t="s">
        <v>2943</v>
      </c>
      <c r="C541">
        <v>511</v>
      </c>
      <c r="D541">
        <f>SUMIFS(Horas!R:R,Horas!E:E,A542)</f>
        <v>0</v>
      </c>
    </row>
    <row r="542" spans="1:4">
      <c r="A542" t="s">
        <v>5826</v>
      </c>
      <c r="B542" t="s">
        <v>5827</v>
      </c>
      <c r="C542">
        <v>1292</v>
      </c>
      <c r="D542">
        <f>SUMIFS(Horas!R:R,Horas!E:E,A543)</f>
        <v>0</v>
      </c>
    </row>
    <row r="543" spans="1:4">
      <c r="A543" t="s">
        <v>3616</v>
      </c>
      <c r="B543" t="s">
        <v>2359</v>
      </c>
      <c r="C543">
        <v>882</v>
      </c>
      <c r="D543">
        <f>SUMIFS(Horas!R:R,Horas!E:E,A544)</f>
        <v>0</v>
      </c>
    </row>
    <row r="544" spans="1:4">
      <c r="A544" t="s">
        <v>2358</v>
      </c>
      <c r="B544" t="s">
        <v>2359</v>
      </c>
      <c r="C544">
        <v>201</v>
      </c>
      <c r="D544">
        <f>SUMIFS(Horas!R:R,Horas!E:E,A545)</f>
        <v>0</v>
      </c>
    </row>
    <row r="545" spans="1:4">
      <c r="A545" t="s">
        <v>7118</v>
      </c>
      <c r="B545" t="s">
        <v>6438</v>
      </c>
      <c r="C545">
        <v>1120</v>
      </c>
      <c r="D545">
        <f>SUMIFS(Horas!R:R,Horas!E:E,A546)</f>
        <v>0</v>
      </c>
    </row>
    <row r="546" spans="1:4">
      <c r="A546" t="s">
        <v>7330</v>
      </c>
      <c r="B546" t="s">
        <v>7331</v>
      </c>
      <c r="C546">
        <v>1619</v>
      </c>
      <c r="D546">
        <f>SUMIFS(Horas!R:R,Horas!E:E,A547)</f>
        <v>0</v>
      </c>
    </row>
    <row r="547" spans="1:4">
      <c r="A547" t="s">
        <v>2512</v>
      </c>
      <c r="B547" t="s">
        <v>2513</v>
      </c>
      <c r="C547">
        <v>269</v>
      </c>
      <c r="D547">
        <f>SUMIFS(Horas!R:R,Horas!E:E,A548)</f>
        <v>0</v>
      </c>
    </row>
    <row r="548" spans="1:4">
      <c r="A548" t="s">
        <v>5847</v>
      </c>
      <c r="B548" t="s">
        <v>5848</v>
      </c>
      <c r="C548">
        <v>1307</v>
      </c>
      <c r="D548">
        <f>SUMIFS(Horas!R:R,Horas!E:E,A549)</f>
        <v>0</v>
      </c>
    </row>
    <row r="549" spans="1:4">
      <c r="A549" t="s">
        <v>5144</v>
      </c>
      <c r="B549" t="s">
        <v>5145</v>
      </c>
      <c r="C549">
        <v>1169</v>
      </c>
      <c r="D549">
        <f>SUMIFS(Horas!R:R,Horas!E:E,A550)</f>
        <v>0</v>
      </c>
    </row>
    <row r="550" spans="1:4">
      <c r="A550" t="s">
        <v>5849</v>
      </c>
      <c r="B550" t="s">
        <v>5850</v>
      </c>
      <c r="C550">
        <v>1308</v>
      </c>
      <c r="D550">
        <f>SUMIFS(Horas!R:R,Horas!E:E,A551)</f>
        <v>0</v>
      </c>
    </row>
    <row r="551" spans="1:4">
      <c r="A551" t="s">
        <v>5876</v>
      </c>
      <c r="B551" t="s">
        <v>5877</v>
      </c>
      <c r="C551">
        <v>1332</v>
      </c>
      <c r="D551">
        <f>SUMIFS(Horas!R:R,Horas!E:E,A552)</f>
        <v>0</v>
      </c>
    </row>
    <row r="552" spans="1:4">
      <c r="A552" t="s">
        <v>5895</v>
      </c>
      <c r="B552" t="s">
        <v>5896</v>
      </c>
      <c r="C552">
        <v>1342</v>
      </c>
      <c r="D552">
        <f>SUMIFS(Horas!R:R,Horas!E:E,A553)</f>
        <v>0</v>
      </c>
    </row>
    <row r="553" spans="1:4">
      <c r="A553" t="s">
        <v>3036</v>
      </c>
      <c r="B553" t="s">
        <v>3037</v>
      </c>
      <c r="C553">
        <v>560</v>
      </c>
      <c r="D553">
        <f>SUMIFS(Horas!R:R,Horas!E:E,A554)</f>
        <v>0</v>
      </c>
    </row>
    <row r="554" spans="1:4">
      <c r="A554" t="s">
        <v>3176</v>
      </c>
      <c r="B554" t="s">
        <v>3177</v>
      </c>
      <c r="C554">
        <v>642</v>
      </c>
      <c r="D554">
        <f>SUMIFS(Horas!R:R,Horas!E:E,A555)</f>
        <v>0</v>
      </c>
    </row>
    <row r="555" spans="1:4">
      <c r="A555" t="s">
        <v>2538</v>
      </c>
      <c r="B555" t="s">
        <v>2539</v>
      </c>
      <c r="C555">
        <v>282</v>
      </c>
      <c r="D555">
        <f>SUMIFS(Horas!R:R,Horas!E:E,A556)</f>
        <v>0</v>
      </c>
    </row>
    <row r="556" spans="1:4">
      <c r="A556" t="s">
        <v>4761</v>
      </c>
      <c r="B556" t="s">
        <v>4762</v>
      </c>
      <c r="C556">
        <v>1068</v>
      </c>
      <c r="D556">
        <f>SUMIFS(Horas!R:R,Horas!E:E,A557)</f>
        <v>0</v>
      </c>
    </row>
    <row r="557" spans="1:4">
      <c r="A557" t="s">
        <v>3558</v>
      </c>
      <c r="B557" t="s">
        <v>3559</v>
      </c>
      <c r="C557">
        <v>853</v>
      </c>
      <c r="D557">
        <f>SUMIFS(Horas!R:R,Horas!E:E,A558)</f>
        <v>0</v>
      </c>
    </row>
    <row r="558" spans="1:4">
      <c r="A558" t="s">
        <v>4882</v>
      </c>
      <c r="B558" t="s">
        <v>3559</v>
      </c>
      <c r="C558">
        <v>1142</v>
      </c>
      <c r="D558">
        <f>SUMIFS(Horas!R:R,Horas!E:E,A559)</f>
        <v>0</v>
      </c>
    </row>
    <row r="559" spans="1:4">
      <c r="A559" t="s">
        <v>2490</v>
      </c>
      <c r="B559" t="s">
        <v>2491</v>
      </c>
      <c r="C559">
        <v>200</v>
      </c>
      <c r="D559">
        <f>SUMIFS(Horas!R:R,Horas!E:E,A560)</f>
        <v>0</v>
      </c>
    </row>
    <row r="560" spans="1:4">
      <c r="A560" t="s">
        <v>2718</v>
      </c>
      <c r="B560" t="s">
        <v>2719</v>
      </c>
      <c r="C560">
        <v>382</v>
      </c>
      <c r="D560">
        <f>SUMIFS(Horas!R:R,Horas!E:E,A561)</f>
        <v>0</v>
      </c>
    </row>
    <row r="561" spans="1:4">
      <c r="A561" t="s">
        <v>4817</v>
      </c>
      <c r="B561" t="s">
        <v>4818</v>
      </c>
      <c r="C561">
        <v>1100</v>
      </c>
      <c r="D561">
        <f>SUMIFS(Horas!R:R,Horas!E:E,A562)</f>
        <v>0</v>
      </c>
    </row>
    <row r="562" spans="1:4">
      <c r="A562" t="s">
        <v>4837</v>
      </c>
      <c r="B562" t="s">
        <v>4838</v>
      </c>
      <c r="C562">
        <v>1113</v>
      </c>
      <c r="D562">
        <f>SUMIFS(Horas!R:R,Horas!E:E,A563)</f>
        <v>0</v>
      </c>
    </row>
    <row r="563" spans="1:4">
      <c r="A563" t="s">
        <v>5575</v>
      </c>
      <c r="B563" t="s">
        <v>6747</v>
      </c>
      <c r="C563">
        <v>1240</v>
      </c>
      <c r="D563">
        <f>SUMIFS(Horas!R:R,Horas!E:E,A564)</f>
        <v>0</v>
      </c>
    </row>
    <row r="564" spans="1:4">
      <c r="A564" t="s">
        <v>4898</v>
      </c>
      <c r="B564" t="s">
        <v>4899</v>
      </c>
      <c r="C564">
        <v>1157</v>
      </c>
      <c r="D564">
        <f>SUMIFS(Horas!R:R,Horas!E:E,A565)</f>
        <v>0</v>
      </c>
    </row>
    <row r="565" spans="1:4">
      <c r="A565" t="s">
        <v>6297</v>
      </c>
      <c r="B565" t="s">
        <v>6298</v>
      </c>
      <c r="C565">
        <v>1411</v>
      </c>
      <c r="D565">
        <f>SUMIFS(Horas!R:R,Horas!E:E,A566)</f>
        <v>0</v>
      </c>
    </row>
    <row r="566" spans="1:4">
      <c r="A566" t="s">
        <v>2851</v>
      </c>
      <c r="B566" t="s">
        <v>2852</v>
      </c>
      <c r="C566">
        <v>461</v>
      </c>
      <c r="D566">
        <f>SUMIFS(Horas!R:R,Horas!E:E,A567)</f>
        <v>0</v>
      </c>
    </row>
    <row r="567" spans="1:4">
      <c r="A567" t="s">
        <v>2360</v>
      </c>
      <c r="B567" t="s">
        <v>2361</v>
      </c>
      <c r="C567">
        <v>202</v>
      </c>
      <c r="D567">
        <f>SUMIFS(Horas!R:R,Horas!E:E,A568)</f>
        <v>0</v>
      </c>
    </row>
    <row r="568" spans="1:4">
      <c r="A568" t="s">
        <v>4895</v>
      </c>
      <c r="B568" t="s">
        <v>7283</v>
      </c>
      <c r="C568">
        <v>1155</v>
      </c>
      <c r="D568">
        <f>SUMIFS(Horas!R:R,Horas!E:E,A569)</f>
        <v>0</v>
      </c>
    </row>
    <row r="569" spans="1:4">
      <c r="A569" t="s">
        <v>3776</v>
      </c>
      <c r="B569" t="s">
        <v>3777</v>
      </c>
      <c r="C569">
        <v>976</v>
      </c>
      <c r="D569">
        <f>SUMIFS(Horas!R:R,Horas!E:E,A570)</f>
        <v>0</v>
      </c>
    </row>
    <row r="570" spans="1:4">
      <c r="A570" t="s">
        <v>5858</v>
      </c>
      <c r="B570" t="s">
        <v>5859</v>
      </c>
      <c r="C570">
        <v>1314</v>
      </c>
      <c r="D570">
        <f>SUMIFS(Horas!R:R,Horas!E:E,A571)</f>
        <v>0</v>
      </c>
    </row>
    <row r="571" spans="1:4">
      <c r="A571" t="s">
        <v>7175</v>
      </c>
      <c r="B571" t="s">
        <v>7176</v>
      </c>
      <c r="C571">
        <v>1592</v>
      </c>
      <c r="D571">
        <f>SUMIFS(Horas!R:R,Horas!E:E,A572)</f>
        <v>0</v>
      </c>
    </row>
    <row r="572" spans="1:4">
      <c r="A572" t="s">
        <v>7178</v>
      </c>
      <c r="B572" t="s">
        <v>7179</v>
      </c>
      <c r="C572">
        <v>1594</v>
      </c>
      <c r="D572">
        <f>SUMIFS(Horas!R:R,Horas!E:E,A573)</f>
        <v>0</v>
      </c>
    </row>
    <row r="573" spans="1:4">
      <c r="A573" t="s">
        <v>7181</v>
      </c>
      <c r="B573" t="s">
        <v>7182</v>
      </c>
      <c r="C573">
        <v>1596</v>
      </c>
      <c r="D573">
        <f>SUMIFS(Horas!R:R,Horas!E:E,A574)</f>
        <v>0</v>
      </c>
    </row>
    <row r="574" spans="1:4">
      <c r="A574" t="s">
        <v>6710</v>
      </c>
      <c r="B574" t="s">
        <v>6700</v>
      </c>
      <c r="C574">
        <v>1519</v>
      </c>
      <c r="D574">
        <f>SUMIFS(Horas!R:R,Horas!E:E,A575)</f>
        <v>0</v>
      </c>
    </row>
    <row r="575" spans="1:4">
      <c r="A575" t="s">
        <v>2440</v>
      </c>
      <c r="B575" t="s">
        <v>2441</v>
      </c>
      <c r="C575">
        <v>225</v>
      </c>
      <c r="D575">
        <f>SUMIFS(Horas!R:R,Horas!E:E,A576)</f>
        <v>0</v>
      </c>
    </row>
    <row r="576" spans="1:4">
      <c r="A576" t="s">
        <v>4887</v>
      </c>
      <c r="B576" t="s">
        <v>4888</v>
      </c>
      <c r="C576">
        <v>1148</v>
      </c>
      <c r="D576">
        <f>SUMIFS(Horas!R:R,Horas!E:E,A577)</f>
        <v>0</v>
      </c>
    </row>
    <row r="577" spans="1:4">
      <c r="A577" t="s">
        <v>3963</v>
      </c>
      <c r="B577" t="s">
        <v>3964</v>
      </c>
      <c r="C577">
        <v>1040</v>
      </c>
      <c r="D577">
        <f>SUMIFS(Horas!R:R,Horas!E:E,A578)</f>
        <v>0</v>
      </c>
    </row>
    <row r="578" spans="1:4">
      <c r="A578" t="s">
        <v>2540</v>
      </c>
      <c r="B578" t="s">
        <v>2541</v>
      </c>
      <c r="C578">
        <v>283</v>
      </c>
      <c r="D578">
        <f>SUMIFS(Horas!R:R,Horas!E:E,A579)</f>
        <v>0</v>
      </c>
    </row>
    <row r="579" spans="1:4">
      <c r="A579" t="s">
        <v>3961</v>
      </c>
      <c r="B579" t="s">
        <v>3962</v>
      </c>
      <c r="C579">
        <v>1039</v>
      </c>
      <c r="D579">
        <f>SUMIFS(Horas!R:R,Horas!E:E,A580)</f>
        <v>0</v>
      </c>
    </row>
    <row r="580" spans="1:4">
      <c r="A580" t="s">
        <v>4885</v>
      </c>
      <c r="B580" t="s">
        <v>4886</v>
      </c>
      <c r="C580">
        <v>1145</v>
      </c>
      <c r="D580">
        <f>SUMIFS(Horas!R:R,Horas!E:E,A581)</f>
        <v>0</v>
      </c>
    </row>
    <row r="581" spans="1:4">
      <c r="A581" t="s">
        <v>3756</v>
      </c>
      <c r="B581" t="s">
        <v>3757</v>
      </c>
      <c r="C581">
        <v>964</v>
      </c>
      <c r="D581">
        <f>SUMIFS(Horas!R:R,Horas!E:E,A582)</f>
        <v>0</v>
      </c>
    </row>
    <row r="582" spans="1:4">
      <c r="A582" t="s">
        <v>3707</v>
      </c>
      <c r="B582" t="s">
        <v>3708</v>
      </c>
      <c r="C582">
        <v>938</v>
      </c>
      <c r="D582">
        <f>SUMIFS(Horas!R:R,Horas!E:E,A583)</f>
        <v>0</v>
      </c>
    </row>
    <row r="583" spans="1:4">
      <c r="A583" t="s">
        <v>3709</v>
      </c>
      <c r="B583" t="s">
        <v>3710</v>
      </c>
      <c r="C583">
        <v>939</v>
      </c>
      <c r="D583">
        <f>SUMIFS(Horas!R:R,Horas!E:E,A584)</f>
        <v>0</v>
      </c>
    </row>
    <row r="584" spans="1:4">
      <c r="A584" t="s">
        <v>6303</v>
      </c>
      <c r="B584" t="s">
        <v>6304</v>
      </c>
      <c r="C584">
        <v>1415</v>
      </c>
      <c r="D584">
        <f>SUMIFS(Horas!R:R,Horas!E:E,A585)</f>
        <v>0</v>
      </c>
    </row>
    <row r="585" spans="1:4">
      <c r="A585" t="s">
        <v>3711</v>
      </c>
      <c r="B585" t="s">
        <v>3712</v>
      </c>
      <c r="C585">
        <v>940</v>
      </c>
      <c r="D585">
        <f>SUMIFS(Horas!R:R,Horas!E:E,A586)</f>
        <v>0</v>
      </c>
    </row>
    <row r="586" spans="1:4">
      <c r="A586" t="s">
        <v>3942</v>
      </c>
      <c r="B586" t="s">
        <v>3943</v>
      </c>
      <c r="C586">
        <v>1027</v>
      </c>
      <c r="D586">
        <f>SUMIFS(Horas!R:R,Horas!E:E,A587)</f>
        <v>0</v>
      </c>
    </row>
    <row r="587" spans="1:4">
      <c r="A587" t="s">
        <v>5141</v>
      </c>
      <c r="B587" t="s">
        <v>5142</v>
      </c>
      <c r="C587">
        <v>1167</v>
      </c>
      <c r="D587">
        <f>SUMIFS(Horas!R:R,Horas!E:E,A588)</f>
        <v>0</v>
      </c>
    </row>
    <row r="588" spans="1:4">
      <c r="A588" t="s">
        <v>5839</v>
      </c>
      <c r="B588" t="s">
        <v>5840</v>
      </c>
      <c r="C588">
        <v>1303</v>
      </c>
      <c r="D588">
        <f>SUMIFS(Horas!R:R,Horas!E:E,A589)</f>
        <v>0</v>
      </c>
    </row>
    <row r="589" spans="1:4">
      <c r="A589" t="s">
        <v>5841</v>
      </c>
      <c r="B589" t="s">
        <v>5842</v>
      </c>
      <c r="C589">
        <v>1304</v>
      </c>
      <c r="D589">
        <f>SUMIFS(Horas!R:R,Horas!E:E,A590)</f>
        <v>0</v>
      </c>
    </row>
    <row r="590" spans="1:4">
      <c r="A590" t="s">
        <v>5843</v>
      </c>
      <c r="B590" t="s">
        <v>5844</v>
      </c>
      <c r="C590">
        <v>1305</v>
      </c>
      <c r="D590">
        <f>SUMIFS(Horas!R:R,Horas!E:E,A591)</f>
        <v>0</v>
      </c>
    </row>
    <row r="591" spans="1:4">
      <c r="A591" t="s">
        <v>6301</v>
      </c>
      <c r="B591" t="s">
        <v>6302</v>
      </c>
      <c r="C591">
        <v>1414</v>
      </c>
      <c r="D591">
        <f>SUMIFS(Horas!R:R,Horas!E:E,A592)</f>
        <v>0</v>
      </c>
    </row>
    <row r="592" spans="1:4">
      <c r="A592" t="s">
        <v>5845</v>
      </c>
      <c r="B592" t="s">
        <v>5846</v>
      </c>
      <c r="C592">
        <v>1306</v>
      </c>
      <c r="D592">
        <f>SUMIFS(Horas!R:R,Horas!E:E,A593)</f>
        <v>0</v>
      </c>
    </row>
    <row r="593" spans="1:4">
      <c r="A593" t="s">
        <v>6563</v>
      </c>
      <c r="B593" t="s">
        <v>6564</v>
      </c>
      <c r="C593">
        <v>1508</v>
      </c>
      <c r="D593">
        <f>SUMIFS(Horas!R:R,Horas!E:E,A594)</f>
        <v>0</v>
      </c>
    </row>
    <row r="594" spans="1:4">
      <c r="A594" t="s">
        <v>6559</v>
      </c>
      <c r="B594" t="s">
        <v>6560</v>
      </c>
      <c r="C594">
        <v>1506</v>
      </c>
      <c r="D594">
        <f>SUMIFS(Horas!R:R,Horas!E:E,A595)</f>
        <v>0</v>
      </c>
    </row>
    <row r="595" spans="1:4">
      <c r="A595" t="s">
        <v>7358</v>
      </c>
      <c r="B595" t="s">
        <v>7359</v>
      </c>
      <c r="C595">
        <v>1635</v>
      </c>
      <c r="D595">
        <f>SUMIFS(Horas!R:R,Horas!E:E,A596)</f>
        <v>0</v>
      </c>
    </row>
    <row r="596" spans="1:4">
      <c r="A596" t="s">
        <v>6761</v>
      </c>
      <c r="B596" t="s">
        <v>3753</v>
      </c>
      <c r="C596">
        <v>1533</v>
      </c>
      <c r="D596">
        <f>SUMIFS(Horas!R:R,Horas!E:E,A597)</f>
        <v>0</v>
      </c>
    </row>
    <row r="597" spans="1:4">
      <c r="A597" t="s">
        <v>3752</v>
      </c>
      <c r="B597" t="s">
        <v>3753</v>
      </c>
      <c r="C597">
        <v>962</v>
      </c>
      <c r="D597">
        <f>SUMIFS(Horas!R:R,Horas!E:E,A598)</f>
        <v>0</v>
      </c>
    </row>
    <row r="598" spans="1:4">
      <c r="A598" t="s">
        <v>7124</v>
      </c>
      <c r="B598" t="s">
        <v>7125</v>
      </c>
      <c r="C598">
        <v>1299</v>
      </c>
      <c r="D598">
        <f>SUMIFS(Horas!R:R,Horas!E:E,A599)</f>
        <v>0</v>
      </c>
    </row>
    <row r="599" spans="1:4">
      <c r="A599" t="s">
        <v>2510</v>
      </c>
      <c r="B599" t="s">
        <v>2511</v>
      </c>
      <c r="C599">
        <v>268</v>
      </c>
      <c r="D599">
        <f>SUMIFS(Horas!R:R,Horas!E:E,A600)</f>
        <v>0</v>
      </c>
    </row>
    <row r="600" spans="1:4">
      <c r="A600" t="s">
        <v>4841</v>
      </c>
      <c r="B600" t="s">
        <v>4842</v>
      </c>
      <c r="C600">
        <v>1115</v>
      </c>
      <c r="D600">
        <f>SUMIFS(Horas!R:R,Horas!E:E,A601)</f>
        <v>0</v>
      </c>
    </row>
    <row r="601" spans="1:4">
      <c r="A601" t="s">
        <v>7126</v>
      </c>
      <c r="B601" t="s">
        <v>7127</v>
      </c>
      <c r="C601">
        <v>1300</v>
      </c>
      <c r="D601">
        <f>SUMIFS(Horas!R:R,Horas!E:E,A602)</f>
        <v>0</v>
      </c>
    </row>
    <row r="602" spans="1:4">
      <c r="A602" t="s">
        <v>2354</v>
      </c>
      <c r="B602" t="s">
        <v>2355</v>
      </c>
      <c r="C602">
        <v>199</v>
      </c>
      <c r="D602">
        <f>SUMIFS(Horas!R:R,Horas!E:E,A603)</f>
        <v>0</v>
      </c>
    </row>
    <row r="603" spans="1:4">
      <c r="A603" t="s">
        <v>4839</v>
      </c>
      <c r="B603" t="s">
        <v>4840</v>
      </c>
      <c r="C603">
        <v>1114</v>
      </c>
      <c r="D603">
        <f>SUMIFS(Horas!R:R,Horas!E:E,A604)</f>
        <v>0</v>
      </c>
    </row>
    <row r="604" spans="1:4">
      <c r="A604" t="s">
        <v>5830</v>
      </c>
      <c r="B604" t="s">
        <v>5831</v>
      </c>
      <c r="C604">
        <v>1296</v>
      </c>
      <c r="D604">
        <f>SUMIFS(Horas!R:R,Horas!E:E,A605)</f>
        <v>0</v>
      </c>
    </row>
    <row r="605" spans="1:4">
      <c r="A605" t="s">
        <v>7133</v>
      </c>
      <c r="B605" t="s">
        <v>7134</v>
      </c>
      <c r="C605">
        <v>1550</v>
      </c>
      <c r="D605">
        <f>SUMIFS(Horas!R:R,Horas!E:E,A606)</f>
        <v>0</v>
      </c>
    </row>
    <row r="606" spans="1:4">
      <c r="A606" t="s">
        <v>6046</v>
      </c>
      <c r="B606" t="s">
        <v>6047</v>
      </c>
      <c r="C606">
        <v>1383</v>
      </c>
      <c r="D606">
        <f>SUMIFS(Horas!R:R,Horas!E:E,A607)</f>
        <v>0</v>
      </c>
    </row>
    <row r="607" spans="1:4">
      <c r="A607" t="s">
        <v>5766</v>
      </c>
      <c r="B607" t="s">
        <v>4866</v>
      </c>
      <c r="C607">
        <v>1132</v>
      </c>
      <c r="D607">
        <f>SUMIFS(Horas!R:R,Horas!E:E,A608)</f>
        <v>0</v>
      </c>
    </row>
    <row r="608" spans="1:4">
      <c r="A608" t="s">
        <v>6553</v>
      </c>
      <c r="B608" t="s">
        <v>6554</v>
      </c>
      <c r="C608">
        <v>1501</v>
      </c>
      <c r="D608">
        <f>SUMIFS(Horas!R:R,Horas!E:E,A609)</f>
        <v>0</v>
      </c>
    </row>
    <row r="609" spans="1:4">
      <c r="A609" t="s">
        <v>6505</v>
      </c>
      <c r="B609" t="s">
        <v>6506</v>
      </c>
      <c r="C609">
        <v>1487</v>
      </c>
      <c r="D609">
        <f>SUMIFS(Horas!R:R,Horas!E:E,A610)</f>
        <v>0</v>
      </c>
    </row>
    <row r="610" spans="1:4">
      <c r="A610" t="s">
        <v>6037</v>
      </c>
      <c r="B610" t="s">
        <v>6038</v>
      </c>
      <c r="C610">
        <v>1377</v>
      </c>
      <c r="D610">
        <f>SUMIFS(Horas!R:R,Horas!E:E,A611)</f>
        <v>0</v>
      </c>
    </row>
    <row r="611" spans="1:4">
      <c r="A611" t="s">
        <v>7323</v>
      </c>
      <c r="B611" t="s">
        <v>7324</v>
      </c>
      <c r="C611">
        <v>1615</v>
      </c>
      <c r="D611">
        <f>SUMIFS(Horas!R:R,Horas!E:E,A612)</f>
        <v>0</v>
      </c>
    </row>
    <row r="612" spans="1:4">
      <c r="A612" t="s">
        <v>6555</v>
      </c>
      <c r="B612" t="s">
        <v>6556</v>
      </c>
      <c r="C612">
        <v>1502</v>
      </c>
      <c r="D612">
        <f>SUMIFS(Horas!R:R,Horas!E:E,A613)</f>
        <v>0</v>
      </c>
    </row>
    <row r="613" spans="1:4">
      <c r="A613" t="s">
        <v>6699</v>
      </c>
      <c r="B613" t="s">
        <v>6709</v>
      </c>
      <c r="C613">
        <v>1518</v>
      </c>
      <c r="D613">
        <f>SUMIFS(Horas!R:R,Horas!E:E,A614)</f>
        <v>0</v>
      </c>
    </row>
    <row r="614" spans="1:4">
      <c r="A614" t="s">
        <v>5865</v>
      </c>
      <c r="B614" t="s">
        <v>5866</v>
      </c>
      <c r="C614">
        <v>1319</v>
      </c>
      <c r="D614">
        <f>SUMIFS(Horas!R:R,Horas!E:E,A615)</f>
        <v>0</v>
      </c>
    </row>
    <row r="615" spans="1:4">
      <c r="A615" t="s">
        <v>4893</v>
      </c>
      <c r="B615" t="s">
        <v>4894</v>
      </c>
      <c r="C615">
        <v>1154</v>
      </c>
      <c r="D615">
        <f>SUMIFS(Horas!R:R,Horas!E:E,A616)</f>
        <v>0</v>
      </c>
    </row>
    <row r="616" spans="1:4">
      <c r="A616" t="s">
        <v>4799</v>
      </c>
      <c r="B616" t="s">
        <v>4800</v>
      </c>
      <c r="C616">
        <v>1088</v>
      </c>
      <c r="D616">
        <f>SUMIFS(Horas!R:R,Horas!E:E,A617)</f>
        <v>0</v>
      </c>
    </row>
    <row r="617" spans="1:4">
      <c r="A617" t="s">
        <v>4845</v>
      </c>
      <c r="B617" t="s">
        <v>4846</v>
      </c>
      <c r="C617">
        <v>1117</v>
      </c>
      <c r="D617">
        <f>SUMIFS(Horas!R:R,Horas!E:E,A618)</f>
        <v>0</v>
      </c>
    </row>
    <row r="618" spans="1:4">
      <c r="A618" t="s">
        <v>7167</v>
      </c>
      <c r="B618" t="s">
        <v>7168</v>
      </c>
      <c r="C618">
        <v>1583</v>
      </c>
      <c r="D618">
        <f>SUMIFS(Horas!R:R,Horas!E:E,A619)</f>
        <v>0</v>
      </c>
    </row>
    <row r="619" spans="1:4">
      <c r="A619" t="s">
        <v>2958</v>
      </c>
      <c r="B619" t="s">
        <v>2959</v>
      </c>
      <c r="C619">
        <v>520</v>
      </c>
      <c r="D619">
        <f>SUMIFS(Horas!R:R,Horas!E:E,A620)</f>
        <v>0</v>
      </c>
    </row>
    <row r="620" spans="1:4">
      <c r="A620" t="s">
        <v>5907</v>
      </c>
      <c r="B620" t="s">
        <v>5908</v>
      </c>
      <c r="C620">
        <v>1349</v>
      </c>
      <c r="D620">
        <f>SUMIFS(Horas!R:R,Horas!E:E,A621)</f>
        <v>0</v>
      </c>
    </row>
    <row r="621" spans="1:4">
      <c r="A621" t="s">
        <v>6539</v>
      </c>
      <c r="B621" t="s">
        <v>6540</v>
      </c>
      <c r="C621">
        <v>1491</v>
      </c>
      <c r="D621">
        <f>SUMIFS(Horas!R:R,Horas!E:E,A622)</f>
        <v>0</v>
      </c>
    </row>
    <row r="622" spans="1:4">
      <c r="A622" t="s">
        <v>2954</v>
      </c>
      <c r="B622" t="s">
        <v>2955</v>
      </c>
      <c r="C622">
        <v>518</v>
      </c>
      <c r="D622">
        <f>SUMIFS(Horas!R:R,Horas!E:E,A623)</f>
        <v>0</v>
      </c>
    </row>
    <row r="623" spans="1:4">
      <c r="A623" t="s">
        <v>2948</v>
      </c>
      <c r="B623" t="s">
        <v>2949</v>
      </c>
      <c r="C623">
        <v>515</v>
      </c>
      <c r="D623">
        <f>SUMIFS(Horas!R:R,Horas!E:E,A624)</f>
        <v>0</v>
      </c>
    </row>
    <row r="624" spans="1:4">
      <c r="A624" t="s">
        <v>5539</v>
      </c>
      <c r="B624" t="s">
        <v>5540</v>
      </c>
      <c r="C624">
        <v>1208</v>
      </c>
      <c r="D624">
        <f>SUMIFS(Horas!R:R,Horas!E:E,A625)</f>
        <v>0</v>
      </c>
    </row>
    <row r="625" spans="1:4">
      <c r="A625" t="s">
        <v>5541</v>
      </c>
      <c r="B625" t="s">
        <v>5542</v>
      </c>
      <c r="C625">
        <v>1209</v>
      </c>
      <c r="D625">
        <f>SUMIFS(Horas!R:R,Horas!E:E,A626)</f>
        <v>0</v>
      </c>
    </row>
    <row r="626" spans="1:4">
      <c r="A626" t="s">
        <v>3381</v>
      </c>
      <c r="B626" t="s">
        <v>3382</v>
      </c>
      <c r="C626">
        <v>758</v>
      </c>
      <c r="D626">
        <f>SUMIFS(Horas!R:R,Horas!E:E,A627)</f>
        <v>0</v>
      </c>
    </row>
    <row r="627" spans="1:4">
      <c r="A627" t="s">
        <v>3695</v>
      </c>
      <c r="B627" t="s">
        <v>3696</v>
      </c>
      <c r="C627">
        <v>930</v>
      </c>
      <c r="D627">
        <f>SUMIFS(Horas!R:R,Horas!E:E,A628)</f>
        <v>0</v>
      </c>
    </row>
    <row r="628" spans="1:4">
      <c r="A628" t="s">
        <v>4077</v>
      </c>
      <c r="B628" t="s">
        <v>4078</v>
      </c>
      <c r="C628">
        <v>1058</v>
      </c>
      <c r="D628">
        <f>SUMIFS(Horas!R:R,Horas!E:E,A629)</f>
        <v>0</v>
      </c>
    </row>
    <row r="629" spans="1:4">
      <c r="A629" t="s">
        <v>4795</v>
      </c>
      <c r="B629" t="s">
        <v>4796</v>
      </c>
      <c r="C629">
        <v>1086</v>
      </c>
      <c r="D629">
        <f>SUMIFS(Horas!R:R,Horas!E:E,A630)</f>
        <v>0</v>
      </c>
    </row>
    <row r="630" spans="1:4">
      <c r="A630" t="s">
        <v>3693</v>
      </c>
      <c r="B630" t="s">
        <v>3694</v>
      </c>
      <c r="C630">
        <v>929</v>
      </c>
      <c r="D630">
        <f>SUMIFS(Horas!R:R,Horas!E:E,A631)</f>
        <v>0</v>
      </c>
    </row>
    <row r="631" spans="1:4">
      <c r="A631" t="s">
        <v>3799</v>
      </c>
      <c r="B631" t="s">
        <v>3800</v>
      </c>
      <c r="C631">
        <v>931</v>
      </c>
      <c r="D631">
        <f>SUMIFS(Horas!R:R,Horas!E:E,A632)</f>
        <v>0</v>
      </c>
    </row>
    <row r="632" spans="1:4">
      <c r="A632" t="s">
        <v>4075</v>
      </c>
      <c r="B632" t="s">
        <v>4076</v>
      </c>
      <c r="C632">
        <v>1057</v>
      </c>
      <c r="D632">
        <f>SUMIFS(Horas!R:R,Horas!E:E,A633)</f>
        <v>0</v>
      </c>
    </row>
    <row r="633" spans="1:4">
      <c r="A633" t="s">
        <v>3774</v>
      </c>
      <c r="B633" t="s">
        <v>3775</v>
      </c>
      <c r="C633">
        <v>975</v>
      </c>
      <c r="D633">
        <f>SUMIFS(Horas!R:R,Horas!E:E,A634)</f>
        <v>0</v>
      </c>
    </row>
    <row r="634" spans="1:4">
      <c r="A634" t="s">
        <v>4812</v>
      </c>
      <c r="B634" t="s">
        <v>4813</v>
      </c>
      <c r="C634">
        <v>1097</v>
      </c>
      <c r="D634">
        <f>SUMIFS(Horas!R:R,Horas!E:E,A635)</f>
        <v>0</v>
      </c>
    </row>
    <row r="635" spans="1:4">
      <c r="A635" t="s">
        <v>3697</v>
      </c>
      <c r="B635" t="s">
        <v>3698</v>
      </c>
      <c r="C635">
        <v>932</v>
      </c>
      <c r="D635">
        <f>SUMIFS(Horas!R:R,Horas!E:E,A636)</f>
        <v>0</v>
      </c>
    </row>
    <row r="636" spans="1:4">
      <c r="A636" t="s">
        <v>4907</v>
      </c>
      <c r="B636" t="s">
        <v>4908</v>
      </c>
      <c r="C636">
        <v>1165</v>
      </c>
      <c r="D636">
        <f>SUMIFS(Horas!R:R,Horas!E:E,A637)</f>
        <v>0</v>
      </c>
    </row>
    <row r="637" spans="1:4">
      <c r="A637" t="s">
        <v>3204</v>
      </c>
      <c r="B637" t="s">
        <v>3205</v>
      </c>
      <c r="C637">
        <v>657</v>
      </c>
      <c r="D637">
        <f>SUMIFS(Horas!R:R,Horas!E:E,A638)</f>
        <v>0</v>
      </c>
    </row>
    <row r="638" spans="1:4">
      <c r="A638" t="s">
        <v>5923</v>
      </c>
      <c r="B638" t="s">
        <v>5924</v>
      </c>
      <c r="C638">
        <v>1358</v>
      </c>
      <c r="D638">
        <f>SUMIFS(Horas!R:R,Horas!E:E,A639)</f>
        <v>0</v>
      </c>
    </row>
    <row r="639" spans="1:4">
      <c r="A639" t="s">
        <v>3685</v>
      </c>
      <c r="B639" t="s">
        <v>3686</v>
      </c>
      <c r="C639">
        <v>925</v>
      </c>
      <c r="D639">
        <f>SUMIFS(Horas!R:R,Horas!E:E,A640)</f>
        <v>0</v>
      </c>
    </row>
    <row r="640" spans="1:4">
      <c r="A640" t="s">
        <v>5911</v>
      </c>
      <c r="B640" t="s">
        <v>5912</v>
      </c>
      <c r="C640">
        <v>1352</v>
      </c>
      <c r="D640">
        <f>SUMIFS(Horas!R:R,Horas!E:E,A641)</f>
        <v>0</v>
      </c>
    </row>
    <row r="641" spans="1:4">
      <c r="A641" t="s">
        <v>6551</v>
      </c>
      <c r="B641" t="s">
        <v>6552</v>
      </c>
      <c r="C641">
        <v>1500</v>
      </c>
      <c r="D641">
        <f>SUMIFS(Horas!R:R,Horas!E:E,A642)</f>
        <v>0</v>
      </c>
    </row>
    <row r="642" spans="1:4">
      <c r="A642" t="s">
        <v>7376</v>
      </c>
      <c r="B642" t="s">
        <v>7377</v>
      </c>
      <c r="C642">
        <v>1644</v>
      </c>
      <c r="D642">
        <f>SUMIFS(Horas!R:R,Horas!E:E,A643)</f>
        <v>0</v>
      </c>
    </row>
    <row r="643" spans="1:4">
      <c r="A643" t="s">
        <v>7277</v>
      </c>
      <c r="B643" t="s">
        <v>7278</v>
      </c>
      <c r="C643">
        <v>990</v>
      </c>
      <c r="D643">
        <f>SUMIFS(Horas!R:R,Horas!E:E,A644)</f>
        <v>0</v>
      </c>
    </row>
    <row r="644" spans="1:4">
      <c r="A644" t="s">
        <v>2470</v>
      </c>
      <c r="B644" t="s">
        <v>2471</v>
      </c>
      <c r="C644">
        <v>243</v>
      </c>
      <c r="D644">
        <f>SUMIFS(Horas!R:R,Horas!E:E,A645)</f>
        <v>0</v>
      </c>
    </row>
    <row r="645" spans="1:4">
      <c r="A645" t="s">
        <v>7378</v>
      </c>
      <c r="B645" t="s">
        <v>7379</v>
      </c>
      <c r="C645">
        <v>1645</v>
      </c>
      <c r="D645">
        <f>SUMIFS(Horas!R:R,Horas!E:E,A646)</f>
        <v>0</v>
      </c>
    </row>
    <row r="646" spans="1:4">
      <c r="A646" t="s">
        <v>7275</v>
      </c>
      <c r="B646" t="s">
        <v>7276</v>
      </c>
      <c r="C646">
        <v>893</v>
      </c>
      <c r="D646">
        <f>SUMIFS(Horas!R:R,Horas!E:E,A647)</f>
        <v>0</v>
      </c>
    </row>
    <row r="647" spans="1:4">
      <c r="A647" t="s">
        <v>2911</v>
      </c>
      <c r="B647" t="s">
        <v>2912</v>
      </c>
      <c r="C647">
        <v>494</v>
      </c>
      <c r="D647">
        <f>SUMIFS(Horas!R:R,Horas!E:E,A648)</f>
        <v>0</v>
      </c>
    </row>
    <row r="648" spans="1:4">
      <c r="A648" t="s">
        <v>2514</v>
      </c>
      <c r="B648" t="s">
        <v>2515</v>
      </c>
      <c r="C648">
        <v>270</v>
      </c>
      <c r="D648">
        <f>SUMIFS(Horas!R:R,Horas!E:E,A649)</f>
        <v>0</v>
      </c>
    </row>
    <row r="649" spans="1:4">
      <c r="A649" t="s">
        <v>2641</v>
      </c>
      <c r="B649" t="s">
        <v>2642</v>
      </c>
      <c r="C649">
        <v>340</v>
      </c>
      <c r="D649">
        <f>SUMIFS(Horas!R:R,Horas!E:E,A650)</f>
        <v>0</v>
      </c>
    </row>
    <row r="650" spans="1:4">
      <c r="A650" t="s">
        <v>5925</v>
      </c>
      <c r="B650" t="s">
        <v>5926</v>
      </c>
      <c r="C650">
        <v>1359</v>
      </c>
      <c r="D650">
        <f>SUMIFS(Horas!R:R,Horas!E:E,A651)</f>
        <v>0</v>
      </c>
    </row>
    <row r="651" spans="1:4">
      <c r="A651" t="s">
        <v>5764</v>
      </c>
      <c r="B651" t="s">
        <v>3621</v>
      </c>
      <c r="C651">
        <v>886</v>
      </c>
      <c r="D651">
        <f>SUMIFS(Horas!R:R,Horas!E:E,A652)</f>
        <v>0</v>
      </c>
    </row>
    <row r="652" spans="1:4">
      <c r="A652" t="s">
        <v>4803</v>
      </c>
      <c r="B652" t="s">
        <v>4804</v>
      </c>
      <c r="C652">
        <v>1091</v>
      </c>
      <c r="D652">
        <f>SUMIFS(Horas!R:R,Horas!E:E,A653)</f>
        <v>0</v>
      </c>
    </row>
    <row r="653" spans="1:4">
      <c r="A653" t="s">
        <v>6052</v>
      </c>
      <c r="B653" t="s">
        <v>6053</v>
      </c>
      <c r="C653">
        <v>1388</v>
      </c>
      <c r="D653">
        <f>SUMIFS(Horas!R:R,Horas!E:E,A654)</f>
        <v>0</v>
      </c>
    </row>
    <row r="654" spans="1:4">
      <c r="A654" t="s">
        <v>6776</v>
      </c>
      <c r="B654" t="s">
        <v>6777</v>
      </c>
      <c r="C654">
        <v>1545</v>
      </c>
      <c r="D654">
        <f>SUMIFS(Horas!R:R,Horas!E:E,A655)</f>
        <v>0</v>
      </c>
    </row>
    <row r="655" spans="1:4">
      <c r="A655" t="s">
        <v>3955</v>
      </c>
      <c r="B655" t="s">
        <v>3956</v>
      </c>
      <c r="C655">
        <v>1036</v>
      </c>
      <c r="D655">
        <f>SUMIFS(Horas!R:R,Horas!E:E,A656)</f>
        <v>0</v>
      </c>
    </row>
    <row r="656" spans="1:4">
      <c r="A656" t="s">
        <v>4858</v>
      </c>
      <c r="B656" t="s">
        <v>4859</v>
      </c>
      <c r="C656">
        <v>1128</v>
      </c>
      <c r="D656">
        <f>SUMIFS(Horas!R:R,Horas!E:E,A657)</f>
        <v>0</v>
      </c>
    </row>
    <row r="657" spans="1:4">
      <c r="A657" t="s">
        <v>4862</v>
      </c>
      <c r="B657" t="s">
        <v>4863</v>
      </c>
      <c r="C657">
        <v>1130</v>
      </c>
      <c r="D657">
        <f>SUMIFS(Horas!R:R,Horas!E:E,A658)</f>
        <v>0</v>
      </c>
    </row>
    <row r="658" spans="1:4">
      <c r="A658" t="s">
        <v>4864</v>
      </c>
      <c r="B658" t="s">
        <v>4865</v>
      </c>
      <c r="C658">
        <v>1131</v>
      </c>
      <c r="D658">
        <f>SUMIFS(Horas!R:R,Horas!E:E,A659)</f>
        <v>0</v>
      </c>
    </row>
    <row r="659" spans="1:4">
      <c r="A659" t="s">
        <v>5549</v>
      </c>
      <c r="B659" t="s">
        <v>5550</v>
      </c>
      <c r="C659">
        <v>1214</v>
      </c>
      <c r="D659">
        <f>SUMIFS(Horas!R:R,Horas!E:E,A660)</f>
        <v>0</v>
      </c>
    </row>
    <row r="660" spans="1:4">
      <c r="A660" t="s">
        <v>5551</v>
      </c>
      <c r="B660" t="s">
        <v>5402</v>
      </c>
      <c r="C660">
        <v>1215</v>
      </c>
      <c r="D660">
        <f>SUMIFS(Horas!R:R,Horas!E:E,A661)</f>
        <v>0</v>
      </c>
    </row>
    <row r="661" spans="1:4">
      <c r="A661" t="s">
        <v>5552</v>
      </c>
      <c r="B661" t="s">
        <v>5553</v>
      </c>
      <c r="C661">
        <v>1216</v>
      </c>
      <c r="D661">
        <f>SUMIFS(Horas!R:R,Horas!E:E,A662)</f>
        <v>0</v>
      </c>
    </row>
    <row r="662" spans="1:4">
      <c r="A662" t="s">
        <v>5584</v>
      </c>
      <c r="B662" t="s">
        <v>6441</v>
      </c>
      <c r="C662">
        <v>1251</v>
      </c>
      <c r="D662">
        <f>SUMIFS(Horas!R:R,Horas!E:E,A663)</f>
        <v>0</v>
      </c>
    </row>
    <row r="663" spans="1:4">
      <c r="A663" t="s">
        <v>4777</v>
      </c>
      <c r="B663" t="s">
        <v>4778</v>
      </c>
      <c r="C663">
        <v>1077</v>
      </c>
      <c r="D663">
        <f>SUMIFS(Horas!R:R,Horas!E:E,A664)</f>
        <v>0</v>
      </c>
    </row>
    <row r="664" spans="1:4">
      <c r="A664" t="s">
        <v>4889</v>
      </c>
      <c r="B664" t="s">
        <v>4890</v>
      </c>
      <c r="C664">
        <v>1152</v>
      </c>
      <c r="D664">
        <f>SUMIFS(Horas!R:R,Horas!E:E,A665)</f>
        <v>0</v>
      </c>
    </row>
    <row r="665" spans="1:4">
      <c r="A665" t="s">
        <v>3210</v>
      </c>
      <c r="B665" t="s">
        <v>3211</v>
      </c>
      <c r="C665">
        <v>660</v>
      </c>
      <c r="D665">
        <f>SUMIFS(Horas!R:R,Horas!E:E,A666)</f>
        <v>0</v>
      </c>
    </row>
    <row r="666" spans="1:4">
      <c r="A666" t="s">
        <v>7188</v>
      </c>
      <c r="B666" t="s">
        <v>7189</v>
      </c>
      <c r="C666">
        <v>1601</v>
      </c>
      <c r="D666">
        <f>SUMIFS(Horas!R:R,Horas!E:E,A667)</f>
        <v>0</v>
      </c>
    </row>
    <row r="667" spans="1:4">
      <c r="A667" t="s">
        <v>3829</v>
      </c>
      <c r="B667" t="s">
        <v>3830</v>
      </c>
      <c r="C667">
        <v>1011</v>
      </c>
      <c r="D667">
        <f>SUMIFS(Horas!R:R,Horas!E:E,A668)</f>
        <v>0</v>
      </c>
    </row>
    <row r="668" spans="1:4">
      <c r="A668" t="s">
        <v>7384</v>
      </c>
      <c r="B668" t="s">
        <v>7385</v>
      </c>
      <c r="C668">
        <v>1647</v>
      </c>
      <c r="D668">
        <f>SUMIFS(Horas!R:R,Horas!E:E,A669)</f>
        <v>0</v>
      </c>
    </row>
    <row r="669" spans="1:4">
      <c r="A669" t="s">
        <v>7382</v>
      </c>
      <c r="B669" t="s">
        <v>7383</v>
      </c>
      <c r="C669">
        <v>1621</v>
      </c>
      <c r="D669">
        <f>SUMIFS(Horas!R:R,Horas!E:E,A670)</f>
        <v>0</v>
      </c>
    </row>
    <row r="670" spans="1:4">
      <c r="A670" t="s">
        <v>4852</v>
      </c>
      <c r="B670" t="s">
        <v>4853</v>
      </c>
      <c r="C670">
        <v>1122</v>
      </c>
      <c r="D670">
        <f>SUMIFS(Horas!R:R,Horas!E:E,A671)</f>
        <v>0</v>
      </c>
    </row>
    <row r="671" spans="1:4">
      <c r="A671" t="s">
        <v>7386</v>
      </c>
      <c r="B671" t="s">
        <v>7387</v>
      </c>
      <c r="C671">
        <v>1648</v>
      </c>
      <c r="D671">
        <f>SUMIFS(Horas!R:R,Horas!E:E,A672)</f>
        <v>0</v>
      </c>
    </row>
    <row r="672" spans="1:4">
      <c r="A672" t="s">
        <v>7332</v>
      </c>
      <c r="B672" t="s">
        <v>7333</v>
      </c>
      <c r="C672">
        <v>1620</v>
      </c>
      <c r="D672">
        <f>SUMIFS(Horas!R:R,Horas!E:E,A673)</f>
        <v>0</v>
      </c>
    </row>
    <row r="673" spans="1:4">
      <c r="A673" t="s">
        <v>7155</v>
      </c>
      <c r="B673" t="s">
        <v>7156</v>
      </c>
      <c r="C673">
        <v>1571</v>
      </c>
      <c r="D673">
        <f>SUMIFS(Horas!R:R,Horas!E:E,A674)</f>
        <v>0</v>
      </c>
    </row>
    <row r="674" spans="1:4">
      <c r="A674" t="s">
        <v>3784</v>
      </c>
      <c r="B674" t="s">
        <v>5312</v>
      </c>
      <c r="C674">
        <v>980</v>
      </c>
      <c r="D674">
        <f>SUMIFS(Horas!R:R,Horas!E:E,A675)</f>
        <v>0</v>
      </c>
    </row>
    <row r="675" spans="1:4">
      <c r="A675" t="s">
        <v>4877</v>
      </c>
      <c r="B675" t="s">
        <v>6439</v>
      </c>
      <c r="C675">
        <v>1138</v>
      </c>
      <c r="D675">
        <f>SUMIFS(Horas!R:R,Horas!E:E,A676)</f>
        <v>0</v>
      </c>
    </row>
    <row r="676" spans="1:4">
      <c r="A676" t="s">
        <v>4878</v>
      </c>
      <c r="B676" t="s">
        <v>4879</v>
      </c>
      <c r="C676">
        <v>1139</v>
      </c>
      <c r="D676">
        <f>SUMIFS(Horas!R:R,Horas!E:E,A677)</f>
        <v>0</v>
      </c>
    </row>
    <row r="677" spans="1:4">
      <c r="A677" t="s">
        <v>5678</v>
      </c>
      <c r="B677" t="s">
        <v>5679</v>
      </c>
      <c r="C677">
        <v>1140</v>
      </c>
      <c r="D677">
        <f>SUMIFS(Horas!R:R,Horas!E:E,A678)</f>
        <v>0</v>
      </c>
    </row>
    <row r="678" spans="1:4">
      <c r="A678" t="s">
        <v>5683</v>
      </c>
      <c r="B678" t="s">
        <v>5682</v>
      </c>
      <c r="C678">
        <v>1256</v>
      </c>
      <c r="D678">
        <f>SUMIFS(Horas!R:R,Horas!E:E,A679)</f>
        <v>0</v>
      </c>
    </row>
    <row r="679" spans="1:4">
      <c r="A679" t="s">
        <v>5684</v>
      </c>
      <c r="B679" t="s">
        <v>5685</v>
      </c>
      <c r="C679">
        <v>1257</v>
      </c>
      <c r="D679">
        <f>SUMIFS(Horas!R:R,Horas!E:E,A680)</f>
        <v>0</v>
      </c>
    </row>
    <row r="680" spans="1:4">
      <c r="A680" t="s">
        <v>5686</v>
      </c>
      <c r="B680" t="s">
        <v>5687</v>
      </c>
      <c r="C680">
        <v>1258</v>
      </c>
      <c r="D680">
        <f>SUMIFS(Horas!R:R,Horas!E:E,A681)</f>
        <v>0</v>
      </c>
    </row>
    <row r="681" spans="1:4">
      <c r="A681" t="s">
        <v>6503</v>
      </c>
      <c r="B681" t="s">
        <v>6504</v>
      </c>
      <c r="C681">
        <v>1482</v>
      </c>
      <c r="D681">
        <f>SUMIFS(Horas!R:R,Horas!E:E,A682)</f>
        <v>0</v>
      </c>
    </row>
    <row r="682" spans="1:4">
      <c r="A682" t="s">
        <v>7149</v>
      </c>
      <c r="B682" t="s">
        <v>7150</v>
      </c>
      <c r="C682">
        <v>1564</v>
      </c>
      <c r="D682">
        <f>SUMIFS(Horas!R:R,Horas!E:E,A683)</f>
        <v>0</v>
      </c>
    </row>
    <row r="683" spans="1:4">
      <c r="A683" t="s">
        <v>4843</v>
      </c>
      <c r="B683" t="s">
        <v>4844</v>
      </c>
      <c r="C683">
        <v>1116</v>
      </c>
      <c r="D683">
        <f>SUMIFS(Horas!R:R,Horas!E:E,A684)</f>
        <v>0</v>
      </c>
    </row>
    <row r="684" spans="1:4">
      <c r="A684" t="s">
        <v>4783</v>
      </c>
      <c r="B684" t="s">
        <v>4784</v>
      </c>
      <c r="C684">
        <v>1080</v>
      </c>
      <c r="D684">
        <f>SUMIFS(Horas!R:R,Horas!E:E,A685)</f>
        <v>0</v>
      </c>
    </row>
    <row r="685" spans="1:4">
      <c r="A685" t="s">
        <v>7137</v>
      </c>
      <c r="B685" t="s">
        <v>4784</v>
      </c>
      <c r="C685">
        <v>1552</v>
      </c>
      <c r="D685">
        <f>SUMIFS(Horas!R:R,Horas!E:E,A686)</f>
        <v>0</v>
      </c>
    </row>
    <row r="686" spans="1:4">
      <c r="A686" t="s">
        <v>2488</v>
      </c>
      <c r="B686" t="s">
        <v>2489</v>
      </c>
      <c r="C686">
        <v>255</v>
      </c>
      <c r="D686">
        <f>SUMIFS(Horas!R:R,Horas!E:E,A687)</f>
        <v>0</v>
      </c>
    </row>
    <row r="687" spans="1:4">
      <c r="A687" t="s">
        <v>2472</v>
      </c>
      <c r="B687" t="s">
        <v>2473</v>
      </c>
      <c r="C687">
        <v>244</v>
      </c>
      <c r="D687">
        <f>SUMIFS(Horas!R:R,Horas!E:E,A688)</f>
        <v>0</v>
      </c>
    </row>
    <row r="688" spans="1:4">
      <c r="A688" t="s">
        <v>3293</v>
      </c>
      <c r="B688" t="s">
        <v>3294</v>
      </c>
      <c r="C688">
        <v>709</v>
      </c>
      <c r="D688">
        <f>SUMIFS(Horas!R:R,Horas!E:E,A689)</f>
        <v>0</v>
      </c>
    </row>
    <row r="689" spans="1:4">
      <c r="A689" t="s">
        <v>7284</v>
      </c>
      <c r="B689" t="s">
        <v>7285</v>
      </c>
      <c r="C689">
        <v>1162</v>
      </c>
      <c r="D689">
        <f>SUMIFS(Horas!R:R,Horas!E:E,A690)</f>
        <v>0</v>
      </c>
    </row>
    <row r="690" spans="1:4">
      <c r="A690" t="s">
        <v>7400</v>
      </c>
      <c r="B690" t="s">
        <v>7401</v>
      </c>
      <c r="C690">
        <v>1655</v>
      </c>
      <c r="D690">
        <f>SUMIFS(Horas!R:R,Horas!E:E,A691)</f>
        <v>0</v>
      </c>
    </row>
    <row r="691" spans="1:4">
      <c r="A691" t="s">
        <v>7286</v>
      </c>
      <c r="B691" t="s">
        <v>7287</v>
      </c>
      <c r="C691">
        <v>1163</v>
      </c>
      <c r="D691">
        <f>SUMIFS(Horas!R:R,Horas!E:E,A692)</f>
        <v>0</v>
      </c>
    </row>
    <row r="692" spans="1:4">
      <c r="A692" t="s">
        <v>2520</v>
      </c>
      <c r="B692" t="s">
        <v>2521</v>
      </c>
      <c r="C692">
        <v>273</v>
      </c>
      <c r="D692">
        <f>SUMIFS(Horas!R:R,Horas!E:E,A693)</f>
        <v>0</v>
      </c>
    </row>
    <row r="693" spans="1:4">
      <c r="A693" t="s">
        <v>4757</v>
      </c>
      <c r="B693" t="s">
        <v>4758</v>
      </c>
      <c r="C693">
        <v>1066</v>
      </c>
      <c r="D693">
        <f>SUMIFS(Horas!R:R,Horas!E:E,A694)</f>
        <v>0</v>
      </c>
    </row>
    <row r="694" spans="1:4">
      <c r="A694" t="s">
        <v>7273</v>
      </c>
      <c r="B694" t="s">
        <v>7274</v>
      </c>
      <c r="C694">
        <v>486</v>
      </c>
      <c r="D694">
        <f>SUMIFS(Horas!R:R,Horas!E:E,A695)</f>
        <v>0</v>
      </c>
    </row>
    <row r="695" spans="1:4">
      <c r="A695" t="s">
        <v>2593</v>
      </c>
      <c r="B695" t="s">
        <v>2594</v>
      </c>
      <c r="C695">
        <v>314</v>
      </c>
      <c r="D695">
        <f>SUMIFS(Horas!R:R,Horas!E:E,A696)</f>
        <v>0</v>
      </c>
    </row>
    <row r="696" spans="1:4">
      <c r="A696" t="s">
        <v>3941</v>
      </c>
      <c r="B696" t="s">
        <v>4752</v>
      </c>
      <c r="C696">
        <v>1026</v>
      </c>
      <c r="D696">
        <f>SUMIFS(Horas!R:R,Horas!E:E,A697)</f>
        <v>0</v>
      </c>
    </row>
    <row r="697" spans="1:4">
      <c r="A697" t="s">
        <v>2411</v>
      </c>
      <c r="B697" t="s">
        <v>2412</v>
      </c>
      <c r="C697">
        <v>208</v>
      </c>
      <c r="D697">
        <f>SUMIFS(Horas!R:R,Horas!E:E,A698)</f>
        <v>0</v>
      </c>
    </row>
    <row r="698" spans="1:4">
      <c r="A698" t="s">
        <v>2454</v>
      </c>
      <c r="B698" t="s">
        <v>2455</v>
      </c>
      <c r="C698">
        <v>233</v>
      </c>
      <c r="D698">
        <f>SUMIFS(Horas!R:R,Horas!E:E,A699)</f>
        <v>0</v>
      </c>
    </row>
    <row r="699" spans="1:4">
      <c r="A699" t="s">
        <v>2791</v>
      </c>
      <c r="B699" t="s">
        <v>2792</v>
      </c>
      <c r="C699">
        <v>432</v>
      </c>
      <c r="D699">
        <f>SUMIFS(Horas!R:R,Horas!E:E,A700)</f>
        <v>0</v>
      </c>
    </row>
    <row r="700" spans="1:4">
      <c r="A700" t="s">
        <v>7159</v>
      </c>
      <c r="B700" t="s">
        <v>7160</v>
      </c>
      <c r="C700">
        <v>1576</v>
      </c>
      <c r="D700">
        <f>SUMIFS(Horas!R:R,Horas!E:E,A701)</f>
        <v>0</v>
      </c>
    </row>
    <row r="701" spans="1:4">
      <c r="A701" t="s">
        <v>7370</v>
      </c>
      <c r="B701" t="s">
        <v>7371</v>
      </c>
      <c r="C701">
        <v>1642</v>
      </c>
      <c r="D701">
        <f>SUMIFS(Horas!R:R,Horas!E:E,A702)</f>
        <v>0</v>
      </c>
    </row>
    <row r="702" spans="1:4">
      <c r="A702" t="s">
        <v>7310</v>
      </c>
      <c r="B702" t="s">
        <v>7311</v>
      </c>
      <c r="C702">
        <v>1590</v>
      </c>
      <c r="D702">
        <f>SUMIFS(Horas!R:R,Horas!E:E,A703)</f>
        <v>0</v>
      </c>
    </row>
    <row r="703" spans="1:4">
      <c r="A703" t="s">
        <v>7372</v>
      </c>
      <c r="B703" t="s">
        <v>7373</v>
      </c>
      <c r="C703">
        <v>1591</v>
      </c>
      <c r="D703">
        <f>SUMIFS(Horas!R:R,Horas!E:E,A704)</f>
        <v>0</v>
      </c>
    </row>
    <row r="704" spans="1:4">
      <c r="A704" t="s">
        <v>7374</v>
      </c>
      <c r="B704" t="s">
        <v>7375</v>
      </c>
      <c r="C704">
        <v>1643</v>
      </c>
      <c r="D704">
        <f>SUMIFS(Horas!R:R,Horas!E:E,A705)</f>
        <v>0</v>
      </c>
    </row>
    <row r="705" spans="1:4">
      <c r="A705" t="s">
        <v>7318</v>
      </c>
      <c r="B705" t="s">
        <v>7319</v>
      </c>
      <c r="C705">
        <v>1611</v>
      </c>
      <c r="D705">
        <f>SUMIFS(Horas!R:R,Horas!E:E,A706)</f>
        <v>0</v>
      </c>
    </row>
    <row r="706" spans="1:4">
      <c r="A706" t="s">
        <v>7320</v>
      </c>
      <c r="B706" t="s">
        <v>3640</v>
      </c>
      <c r="C706">
        <v>1612</v>
      </c>
      <c r="D706">
        <f>SUMIFS(Horas!R:R,Horas!E:E,A707)</f>
        <v>0</v>
      </c>
    </row>
    <row r="707" spans="1:4">
      <c r="A707" t="s">
        <v>2552</v>
      </c>
      <c r="B707" t="s">
        <v>2553</v>
      </c>
      <c r="C707">
        <v>292</v>
      </c>
      <c r="D707">
        <f>SUMIFS(Horas!R:R,Horas!E:E,A708)</f>
        <v>0</v>
      </c>
    </row>
    <row r="708" spans="1:4">
      <c r="A708" t="s">
        <v>2849</v>
      </c>
      <c r="B708" t="s">
        <v>2850</v>
      </c>
      <c r="C708">
        <v>297</v>
      </c>
      <c r="D708">
        <f>SUMIFS(Horas!R:R,Horas!E:E,A709)</f>
        <v>0</v>
      </c>
    </row>
    <row r="709" spans="1:4">
      <c r="A709" t="s">
        <v>2498</v>
      </c>
      <c r="B709" t="s">
        <v>2499</v>
      </c>
      <c r="C709">
        <v>262</v>
      </c>
      <c r="D709">
        <f>SUMIFS(Horas!R:R,Horas!E:E,A710)</f>
        <v>0</v>
      </c>
    </row>
    <row r="710" spans="1:4">
      <c r="A710" t="s">
        <v>5869</v>
      </c>
      <c r="B710" t="s">
        <v>5870</v>
      </c>
      <c r="C710">
        <v>1327</v>
      </c>
      <c r="D710">
        <f>SUMIFS(Horas!R:R,Horas!E:E,A711)</f>
        <v>0</v>
      </c>
    </row>
    <row r="711" spans="1:4">
      <c r="A711" t="s">
        <v>4787</v>
      </c>
      <c r="B711" t="s">
        <v>4788</v>
      </c>
      <c r="C711">
        <v>1082</v>
      </c>
      <c r="D711">
        <f>SUMIFS(Horas!R:R,Horas!E:E,A712)</f>
        <v>0</v>
      </c>
    </row>
    <row r="712" spans="1:4">
      <c r="A712" t="s">
        <v>7128</v>
      </c>
      <c r="B712" t="s">
        <v>5871</v>
      </c>
      <c r="C712">
        <v>1328</v>
      </c>
      <c r="D712">
        <f>SUMIFS(Horas!R:R,Horas!E:E,A713)</f>
        <v>0</v>
      </c>
    </row>
    <row r="713" spans="1:4">
      <c r="A713" t="s">
        <v>4746</v>
      </c>
      <c r="B713" t="s">
        <v>2909</v>
      </c>
      <c r="C713">
        <v>492</v>
      </c>
      <c r="D713">
        <f>SUMIFS(Horas!R:R,Horas!E:E,A714)</f>
        <v>0</v>
      </c>
    </row>
    <row r="714" spans="1:4">
      <c r="A714" t="s">
        <v>2536</v>
      </c>
      <c r="B714" t="s">
        <v>2537</v>
      </c>
      <c r="C714">
        <v>281</v>
      </c>
      <c r="D714">
        <f>SUMIFS(Horas!R:R,Horas!E:E,A715)</f>
        <v>0</v>
      </c>
    </row>
    <row r="715" spans="1:4">
      <c r="A715" t="s">
        <v>2839</v>
      </c>
      <c r="B715" t="s">
        <v>2840</v>
      </c>
      <c r="C715">
        <v>456</v>
      </c>
      <c r="D715">
        <f>SUMIFS(Horas!R:R,Horas!E:E,A716)</f>
        <v>0</v>
      </c>
    </row>
    <row r="716" spans="1:4">
      <c r="A716" t="s">
        <v>6450</v>
      </c>
      <c r="B716" t="s">
        <v>6451</v>
      </c>
      <c r="C716">
        <v>1428</v>
      </c>
      <c r="D716">
        <f>SUMIFS(Horas!R:R,Horas!E:E,A717)</f>
        <v>0</v>
      </c>
    </row>
    <row r="717" spans="1:4">
      <c r="A717" t="s">
        <v>5143</v>
      </c>
      <c r="B717" t="s">
        <v>5317</v>
      </c>
      <c r="C717">
        <v>1168</v>
      </c>
      <c r="D717">
        <f>SUMIFS(Horas!R:R,Horas!E:E,A718)</f>
        <v>0</v>
      </c>
    </row>
    <row r="718" spans="1:4">
      <c r="A718" t="s">
        <v>5582</v>
      </c>
      <c r="B718" t="s">
        <v>5583</v>
      </c>
      <c r="C718">
        <v>1249</v>
      </c>
      <c r="D718">
        <f>SUMIFS(Horas!R:R,Horas!E:E,A719)</f>
        <v>0</v>
      </c>
    </row>
    <row r="719" spans="1:4">
      <c r="A719" t="s">
        <v>5533</v>
      </c>
      <c r="B719" t="s">
        <v>5534</v>
      </c>
      <c r="C719">
        <v>1205</v>
      </c>
      <c r="D719">
        <f>SUMIFS(Horas!R:R,Horas!E:E,A720)</f>
        <v>0</v>
      </c>
    </row>
    <row r="720" spans="1:4">
      <c r="A720" t="s">
        <v>2748</v>
      </c>
      <c r="B720" t="s">
        <v>2749</v>
      </c>
      <c r="C720">
        <v>405</v>
      </c>
      <c r="D720">
        <f>SUMIFS(Horas!R:R,Horas!E:E,A721)</f>
        <v>0</v>
      </c>
    </row>
    <row r="721" spans="1:4">
      <c r="A721" t="s">
        <v>5531</v>
      </c>
      <c r="B721" t="s">
        <v>5532</v>
      </c>
      <c r="C721">
        <v>1204</v>
      </c>
      <c r="D721">
        <f>SUMIFS(Horas!R:R,Horas!E:E,A722)</f>
        <v>0</v>
      </c>
    </row>
    <row r="722" spans="1:4">
      <c r="A722" t="s">
        <v>5328</v>
      </c>
      <c r="B722" t="s">
        <v>5329</v>
      </c>
      <c r="C722">
        <v>1176</v>
      </c>
      <c r="D722">
        <f>SUMIFS(Horas!R:R,Horas!E:E,A723)</f>
        <v>0</v>
      </c>
    </row>
    <row r="723" spans="1:4">
      <c r="A723" t="s">
        <v>5816</v>
      </c>
      <c r="B723" t="s">
        <v>5817</v>
      </c>
      <c r="C723">
        <v>1286</v>
      </c>
      <c r="D723">
        <f>SUMIFS(Horas!R:R,Horas!E:E,A724)</f>
        <v>0</v>
      </c>
    </row>
    <row r="724" spans="1:4">
      <c r="A724" t="s">
        <v>5818</v>
      </c>
      <c r="B724" t="s">
        <v>5819</v>
      </c>
      <c r="C724">
        <v>1287</v>
      </c>
      <c r="D724">
        <f>SUMIFS(Horas!R:R,Horas!E:E,A725)</f>
        <v>0</v>
      </c>
    </row>
    <row r="725" spans="1:4">
      <c r="A725" t="s">
        <v>5820</v>
      </c>
      <c r="B725" t="s">
        <v>5821</v>
      </c>
      <c r="C725">
        <v>1288</v>
      </c>
      <c r="D725">
        <f>SUMIFS(Horas!R:R,Horas!E:E,A726)</f>
        <v>0</v>
      </c>
    </row>
    <row r="726" spans="1:4">
      <c r="A726" t="s">
        <v>5822</v>
      </c>
      <c r="B726" t="s">
        <v>5823</v>
      </c>
      <c r="C726">
        <v>1289</v>
      </c>
      <c r="D726">
        <f>SUMIFS(Horas!R:R,Horas!E:E,A727)</f>
        <v>0</v>
      </c>
    </row>
    <row r="727" spans="1:4">
      <c r="A727" t="s">
        <v>5581</v>
      </c>
      <c r="B727" t="s">
        <v>6440</v>
      </c>
      <c r="C727">
        <v>1248</v>
      </c>
      <c r="D727">
        <f>SUMIFS(Horas!R:R,Horas!E:E,A728)</f>
        <v>0</v>
      </c>
    </row>
    <row r="728" spans="1:4">
      <c r="A728" t="s">
        <v>4763</v>
      </c>
      <c r="B728" t="s">
        <v>4764</v>
      </c>
      <c r="C728">
        <v>1069</v>
      </c>
      <c r="D728">
        <f>SUMIFS(Horas!R:R,Horas!E:E,A729)</f>
        <v>0</v>
      </c>
    </row>
    <row r="729" spans="1:4">
      <c r="A729" t="s">
        <v>6755</v>
      </c>
      <c r="B729" t="s">
        <v>6756</v>
      </c>
      <c r="C729">
        <v>1530</v>
      </c>
      <c r="D729">
        <f>SUMIFS(Horas!R:R,Horas!E:E,A730)</f>
        <v>0</v>
      </c>
    </row>
    <row r="730" spans="1:4">
      <c r="A730" t="s">
        <v>4871</v>
      </c>
      <c r="B730" t="s">
        <v>4872</v>
      </c>
      <c r="C730">
        <v>1135</v>
      </c>
      <c r="D730">
        <f>SUMIFS(Horas!R:R,Horas!E:E,A731)</f>
        <v>0</v>
      </c>
    </row>
    <row r="731" spans="1:4">
      <c r="A731" t="s">
        <v>115</v>
      </c>
      <c r="B731" t="s">
        <v>2238</v>
      </c>
      <c r="C731">
        <v>144</v>
      </c>
      <c r="D731">
        <f>SUMIFS(Horas!R:R,Horas!E:E,A732)</f>
        <v>0</v>
      </c>
    </row>
    <row r="732" spans="1:4">
      <c r="A732" t="s">
        <v>2232</v>
      </c>
      <c r="B732" t="s">
        <v>2233</v>
      </c>
      <c r="C732">
        <v>141</v>
      </c>
      <c r="D732">
        <f>SUMIFS(Horas!R:R,Horas!E:E,A733)</f>
        <v>0</v>
      </c>
    </row>
    <row r="733" spans="1:4">
      <c r="A733" t="s">
        <v>2307</v>
      </c>
      <c r="B733" t="s">
        <v>2308</v>
      </c>
      <c r="C733">
        <v>178</v>
      </c>
      <c r="D733">
        <f>SUMIFS(Horas!R:R,Horas!E:E,A734)</f>
        <v>0</v>
      </c>
    </row>
    <row r="734" spans="1:4">
      <c r="A734" t="s">
        <v>3346</v>
      </c>
      <c r="B734" t="s">
        <v>3347</v>
      </c>
      <c r="C734">
        <v>737</v>
      </c>
      <c r="D734">
        <f>SUMIFS(Horas!R:R,Horas!E:E,A735)</f>
        <v>0</v>
      </c>
    </row>
    <row r="735" spans="1:4">
      <c r="A735" t="s">
        <v>2182</v>
      </c>
      <c r="B735" t="s">
        <v>2183</v>
      </c>
      <c r="C735">
        <v>18</v>
      </c>
      <c r="D735">
        <f>SUMIFS(Horas!R:R,Horas!E:E,A736)</f>
        <v>0</v>
      </c>
    </row>
    <row r="736" spans="1:4">
      <c r="A736" t="s">
        <v>2265</v>
      </c>
      <c r="B736" t="s">
        <v>2266</v>
      </c>
      <c r="C736">
        <v>163</v>
      </c>
      <c r="D736">
        <f>SUMIFS(Horas!R:R,Horas!E:E,A737)</f>
        <v>0</v>
      </c>
    </row>
    <row r="737" spans="1:4">
      <c r="A737" t="s">
        <v>2263</v>
      </c>
      <c r="B737" t="s">
        <v>2264</v>
      </c>
      <c r="C737">
        <v>165</v>
      </c>
      <c r="D737">
        <f>SUMIFS(Horas!R:R,Horas!E:E,A738)</f>
        <v>0</v>
      </c>
    </row>
    <row r="738" spans="1:4">
      <c r="A738" t="s">
        <v>2283</v>
      </c>
      <c r="B738" t="s">
        <v>2258</v>
      </c>
      <c r="C738">
        <v>173</v>
      </c>
      <c r="D738">
        <f>SUMIFS(Horas!R:R,Horas!E:E,A739)</f>
        <v>0</v>
      </c>
    </row>
    <row r="739" spans="1:4">
      <c r="A739" t="s">
        <v>2403</v>
      </c>
      <c r="B739" t="s">
        <v>2404</v>
      </c>
      <c r="C739">
        <v>63</v>
      </c>
      <c r="D739">
        <f>SUMIFS(Horas!R:R,Horas!E:E,A740)</f>
        <v>0</v>
      </c>
    </row>
    <row r="740" spans="1:4">
      <c r="A740" t="s">
        <v>2125</v>
      </c>
      <c r="B740" t="s">
        <v>2126</v>
      </c>
      <c r="C740">
        <v>62</v>
      </c>
      <c r="D740">
        <f>SUMIFS(Horas!R:R,Horas!E:E,A741)</f>
        <v>0</v>
      </c>
    </row>
    <row r="741" spans="1:4">
      <c r="A741" t="s">
        <v>2222</v>
      </c>
      <c r="B741" t="s">
        <v>2223</v>
      </c>
      <c r="C741">
        <v>17</v>
      </c>
      <c r="D741">
        <f>SUMIFS(Horas!R:R,Horas!E:E,A742)</f>
        <v>0</v>
      </c>
    </row>
    <row r="742" spans="1:4">
      <c r="A742" t="s">
        <v>6479</v>
      </c>
      <c r="B742" t="s">
        <v>6480</v>
      </c>
      <c r="C742">
        <v>1451</v>
      </c>
      <c r="D742">
        <f>SUMIFS(Horas!R:R,Horas!E:E,A743)</f>
        <v>0</v>
      </c>
    </row>
    <row r="743" spans="1:4">
      <c r="A743" t="s">
        <v>4071</v>
      </c>
      <c r="B743" t="s">
        <v>4072</v>
      </c>
      <c r="C743">
        <v>1055</v>
      </c>
      <c r="D743">
        <f>SUMIFS(Horas!R:R,Horas!E:E,A744)</f>
        <v>0</v>
      </c>
    </row>
    <row r="744" spans="1:4">
      <c r="A744" t="s">
        <v>2720</v>
      </c>
      <c r="B744" t="s">
        <v>2721</v>
      </c>
      <c r="C744">
        <v>383</v>
      </c>
      <c r="D744">
        <f>SUMIFS(Horas!R:R,Horas!E:E,A745)</f>
        <v>0</v>
      </c>
    </row>
    <row r="745" spans="1:4">
      <c r="A745" t="s">
        <v>2714</v>
      </c>
      <c r="B745" t="s">
        <v>2715</v>
      </c>
      <c r="C745">
        <v>380</v>
      </c>
      <c r="D745">
        <f>SUMIFS(Horas!R:R,Horas!E:E,A746)</f>
        <v>0</v>
      </c>
    </row>
    <row r="746" spans="1:4">
      <c r="A746" t="s">
        <v>2712</v>
      </c>
      <c r="B746" t="s">
        <v>2713</v>
      </c>
      <c r="C746">
        <v>379</v>
      </c>
      <c r="D746">
        <f>SUMIFS(Horas!R:R,Horas!E:E,A747)</f>
        <v>0</v>
      </c>
    </row>
    <row r="747" spans="1:4">
      <c r="A747" t="s">
        <v>2722</v>
      </c>
      <c r="B747" t="s">
        <v>2723</v>
      </c>
      <c r="C747">
        <v>384</v>
      </c>
      <c r="D747">
        <f>SUMIFS(Horas!R:R,Horas!E:E,A748)</f>
        <v>0</v>
      </c>
    </row>
    <row r="748" spans="1:4">
      <c r="A748" t="s">
        <v>2716</v>
      </c>
      <c r="B748" t="s">
        <v>2717</v>
      </c>
      <c r="C748">
        <v>381</v>
      </c>
      <c r="D748">
        <f>SUMIFS(Horas!R:R,Horas!E:E,A749)</f>
        <v>0</v>
      </c>
    </row>
    <row r="749" spans="1:4">
      <c r="A749" t="s">
        <v>2701</v>
      </c>
      <c r="B749" t="s">
        <v>2702</v>
      </c>
      <c r="C749">
        <v>370</v>
      </c>
      <c r="D749">
        <f>SUMIFS(Horas!R:R,Horas!E:E,A750)</f>
        <v>0</v>
      </c>
    </row>
    <row r="750" spans="1:4">
      <c r="A750" t="s">
        <v>3483</v>
      </c>
      <c r="B750" t="s">
        <v>3484</v>
      </c>
      <c r="C750">
        <v>812</v>
      </c>
      <c r="D750">
        <f>SUMIFS(Horas!R:R,Horas!E:E,A751)</f>
        <v>0</v>
      </c>
    </row>
    <row r="751" spans="1:4">
      <c r="A751" t="s">
        <v>3957</v>
      </c>
      <c r="B751" t="s">
        <v>3958</v>
      </c>
      <c r="C751">
        <v>1037</v>
      </c>
      <c r="D751">
        <f>SUMIFS(Horas!R:R,Horas!E:E,A752)</f>
        <v>0</v>
      </c>
    </row>
    <row r="752" spans="1:4">
      <c r="A752" t="s">
        <v>2708</v>
      </c>
      <c r="B752" t="s">
        <v>2709</v>
      </c>
      <c r="C752">
        <v>377</v>
      </c>
      <c r="D752">
        <f>SUMIFS(Horas!R:R,Horas!E:E,A753)</f>
        <v>0</v>
      </c>
    </row>
    <row r="753" spans="1:4">
      <c r="A753" t="s">
        <v>5330</v>
      </c>
      <c r="B753" t="s">
        <v>5331</v>
      </c>
      <c r="C753">
        <v>1177</v>
      </c>
      <c r="D753">
        <f>SUMIFS(Horas!R:R,Horas!E:E,A754)</f>
        <v>0</v>
      </c>
    </row>
    <row r="754" spans="1:4">
      <c r="A754" t="s">
        <v>2710</v>
      </c>
      <c r="B754" t="s">
        <v>2711</v>
      </c>
      <c r="C754">
        <v>378</v>
      </c>
      <c r="D754">
        <f>SUMIFS(Horas!R:R,Horas!E:E,A755)</f>
        <v>0</v>
      </c>
    </row>
    <row r="755" spans="1:4">
      <c r="A755" t="s">
        <v>5543</v>
      </c>
      <c r="B755" t="s">
        <v>5544</v>
      </c>
      <c r="C755">
        <v>1211</v>
      </c>
      <c r="D755">
        <f>SUMIFS(Horas!R:R,Horas!E:E,A756)</f>
        <v>0</v>
      </c>
    </row>
    <row r="756" spans="1:4">
      <c r="A756" t="s">
        <v>3136</v>
      </c>
      <c r="B756" t="s">
        <v>3137</v>
      </c>
      <c r="C756">
        <v>621</v>
      </c>
      <c r="D756">
        <f>SUMIFS(Horas!R:R,Horas!E:E,A757)</f>
        <v>0</v>
      </c>
    </row>
    <row r="757" spans="1:4">
      <c r="A757" t="s">
        <v>2940</v>
      </c>
      <c r="B757" t="s">
        <v>2941</v>
      </c>
      <c r="C757">
        <v>509</v>
      </c>
      <c r="D757">
        <f>SUMIFS(Horas!R:R,Horas!E:E,A758)</f>
        <v>0</v>
      </c>
    </row>
    <row r="758" spans="1:4">
      <c r="A758" t="s">
        <v>6751</v>
      </c>
      <c r="B758" t="s">
        <v>6496</v>
      </c>
      <c r="C758">
        <v>1476</v>
      </c>
      <c r="D758">
        <f>SUMIFS(Horas!R:R,Horas!E:E,A759)</f>
        <v>0</v>
      </c>
    </row>
    <row r="759" spans="1:4">
      <c r="A759" t="s">
        <v>7298</v>
      </c>
      <c r="B759" t="s">
        <v>7299</v>
      </c>
      <c r="C759">
        <v>1542</v>
      </c>
      <c r="D759">
        <f>SUMIFS(Horas!R:R,Horas!E:E,A760)</f>
        <v>0</v>
      </c>
    </row>
    <row r="760" spans="1:4">
      <c r="A760" t="s">
        <v>5913</v>
      </c>
      <c r="B760" t="s">
        <v>5914</v>
      </c>
      <c r="C760">
        <v>1353</v>
      </c>
      <c r="D760">
        <f>SUMIFS(Horas!R:R,Horas!E:E,A761)</f>
        <v>0</v>
      </c>
    </row>
    <row r="761" spans="1:4">
      <c r="A761" t="s">
        <v>3124</v>
      </c>
      <c r="B761" t="s">
        <v>3125</v>
      </c>
      <c r="C761">
        <v>614</v>
      </c>
      <c r="D761">
        <f>SUMIFS(Horas!R:R,Horas!E:E,A762)</f>
        <v>0</v>
      </c>
    </row>
    <row r="762" spans="1:4">
      <c r="A762" t="s">
        <v>2787</v>
      </c>
      <c r="B762" t="s">
        <v>2788</v>
      </c>
      <c r="C762">
        <v>429</v>
      </c>
      <c r="D762">
        <f>SUMIFS(Horas!R:R,Horas!E:E,A763)</f>
        <v>0</v>
      </c>
    </row>
    <row r="763" spans="1:4">
      <c r="A763" t="s">
        <v>4808</v>
      </c>
      <c r="B763" t="s">
        <v>4809</v>
      </c>
      <c r="C763">
        <v>1095</v>
      </c>
      <c r="D763">
        <f>SUMIFS(Horas!R:R,Horas!E:E,A764)</f>
        <v>0</v>
      </c>
    </row>
    <row r="764" spans="1:4">
      <c r="A764" t="s">
        <v>2913</v>
      </c>
      <c r="B764" t="s">
        <v>2914</v>
      </c>
      <c r="C764">
        <v>495</v>
      </c>
      <c r="D764">
        <f>SUMIFS(Horas!R:R,Horas!E:E,A765)</f>
        <v>0</v>
      </c>
    </row>
    <row r="765" spans="1:4">
      <c r="A765" t="s">
        <v>7300</v>
      </c>
      <c r="B765" t="s">
        <v>7301</v>
      </c>
      <c r="C765">
        <v>1543</v>
      </c>
      <c r="D765">
        <f>SUMIFS(Horas!R:R,Horas!E:E,A766)</f>
        <v>0</v>
      </c>
    </row>
    <row r="766" spans="1:4">
      <c r="A766" t="s">
        <v>6750</v>
      </c>
      <c r="B766" t="s">
        <v>6478</v>
      </c>
      <c r="C766">
        <v>1450</v>
      </c>
      <c r="D766">
        <f>SUMIFS(Horas!R:R,Horas!E:E,A767)</f>
        <v>0</v>
      </c>
    </row>
    <row r="767" spans="1:4">
      <c r="A767" t="s">
        <v>5887</v>
      </c>
      <c r="B767" t="s">
        <v>5888</v>
      </c>
      <c r="C767">
        <v>1338</v>
      </c>
      <c r="D767">
        <f>SUMIFS(Horas!R:R,Horas!E:E,A768)</f>
        <v>0</v>
      </c>
    </row>
    <row r="768" spans="1:4">
      <c r="A768" t="s">
        <v>2210</v>
      </c>
      <c r="B768" t="s">
        <v>2211</v>
      </c>
      <c r="C768">
        <v>19</v>
      </c>
      <c r="D768">
        <f>SUMIFS(Horas!R:R,Horas!E:E,A769)</f>
        <v>0</v>
      </c>
    </row>
    <row r="769" spans="1:4">
      <c r="A769" t="s">
        <v>2198</v>
      </c>
      <c r="B769" t="s">
        <v>2199</v>
      </c>
      <c r="C769">
        <v>45</v>
      </c>
      <c r="D769">
        <f>SUMIFS(Horas!R:R,Horas!E:E,A770)</f>
        <v>0</v>
      </c>
    </row>
    <row r="770" spans="1:4">
      <c r="A770" t="s">
        <v>2208</v>
      </c>
      <c r="B770" t="s">
        <v>2209</v>
      </c>
      <c r="C770">
        <v>15</v>
      </c>
      <c r="D770">
        <f>SUMIFS(Horas!R:R,Horas!E:E,A771)</f>
        <v>0</v>
      </c>
    </row>
    <row r="771" spans="1:4">
      <c r="A771" t="s">
        <v>2212</v>
      </c>
      <c r="B771" t="s">
        <v>2213</v>
      </c>
      <c r="C771">
        <v>20</v>
      </c>
      <c r="D771">
        <f>SUMIFS(Horas!R:R,Horas!E:E,A772)</f>
        <v>0</v>
      </c>
    </row>
    <row r="772" spans="1:4">
      <c r="A772" t="s">
        <v>2206</v>
      </c>
      <c r="B772" t="s">
        <v>2207</v>
      </c>
      <c r="C772">
        <v>3</v>
      </c>
      <c r="D772">
        <f>SUMIFS(Horas!R:R,Horas!E:E,A773)</f>
        <v>0</v>
      </c>
    </row>
    <row r="773" spans="1:4">
      <c r="A773" t="s">
        <v>2785</v>
      </c>
      <c r="B773" t="s">
        <v>2786</v>
      </c>
      <c r="C773">
        <v>428</v>
      </c>
      <c r="D773">
        <f>SUMIFS(Horas!R:R,Horas!E:E,A774)</f>
        <v>0</v>
      </c>
    </row>
    <row r="774" spans="1:4">
      <c r="A774" t="s">
        <v>2302</v>
      </c>
      <c r="B774" t="s">
        <v>2258</v>
      </c>
      <c r="C774">
        <v>150</v>
      </c>
      <c r="D774">
        <f>SUMIFS(Horas!R:R,Horas!E:E,A775)</f>
        <v>0</v>
      </c>
    </row>
    <row r="775" spans="1:4">
      <c r="A775" t="s">
        <v>3118</v>
      </c>
      <c r="B775" t="s">
        <v>3119</v>
      </c>
      <c r="C775">
        <v>611</v>
      </c>
      <c r="D775">
        <f>SUMIFS(Horas!R:R,Horas!E:E,A776)</f>
        <v>0</v>
      </c>
    </row>
    <row r="776" spans="1:4">
      <c r="A776" t="s">
        <v>2452</v>
      </c>
      <c r="B776" t="s">
        <v>2453</v>
      </c>
      <c r="C776">
        <v>232</v>
      </c>
      <c r="D776">
        <f>SUMIFS(Horas!R:R,Horas!E:E,A777)</f>
        <v>0</v>
      </c>
    </row>
    <row r="777" spans="1:4">
      <c r="A777" t="s">
        <v>2468</v>
      </c>
      <c r="B777" t="s">
        <v>2469</v>
      </c>
      <c r="C777">
        <v>242</v>
      </c>
      <c r="D777">
        <f>SUMIFS(Horas!R:R,Horas!E:E,A778)</f>
        <v>0</v>
      </c>
    </row>
    <row r="778" spans="1:4">
      <c r="A778" t="s">
        <v>2317</v>
      </c>
      <c r="B778" t="s">
        <v>2318</v>
      </c>
      <c r="C778">
        <v>180</v>
      </c>
      <c r="D778">
        <f>SUMIFS(Horas!R:R,Horas!E:E,A779)</f>
        <v>0</v>
      </c>
    </row>
    <row r="779" spans="1:4">
      <c r="A779" t="s">
        <v>2309</v>
      </c>
      <c r="B779" t="s">
        <v>2310</v>
      </c>
      <c r="C779">
        <v>175</v>
      </c>
      <c r="D779">
        <f>SUMIFS(Horas!R:R,Horas!E:E,A780)</f>
        <v>0</v>
      </c>
    </row>
    <row r="780" spans="1:4">
      <c r="A780" t="s">
        <v>2691</v>
      </c>
      <c r="B780" t="s">
        <v>2692</v>
      </c>
      <c r="C780">
        <v>365</v>
      </c>
      <c r="D780">
        <f>SUMIFS(Horas!R:R,Horas!E:E,A781)</f>
        <v>0</v>
      </c>
    </row>
    <row r="781" spans="1:4">
      <c r="A781" t="s">
        <v>2697</v>
      </c>
      <c r="B781" t="s">
        <v>2698</v>
      </c>
      <c r="C781">
        <v>368</v>
      </c>
      <c r="D781">
        <f>SUMIFS(Horas!R:R,Horas!E:E,A782)</f>
        <v>0</v>
      </c>
    </row>
    <row r="782" spans="1:4">
      <c r="A782" t="s">
        <v>2581</v>
      </c>
      <c r="B782" t="s">
        <v>2582</v>
      </c>
      <c r="C782">
        <v>308</v>
      </c>
      <c r="D782">
        <f>SUMIFS(Horas!R:R,Horas!E:E,A783)</f>
        <v>0</v>
      </c>
    </row>
    <row r="783" spans="1:4">
      <c r="A783" t="s">
        <v>2425</v>
      </c>
      <c r="B783" t="s">
        <v>2426</v>
      </c>
      <c r="C783">
        <v>214</v>
      </c>
      <c r="D783">
        <f>SUMIFS(Horas!R:R,Horas!E:E,A784)</f>
        <v>0</v>
      </c>
    </row>
    <row r="784" spans="1:4">
      <c r="A784" t="s">
        <v>2542</v>
      </c>
      <c r="B784" t="s">
        <v>2543</v>
      </c>
      <c r="C784">
        <v>286</v>
      </c>
      <c r="D784">
        <f>SUMIFS(Horas!R:R,Horas!E:E,A785)</f>
        <v>0</v>
      </c>
    </row>
    <row r="785" spans="1:4">
      <c r="A785" t="s">
        <v>2550</v>
      </c>
      <c r="B785" t="s">
        <v>2551</v>
      </c>
      <c r="C785">
        <v>290</v>
      </c>
      <c r="D785">
        <f>SUMIFS(Horas!R:R,Horas!E:E,A786)</f>
        <v>0</v>
      </c>
    </row>
    <row r="786" spans="1:4">
      <c r="A786" t="s">
        <v>2446</v>
      </c>
      <c r="B786" t="s">
        <v>2447</v>
      </c>
      <c r="C786">
        <v>228</v>
      </c>
      <c r="D786">
        <f>SUMIFS(Horas!R:R,Horas!E:E,A787)</f>
        <v>0</v>
      </c>
    </row>
    <row r="787" spans="1:4">
      <c r="A787" t="s">
        <v>2300</v>
      </c>
      <c r="B787" t="s">
        <v>2301</v>
      </c>
      <c r="C787">
        <v>145</v>
      </c>
      <c r="D787">
        <f>SUMIFS(Horas!R:R,Horas!E:E,A788)</f>
        <v>0</v>
      </c>
    </row>
    <row r="788" spans="1:4">
      <c r="A788" t="s">
        <v>2325</v>
      </c>
      <c r="B788" t="s">
        <v>2326</v>
      </c>
      <c r="C788">
        <v>184</v>
      </c>
      <c r="D788">
        <f>SUMIFS(Horas!R:R,Horas!E:E,A789)</f>
        <v>0</v>
      </c>
    </row>
    <row r="789" spans="1:4">
      <c r="A789" t="s">
        <v>2288</v>
      </c>
      <c r="B789" t="s">
        <v>2289</v>
      </c>
      <c r="C789">
        <v>151</v>
      </c>
      <c r="D789">
        <f>SUMIFS(Horas!R:R,Horas!E:E,A790)</f>
        <v>0</v>
      </c>
    </row>
    <row r="790" spans="1:4">
      <c r="A790" t="s">
        <v>2290</v>
      </c>
      <c r="B790" t="s">
        <v>2291</v>
      </c>
      <c r="C790">
        <v>152</v>
      </c>
      <c r="D790">
        <f>SUMIFS(Horas!R:R,Horas!E:E,A791)</f>
        <v>0</v>
      </c>
    </row>
    <row r="791" spans="1:4">
      <c r="A791" t="s">
        <v>2292</v>
      </c>
      <c r="B791" t="s">
        <v>2293</v>
      </c>
      <c r="C791">
        <v>155</v>
      </c>
      <c r="D791">
        <f>SUMIFS(Horas!R:R,Horas!E:E,A792)</f>
        <v>0</v>
      </c>
    </row>
    <row r="792" spans="1:4">
      <c r="A792" t="s">
        <v>2294</v>
      </c>
      <c r="B792" t="s">
        <v>2295</v>
      </c>
      <c r="C792">
        <v>154</v>
      </c>
      <c r="D792">
        <f>SUMIFS(Horas!R:R,Horas!E:E,A793)</f>
        <v>0</v>
      </c>
    </row>
    <row r="793" spans="1:4">
      <c r="A793" t="s">
        <v>2296</v>
      </c>
      <c r="B793" t="s">
        <v>2297</v>
      </c>
      <c r="C793">
        <v>156</v>
      </c>
      <c r="D793">
        <f>SUMIFS(Horas!R:R,Horas!E:E,A794)</f>
        <v>0</v>
      </c>
    </row>
    <row r="794" spans="1:4">
      <c r="A794" t="s">
        <v>2298</v>
      </c>
      <c r="B794" t="s">
        <v>2299</v>
      </c>
      <c r="C794">
        <v>153</v>
      </c>
      <c r="D794">
        <f>SUMIFS(Horas!R:R,Horas!E:E,A795)</f>
        <v>0</v>
      </c>
    </row>
    <row r="795" spans="1:4">
      <c r="A795" t="s">
        <v>2335</v>
      </c>
      <c r="B795" t="s">
        <v>2336</v>
      </c>
      <c r="C795">
        <v>187</v>
      </c>
      <c r="D795">
        <f>SUMIFS(Horas!R:R,Horas!E:E,A796)</f>
        <v>0</v>
      </c>
    </row>
    <row r="796" spans="1:4">
      <c r="A796" t="s">
        <v>2438</v>
      </c>
      <c r="B796" t="s">
        <v>2439</v>
      </c>
      <c r="C796">
        <v>224</v>
      </c>
      <c r="D796">
        <f>SUMIFS(Horas!R:R,Horas!E:E,A797)</f>
        <v>0</v>
      </c>
    </row>
    <row r="797" spans="1:4">
      <c r="A797" t="s">
        <v>2480</v>
      </c>
      <c r="B797" t="s">
        <v>2481</v>
      </c>
      <c r="C797">
        <v>249</v>
      </c>
      <c r="D797">
        <f>SUMIFS(Horas!R:R,Horas!E:E,A798)</f>
        <v>0</v>
      </c>
    </row>
    <row r="798" spans="1:4">
      <c r="A798" t="s">
        <v>2548</v>
      </c>
      <c r="B798" t="s">
        <v>2549</v>
      </c>
      <c r="C798">
        <v>289</v>
      </c>
      <c r="D798">
        <f>SUMIFS(Horas!R:R,Horas!E:E,A799)</f>
        <v>0</v>
      </c>
    </row>
    <row r="799" spans="1:4">
      <c r="A799" t="s">
        <v>2558</v>
      </c>
      <c r="B799" t="s">
        <v>2559</v>
      </c>
      <c r="C799">
        <v>295</v>
      </c>
      <c r="D799">
        <f>SUMIFS(Horas!R:R,Horas!E:E,A800)</f>
        <v>0</v>
      </c>
    </row>
    <row r="800" spans="1:4">
      <c r="A800" t="s">
        <v>2855</v>
      </c>
      <c r="B800" t="s">
        <v>2856</v>
      </c>
      <c r="C800">
        <v>463</v>
      </c>
      <c r="D800">
        <f>SUMIFS(Horas!R:R,Horas!E:E,A801)</f>
        <v>0</v>
      </c>
    </row>
    <row r="801" spans="1:4">
      <c r="A801" t="s">
        <v>2871</v>
      </c>
      <c r="B801" t="s">
        <v>2872</v>
      </c>
      <c r="C801">
        <v>471</v>
      </c>
      <c r="D801">
        <f>SUMIFS(Horas!R:R,Horas!E:E,A802)</f>
        <v>0</v>
      </c>
    </row>
    <row r="802" spans="1:4">
      <c r="A802" t="s">
        <v>2319</v>
      </c>
      <c r="B802" t="s">
        <v>2320</v>
      </c>
      <c r="C802">
        <v>181</v>
      </c>
      <c r="D802">
        <f>SUMIFS(Horas!R:R,Horas!E:E,A803)</f>
        <v>0</v>
      </c>
    </row>
    <row r="803" spans="1:4">
      <c r="A803" t="s">
        <v>2303</v>
      </c>
      <c r="B803" t="s">
        <v>2304</v>
      </c>
      <c r="C803">
        <v>177</v>
      </c>
      <c r="D803">
        <f>SUMIFS(Horas!R:R,Horas!E:E,A804)</f>
        <v>0</v>
      </c>
    </row>
    <row r="804" spans="1:4">
      <c r="A804" t="s">
        <v>2313</v>
      </c>
      <c r="B804" t="s">
        <v>2314</v>
      </c>
      <c r="C804">
        <v>174</v>
      </c>
      <c r="D804">
        <f>SUMIFS(Horas!R:R,Horas!E:E,A805)</f>
        <v>0</v>
      </c>
    </row>
    <row r="805" spans="1:4">
      <c r="A805" t="s">
        <v>2427</v>
      </c>
      <c r="B805" t="s">
        <v>2428</v>
      </c>
      <c r="C805">
        <v>215</v>
      </c>
      <c r="D805">
        <f>SUMIFS(Horas!R:R,Horas!E:E,A806)</f>
        <v>0</v>
      </c>
    </row>
    <row r="806" spans="1:4">
      <c r="A806" t="s">
        <v>2305</v>
      </c>
      <c r="B806" t="s">
        <v>2306</v>
      </c>
      <c r="C806">
        <v>176</v>
      </c>
      <c r="D806">
        <f>SUMIFS(Horas!R:R,Horas!E:E,A807)</f>
        <v>0</v>
      </c>
    </row>
    <row r="807" spans="1:4">
      <c r="A807" t="s">
        <v>2478</v>
      </c>
      <c r="B807" t="s">
        <v>2479</v>
      </c>
      <c r="C807">
        <v>248</v>
      </c>
      <c r="D807">
        <f>SUMIFS(Horas!R:R,Horas!E:E,A808)</f>
        <v>0</v>
      </c>
    </row>
    <row r="808" spans="1:4">
      <c r="A808" t="s">
        <v>2192</v>
      </c>
      <c r="B808" t="s">
        <v>2193</v>
      </c>
      <c r="C808">
        <v>22</v>
      </c>
      <c r="D808">
        <f>SUMIFS(Horas!R:R,Horas!E:E,A809)</f>
        <v>0</v>
      </c>
    </row>
    <row r="809" spans="1:4">
      <c r="A809" t="s">
        <v>2362</v>
      </c>
      <c r="B809" t="s">
        <v>2363</v>
      </c>
      <c r="C809">
        <v>1</v>
      </c>
      <c r="D809">
        <f>SUMIFS(Horas!R:R,Horas!E:E,A810)</f>
        <v>0</v>
      </c>
    </row>
    <row r="810" spans="1:4">
      <c r="A810" t="s">
        <v>2204</v>
      </c>
      <c r="B810" t="s">
        <v>2205</v>
      </c>
      <c r="C810">
        <v>4</v>
      </c>
      <c r="D810">
        <f>SUMIFS(Horas!R:R,Horas!E:E,A811)</f>
        <v>0</v>
      </c>
    </row>
    <row r="811" spans="1:4">
      <c r="A811" t="s">
        <v>2202</v>
      </c>
      <c r="B811" t="s">
        <v>2203</v>
      </c>
      <c r="C811">
        <v>5</v>
      </c>
      <c r="D811">
        <f>SUMIFS(Horas!R:R,Horas!E:E,A812)</f>
        <v>0</v>
      </c>
    </row>
    <row r="812" spans="1:4">
      <c r="A812" t="s">
        <v>2407</v>
      </c>
      <c r="B812" t="s">
        <v>2408</v>
      </c>
      <c r="C812">
        <v>138</v>
      </c>
      <c r="D812">
        <f>SUMIFS(Horas!R:R,Horas!E:E,A813)</f>
        <v>0</v>
      </c>
    </row>
    <row r="813" spans="1:4">
      <c r="A813" t="s">
        <v>3116</v>
      </c>
      <c r="B813" t="s">
        <v>3117</v>
      </c>
      <c r="C813">
        <v>609</v>
      </c>
      <c r="D813">
        <f>SUMIFS(Horas!R:R,Horas!E:E,A814)</f>
        <v>0</v>
      </c>
    </row>
    <row r="814" spans="1:4">
      <c r="A814" t="s">
        <v>6470</v>
      </c>
      <c r="B814" t="s">
        <v>6471</v>
      </c>
      <c r="C814">
        <v>1443</v>
      </c>
      <c r="D814">
        <f>SUMIFS(Horas!R:R,Horas!E:E,A815)</f>
        <v>0</v>
      </c>
    </row>
    <row r="815" spans="1:4">
      <c r="A815" t="s">
        <v>2135</v>
      </c>
      <c r="B815" t="s">
        <v>2136</v>
      </c>
      <c r="C815">
        <v>74</v>
      </c>
      <c r="D815">
        <f>SUMIFS(Horas!R:R,Horas!E:E,A816)</f>
        <v>0</v>
      </c>
    </row>
    <row r="816" spans="1:4">
      <c r="A816" t="s">
        <v>549</v>
      </c>
      <c r="B816" t="s">
        <v>2120</v>
      </c>
      <c r="C816">
        <v>49</v>
      </c>
      <c r="D816">
        <f>SUMIFS(Horas!R:R,Horas!E:E,A817)</f>
        <v>0</v>
      </c>
    </row>
    <row r="817" spans="1:4">
      <c r="A817" t="s">
        <v>555</v>
      </c>
      <c r="B817" t="s">
        <v>2122</v>
      </c>
      <c r="C817">
        <v>53</v>
      </c>
      <c r="D817">
        <f>SUMIFS(Horas!R:R,Horas!E:E,A818)</f>
        <v>0</v>
      </c>
    </row>
    <row r="818" spans="1:4">
      <c r="A818" t="s">
        <v>2133</v>
      </c>
      <c r="B818" t="s">
        <v>2134</v>
      </c>
      <c r="C818">
        <v>73</v>
      </c>
      <c r="D818">
        <f>SUMIFS(Horas!R:R,Horas!E:E,A819)</f>
        <v>0</v>
      </c>
    </row>
    <row r="819" spans="1:4">
      <c r="A819" t="s">
        <v>553</v>
      </c>
      <c r="B819" t="s">
        <v>2113</v>
      </c>
      <c r="C819">
        <v>44</v>
      </c>
      <c r="D819">
        <f>SUMIFS(Horas!R:R,Horas!E:E,A820)</f>
        <v>0</v>
      </c>
    </row>
    <row r="820" spans="1:4">
      <c r="A820" t="s">
        <v>554</v>
      </c>
      <c r="B820" t="s">
        <v>2108</v>
      </c>
      <c r="C820">
        <v>35</v>
      </c>
      <c r="D820">
        <f>SUMIFS(Horas!R:R,Horas!E:E,A821)</f>
        <v>0</v>
      </c>
    </row>
    <row r="821" spans="1:4">
      <c r="A821" t="s">
        <v>2147</v>
      </c>
      <c r="B821" t="s">
        <v>2148</v>
      </c>
      <c r="C821">
        <v>85</v>
      </c>
      <c r="D821">
        <f>SUMIFS(Horas!R:R,Horas!E:E,A822)</f>
        <v>0</v>
      </c>
    </row>
    <row r="822" spans="1:4">
      <c r="A822" t="s">
        <v>2098</v>
      </c>
      <c r="B822" t="s">
        <v>2099</v>
      </c>
      <c r="C822">
        <v>11</v>
      </c>
      <c r="D822">
        <f>SUMIFS(Horas!R:R,Horas!E:E,A823)</f>
        <v>0</v>
      </c>
    </row>
    <row r="823" spans="1:4">
      <c r="A823" t="s">
        <v>550</v>
      </c>
      <c r="B823" t="s">
        <v>2121</v>
      </c>
      <c r="C823">
        <v>50</v>
      </c>
      <c r="D823">
        <f>SUMIFS(Horas!R:R,Horas!E:E,A824)</f>
        <v>0</v>
      </c>
    </row>
    <row r="824" spans="1:4">
      <c r="A824" t="s">
        <v>552</v>
      </c>
      <c r="B824" t="s">
        <v>2432</v>
      </c>
      <c r="C824">
        <v>51</v>
      </c>
      <c r="D824">
        <f>SUMIFS(Horas!R:R,Horas!E:E,A825)</f>
        <v>0</v>
      </c>
    </row>
    <row r="825" spans="1:4">
      <c r="A825" t="s">
        <v>2393</v>
      </c>
      <c r="B825" t="s">
        <v>2394</v>
      </c>
      <c r="C825">
        <v>135</v>
      </c>
      <c r="D825">
        <f>SUMIFS(Horas!R:R,Horas!E:E,A826)</f>
        <v>0</v>
      </c>
    </row>
    <row r="826" spans="1:4">
      <c r="A826" t="s">
        <v>2257</v>
      </c>
      <c r="B826" t="s">
        <v>2258</v>
      </c>
      <c r="C826">
        <v>164</v>
      </c>
      <c r="D826">
        <f>SUMIFS(Horas!R:R,Horas!E:E,A827)</f>
        <v>0</v>
      </c>
    </row>
    <row r="827" spans="1:4">
      <c r="A827" t="s">
        <v>2315</v>
      </c>
      <c r="B827" t="s">
        <v>2316</v>
      </c>
      <c r="C827">
        <v>157</v>
      </c>
      <c r="D827">
        <f>SUMIFS(Horas!R:R,Horas!E:E,A828)</f>
        <v>0</v>
      </c>
    </row>
    <row r="828" spans="1:4">
      <c r="A828" t="s">
        <v>2277</v>
      </c>
      <c r="B828" t="s">
        <v>2278</v>
      </c>
      <c r="C828">
        <v>172</v>
      </c>
      <c r="D828">
        <f>SUMIFS(Horas!R:R,Horas!E:E,A829)</f>
        <v>0</v>
      </c>
    </row>
    <row r="829" spans="1:4">
      <c r="A829" t="s">
        <v>2321</v>
      </c>
      <c r="B829" t="s">
        <v>2322</v>
      </c>
      <c r="C829">
        <v>182</v>
      </c>
      <c r="D829">
        <f>SUMIFS(Horas!R:R,Horas!E:E,A830)</f>
        <v>0</v>
      </c>
    </row>
    <row r="830" spans="1:4">
      <c r="A830" t="s">
        <v>2331</v>
      </c>
      <c r="B830" t="s">
        <v>2332</v>
      </c>
      <c r="C830">
        <v>185</v>
      </c>
      <c r="D830">
        <f>SUMIFS(Horas!R:R,Horas!E:E,A831)</f>
        <v>0</v>
      </c>
    </row>
    <row r="831" spans="1:4">
      <c r="A831" t="s">
        <v>2333</v>
      </c>
      <c r="B831" t="s">
        <v>2334</v>
      </c>
      <c r="C831">
        <v>186</v>
      </c>
      <c r="D831">
        <f>SUMIFS(Horas!R:R,Horas!E:E,A832)</f>
        <v>0</v>
      </c>
    </row>
    <row r="832" spans="1:4">
      <c r="A832" t="s">
        <v>2251</v>
      </c>
      <c r="B832" t="s">
        <v>2252</v>
      </c>
      <c r="C832">
        <v>149</v>
      </c>
      <c r="D832">
        <f>SUMIFS(Horas!R:R,Horas!E:E,A833)</f>
        <v>0</v>
      </c>
    </row>
    <row r="833" spans="1:4">
      <c r="A833" t="s">
        <v>2255</v>
      </c>
      <c r="B833" t="s">
        <v>2256</v>
      </c>
      <c r="C833">
        <v>159</v>
      </c>
      <c r="D833">
        <f>SUMIFS(Horas!R:R,Horas!E:E,A834)</f>
        <v>0</v>
      </c>
    </row>
    <row r="834" spans="1:4">
      <c r="A834" t="s">
        <v>2421</v>
      </c>
      <c r="B834" t="s">
        <v>2422</v>
      </c>
      <c r="C834">
        <v>59</v>
      </c>
      <c r="D834">
        <f>SUMIFS(Horas!R:R,Horas!E:E,A835)</f>
        <v>0</v>
      </c>
    </row>
    <row r="835" spans="1:4">
      <c r="A835" t="s">
        <v>2370</v>
      </c>
      <c r="B835" t="s">
        <v>2371</v>
      </c>
      <c r="C835">
        <v>10</v>
      </c>
      <c r="D835">
        <f>SUMIFS(Horas!R:R,Horas!E:E,A836)</f>
        <v>0</v>
      </c>
    </row>
    <row r="836" spans="1:4">
      <c r="A836" t="s">
        <v>2419</v>
      </c>
      <c r="B836" t="s">
        <v>2420</v>
      </c>
      <c r="C836">
        <v>57</v>
      </c>
      <c r="D836">
        <f>SUMIFS(Horas!R:R,Horas!E:E,A837)</f>
        <v>0</v>
      </c>
    </row>
    <row r="837" spans="1:4">
      <c r="A837" t="s">
        <v>3178</v>
      </c>
      <c r="B837" t="s">
        <v>3179</v>
      </c>
      <c r="C837">
        <v>643</v>
      </c>
      <c r="D837">
        <f>SUMIFS(Horas!R:R,Horas!E:E,A838)</f>
        <v>0</v>
      </c>
    </row>
    <row r="838" spans="1:4">
      <c r="A838" t="s">
        <v>2797</v>
      </c>
      <c r="B838" t="s">
        <v>2798</v>
      </c>
      <c r="C838">
        <v>435</v>
      </c>
      <c r="D838">
        <f>SUMIFS(Horas!R:R,Horas!E:E,A839)</f>
        <v>0</v>
      </c>
    </row>
    <row r="839" spans="1:4">
      <c r="A839" t="s">
        <v>3759</v>
      </c>
      <c r="B839" t="s">
        <v>3760</v>
      </c>
      <c r="C839">
        <v>966</v>
      </c>
      <c r="D839">
        <f>SUMIFS(Horas!R:R,Horas!E:E,A840)</f>
        <v>0</v>
      </c>
    </row>
    <row r="840" spans="1:4">
      <c r="A840" t="s">
        <v>2464</v>
      </c>
      <c r="B840" t="s">
        <v>2465</v>
      </c>
      <c r="C840">
        <v>239</v>
      </c>
      <c r="D840">
        <f>SUMIFS(Horas!R:R,Horas!E:E,A841)</f>
        <v>0</v>
      </c>
    </row>
    <row r="841" spans="1:4">
      <c r="A841" t="s">
        <v>3172</v>
      </c>
      <c r="B841" t="s">
        <v>3173</v>
      </c>
      <c r="C841">
        <v>640</v>
      </c>
      <c r="D841">
        <f>SUMIFS(Horas!R:R,Horas!E:E,A842)</f>
        <v>0</v>
      </c>
    </row>
    <row r="842" spans="1:4">
      <c r="A842" t="s">
        <v>3182</v>
      </c>
      <c r="B842" t="s">
        <v>3183</v>
      </c>
      <c r="C842">
        <v>645</v>
      </c>
      <c r="D842">
        <f>SUMIFS(Horas!R:R,Horas!E:E,A843)</f>
        <v>0</v>
      </c>
    </row>
    <row r="843" spans="1:4">
      <c r="A843" t="s">
        <v>3198</v>
      </c>
      <c r="B843" t="s">
        <v>3199</v>
      </c>
      <c r="C843">
        <v>654</v>
      </c>
      <c r="D843">
        <f>SUMIFS(Horas!R:R,Horas!E:E,A844)</f>
        <v>0</v>
      </c>
    </row>
    <row r="844" spans="1:4">
      <c r="A844" t="s">
        <v>3186</v>
      </c>
      <c r="B844" t="s">
        <v>3187</v>
      </c>
      <c r="C844">
        <v>647</v>
      </c>
      <c r="D844">
        <f>SUMIFS(Horas!R:R,Horas!E:E,A845)</f>
        <v>0</v>
      </c>
    </row>
    <row r="845" spans="1:4">
      <c r="A845" t="s">
        <v>3202</v>
      </c>
      <c r="B845" t="s">
        <v>3203</v>
      </c>
      <c r="C845">
        <v>656</v>
      </c>
      <c r="D845">
        <f>SUMIFS(Horas!R:R,Horas!E:E,A846)</f>
        <v>0</v>
      </c>
    </row>
    <row r="846" spans="1:4">
      <c r="A846" t="s">
        <v>3196</v>
      </c>
      <c r="B846" t="s">
        <v>3197</v>
      </c>
      <c r="C846">
        <v>652</v>
      </c>
      <c r="D846">
        <f>SUMIFS(Horas!R:R,Horas!E:E,A847)</f>
        <v>0</v>
      </c>
    </row>
    <row r="847" spans="1:4">
      <c r="A847" t="s">
        <v>3218</v>
      </c>
      <c r="B847" t="s">
        <v>3219</v>
      </c>
      <c r="C847">
        <v>665</v>
      </c>
      <c r="D847">
        <f>SUMIFS(Horas!R:R,Horas!E:E,A848)</f>
        <v>0</v>
      </c>
    </row>
    <row r="848" spans="1:4">
      <c r="A848" t="s">
        <v>3208</v>
      </c>
      <c r="B848" t="s">
        <v>3209</v>
      </c>
      <c r="C848">
        <v>659</v>
      </c>
      <c r="D848">
        <f>SUMIFS(Horas!R:R,Horas!E:E,A849)</f>
        <v>0</v>
      </c>
    </row>
    <row r="849" spans="1:4">
      <c r="A849" t="s">
        <v>3206</v>
      </c>
      <c r="B849" t="s">
        <v>3207</v>
      </c>
      <c r="C849">
        <v>658</v>
      </c>
      <c r="D849">
        <f>SUMIFS(Horas!R:R,Horas!E:E,A850)</f>
        <v>0</v>
      </c>
    </row>
    <row r="850" spans="1:4">
      <c r="A850" t="s">
        <v>3214</v>
      </c>
      <c r="B850" t="s">
        <v>3215</v>
      </c>
      <c r="C850">
        <v>663</v>
      </c>
      <c r="D850">
        <f>SUMIFS(Horas!R:R,Horas!E:E,A851)</f>
        <v>0</v>
      </c>
    </row>
    <row r="851" spans="1:4">
      <c r="A851" t="s">
        <v>3220</v>
      </c>
      <c r="B851" t="s">
        <v>3221</v>
      </c>
      <c r="C851">
        <v>666</v>
      </c>
      <c r="D851">
        <f>SUMIFS(Horas!R:R,Horas!E:E,A852)</f>
        <v>0</v>
      </c>
    </row>
    <row r="852" spans="1:4">
      <c r="A852" t="s">
        <v>3270</v>
      </c>
      <c r="B852" t="s">
        <v>3271</v>
      </c>
      <c r="C852">
        <v>696</v>
      </c>
      <c r="D852">
        <f>SUMIFS(Horas!R:R,Horas!E:E,A853)</f>
        <v>0</v>
      </c>
    </row>
    <row r="853" spans="1:4">
      <c r="A853" t="s">
        <v>3312</v>
      </c>
      <c r="B853" t="s">
        <v>3313</v>
      </c>
      <c r="C853">
        <v>720</v>
      </c>
      <c r="D853">
        <f>SUMIFS(Horas!R:R,Horas!E:E,A854)</f>
        <v>0</v>
      </c>
    </row>
    <row r="854" spans="1:4">
      <c r="A854" t="s">
        <v>3212</v>
      </c>
      <c r="B854" t="s">
        <v>3213</v>
      </c>
      <c r="C854">
        <v>662</v>
      </c>
      <c r="D854">
        <f>SUMIFS(Horas!R:R,Horas!E:E,A855)</f>
        <v>0</v>
      </c>
    </row>
    <row r="855" spans="1:4">
      <c r="A855" t="s">
        <v>3216</v>
      </c>
      <c r="B855" t="s">
        <v>3217</v>
      </c>
      <c r="C855">
        <v>664</v>
      </c>
      <c r="D855">
        <f>SUMIFS(Horas!R:R,Horas!E:E,A856)</f>
        <v>0</v>
      </c>
    </row>
    <row r="856" spans="1:4">
      <c r="A856" t="s">
        <v>3224</v>
      </c>
      <c r="B856" t="s">
        <v>3225</v>
      </c>
      <c r="C856">
        <v>670</v>
      </c>
      <c r="D856">
        <f>SUMIFS(Horas!R:R,Horas!E:E,A857)</f>
        <v>0</v>
      </c>
    </row>
    <row r="857" spans="1:4">
      <c r="A857" t="s">
        <v>3257</v>
      </c>
      <c r="B857" t="s">
        <v>3258</v>
      </c>
      <c r="C857">
        <v>689</v>
      </c>
      <c r="D857">
        <f>SUMIFS(Horas!R:R,Horas!E:E,A858)</f>
        <v>0</v>
      </c>
    </row>
    <row r="858" spans="1:4">
      <c r="A858" t="s">
        <v>3255</v>
      </c>
      <c r="B858" t="s">
        <v>3256</v>
      </c>
      <c r="C858">
        <v>688</v>
      </c>
      <c r="D858">
        <f>SUMIFS(Horas!R:R,Horas!E:E,A859)</f>
        <v>0</v>
      </c>
    </row>
    <row r="859" spans="1:4">
      <c r="A859" t="s">
        <v>3228</v>
      </c>
      <c r="B859" t="s">
        <v>3229</v>
      </c>
      <c r="C859">
        <v>672</v>
      </c>
      <c r="D859">
        <f>SUMIFS(Horas!R:R,Horas!E:E,A860)</f>
        <v>0</v>
      </c>
    </row>
    <row r="860" spans="1:4">
      <c r="A860" t="s">
        <v>3232</v>
      </c>
      <c r="B860" t="s">
        <v>3233</v>
      </c>
      <c r="C860">
        <v>674</v>
      </c>
      <c r="D860">
        <f>SUMIFS(Horas!R:R,Horas!E:E,A861)</f>
        <v>0</v>
      </c>
    </row>
    <row r="861" spans="1:4">
      <c r="A861" t="s">
        <v>3437</v>
      </c>
      <c r="B861" t="s">
        <v>3438</v>
      </c>
      <c r="C861">
        <v>789</v>
      </c>
      <c r="D861">
        <f>SUMIFS(Horas!R:R,Horas!E:E,A862)</f>
        <v>0</v>
      </c>
    </row>
    <row r="862" spans="1:4">
      <c r="A862" t="s">
        <v>3230</v>
      </c>
      <c r="B862" t="s">
        <v>3231</v>
      </c>
      <c r="C862">
        <v>673</v>
      </c>
      <c r="D862">
        <f>SUMIFS(Horas!R:R,Horas!E:E,A863)</f>
        <v>0</v>
      </c>
    </row>
    <row r="863" spans="1:4">
      <c r="A863" t="s">
        <v>3242</v>
      </c>
      <c r="B863" t="s">
        <v>3243</v>
      </c>
      <c r="C863">
        <v>679</v>
      </c>
      <c r="D863">
        <f>SUMIFS(Horas!R:R,Horas!E:E,A864)</f>
        <v>0</v>
      </c>
    </row>
    <row r="864" spans="1:4">
      <c r="A864" t="s">
        <v>3234</v>
      </c>
      <c r="B864" t="s">
        <v>3235</v>
      </c>
      <c r="C864">
        <v>675</v>
      </c>
      <c r="D864">
        <f>SUMIFS(Horas!R:R,Horas!E:E,A865)</f>
        <v>0</v>
      </c>
    </row>
    <row r="865" spans="1:4">
      <c r="A865" t="s">
        <v>3236</v>
      </c>
      <c r="B865" t="s">
        <v>3237</v>
      </c>
      <c r="C865">
        <v>676</v>
      </c>
      <c r="D865">
        <f>SUMIFS(Horas!R:R,Horas!E:E,A866)</f>
        <v>0</v>
      </c>
    </row>
    <row r="866" spans="1:4">
      <c r="A866" t="s">
        <v>3248</v>
      </c>
      <c r="B866" t="s">
        <v>3237</v>
      </c>
      <c r="C866">
        <v>683</v>
      </c>
      <c r="D866">
        <f>SUMIFS(Horas!R:R,Horas!E:E,A867)</f>
        <v>0</v>
      </c>
    </row>
    <row r="867" spans="1:4">
      <c r="A867" t="s">
        <v>3238</v>
      </c>
      <c r="B867" t="s">
        <v>3239</v>
      </c>
      <c r="C867">
        <v>677</v>
      </c>
      <c r="D867">
        <f>SUMIFS(Horas!R:R,Horas!E:E,A868)</f>
        <v>0</v>
      </c>
    </row>
    <row r="868" spans="1:4">
      <c r="A868" t="s">
        <v>3240</v>
      </c>
      <c r="B868" t="s">
        <v>3241</v>
      </c>
      <c r="C868">
        <v>678</v>
      </c>
      <c r="D868">
        <f>SUMIFS(Horas!R:R,Horas!E:E,A869)</f>
        <v>0</v>
      </c>
    </row>
    <row r="869" spans="1:4">
      <c r="A869" t="s">
        <v>3246</v>
      </c>
      <c r="B869" t="s">
        <v>3247</v>
      </c>
      <c r="C869">
        <v>681</v>
      </c>
      <c r="D869">
        <f>SUMIFS(Horas!R:R,Horas!E:E,A870)</f>
        <v>0</v>
      </c>
    </row>
    <row r="870" spans="1:4">
      <c r="A870" t="s">
        <v>3244</v>
      </c>
      <c r="B870" t="s">
        <v>3245</v>
      </c>
      <c r="C870">
        <v>680</v>
      </c>
      <c r="D870">
        <f>SUMIFS(Horas!R:R,Horas!E:E,A871)</f>
        <v>0</v>
      </c>
    </row>
    <row r="871" spans="1:4">
      <c r="A871" t="s">
        <v>3275</v>
      </c>
      <c r="B871" t="s">
        <v>3276</v>
      </c>
      <c r="C871">
        <v>700</v>
      </c>
      <c r="D871">
        <f>SUMIFS(Horas!R:R,Horas!E:E,A872)</f>
        <v>0</v>
      </c>
    </row>
    <row r="872" spans="1:4">
      <c r="A872" t="s">
        <v>3274</v>
      </c>
      <c r="B872" t="s">
        <v>3203</v>
      </c>
      <c r="C872">
        <v>699</v>
      </c>
      <c r="D872">
        <f>SUMIFS(Horas!R:R,Horas!E:E,A873)</f>
        <v>0</v>
      </c>
    </row>
    <row r="873" spans="1:4">
      <c r="A873" t="s">
        <v>3352</v>
      </c>
      <c r="B873" t="s">
        <v>3353</v>
      </c>
      <c r="C873">
        <v>740</v>
      </c>
      <c r="D873">
        <f>SUMIFS(Horas!R:R,Horas!E:E,A874)</f>
        <v>0</v>
      </c>
    </row>
    <row r="874" spans="1:4">
      <c r="A874" t="s">
        <v>3266</v>
      </c>
      <c r="B874" t="s">
        <v>3267</v>
      </c>
      <c r="C874">
        <v>694</v>
      </c>
      <c r="D874">
        <f>SUMIFS(Horas!R:R,Horas!E:E,A875)</f>
        <v>0</v>
      </c>
    </row>
    <row r="875" spans="1:4">
      <c r="A875" t="s">
        <v>3261</v>
      </c>
      <c r="B875" t="s">
        <v>3262</v>
      </c>
      <c r="C875">
        <v>691</v>
      </c>
      <c r="D875">
        <f>SUMIFS(Horas!R:R,Horas!E:E,A876)</f>
        <v>0</v>
      </c>
    </row>
    <row r="876" spans="1:4">
      <c r="A876" t="s">
        <v>3332</v>
      </c>
      <c r="B876" t="s">
        <v>3333</v>
      </c>
      <c r="C876">
        <v>730</v>
      </c>
      <c r="D876">
        <f>SUMIFS(Horas!R:R,Horas!E:E,A877)</f>
        <v>0</v>
      </c>
    </row>
    <row r="877" spans="1:4">
      <c r="A877" t="s">
        <v>3268</v>
      </c>
      <c r="B877" t="s">
        <v>3269</v>
      </c>
      <c r="C877">
        <v>695</v>
      </c>
      <c r="D877">
        <f>SUMIFS(Horas!R:R,Horas!E:E,A878)</f>
        <v>0</v>
      </c>
    </row>
    <row r="878" spans="1:4">
      <c r="A878" t="s">
        <v>3287</v>
      </c>
      <c r="B878" t="s">
        <v>3288</v>
      </c>
      <c r="C878">
        <v>706</v>
      </c>
      <c r="D878">
        <f>SUMIFS(Horas!R:R,Horas!E:E,A879)</f>
        <v>0</v>
      </c>
    </row>
    <row r="879" spans="1:4">
      <c r="A879" t="s">
        <v>3272</v>
      </c>
      <c r="B879" t="s">
        <v>3273</v>
      </c>
      <c r="C879">
        <v>698</v>
      </c>
      <c r="D879">
        <f>SUMIFS(Horas!R:R,Horas!E:E,A880)</f>
        <v>0</v>
      </c>
    </row>
    <row r="880" spans="1:4">
      <c r="A880" t="s">
        <v>3279</v>
      </c>
      <c r="B880" t="s">
        <v>3280</v>
      </c>
      <c r="C880">
        <v>702</v>
      </c>
      <c r="D880">
        <f>SUMIFS(Horas!R:R,Horas!E:E,A881)</f>
        <v>0</v>
      </c>
    </row>
    <row r="881" spans="1:4">
      <c r="A881" t="s">
        <v>3299</v>
      </c>
      <c r="B881" t="s">
        <v>3300</v>
      </c>
      <c r="C881">
        <v>712</v>
      </c>
      <c r="D881">
        <f>SUMIFS(Horas!R:R,Horas!E:E,A882)</f>
        <v>0</v>
      </c>
    </row>
    <row r="882" spans="1:4">
      <c r="A882" t="s">
        <v>3301</v>
      </c>
      <c r="B882" t="s">
        <v>3302</v>
      </c>
      <c r="C882">
        <v>713</v>
      </c>
      <c r="D882">
        <f>SUMIFS(Horas!R:R,Horas!E:E,A883)</f>
        <v>0</v>
      </c>
    </row>
    <row r="883" spans="1:4">
      <c r="A883" t="s">
        <v>3303</v>
      </c>
      <c r="B883" t="s">
        <v>3300</v>
      </c>
      <c r="C883">
        <v>714</v>
      </c>
      <c r="D883">
        <f>SUMIFS(Horas!R:R,Horas!E:E,A884)</f>
        <v>0</v>
      </c>
    </row>
    <row r="884" spans="1:4">
      <c r="A884" t="s">
        <v>3283</v>
      </c>
      <c r="B884" t="s">
        <v>3284</v>
      </c>
      <c r="C884">
        <v>704</v>
      </c>
      <c r="D884">
        <f>SUMIFS(Horas!R:R,Horas!E:E,A885)</f>
        <v>0</v>
      </c>
    </row>
    <row r="885" spans="1:4">
      <c r="A885" t="s">
        <v>3291</v>
      </c>
      <c r="B885" t="s">
        <v>3292</v>
      </c>
      <c r="C885">
        <v>708</v>
      </c>
      <c r="D885">
        <f>SUMIFS(Horas!R:R,Horas!E:E,A886)</f>
        <v>0</v>
      </c>
    </row>
    <row r="886" spans="1:4">
      <c r="A886" t="s">
        <v>3324</v>
      </c>
      <c r="B886" t="s">
        <v>3325</v>
      </c>
      <c r="C886">
        <v>726</v>
      </c>
      <c r="D886">
        <f>SUMIFS(Horas!R:R,Horas!E:E,A887)</f>
        <v>0</v>
      </c>
    </row>
    <row r="887" spans="1:4">
      <c r="A887" t="s">
        <v>3316</v>
      </c>
      <c r="B887" t="s">
        <v>3317</v>
      </c>
      <c r="C887">
        <v>722</v>
      </c>
      <c r="D887">
        <f>SUMIFS(Horas!R:R,Horas!E:E,A888)</f>
        <v>0</v>
      </c>
    </row>
    <row r="888" spans="1:4">
      <c r="A888" t="s">
        <v>3304</v>
      </c>
      <c r="B888" t="s">
        <v>3305</v>
      </c>
      <c r="C888">
        <v>715</v>
      </c>
      <c r="D888">
        <f>SUMIFS(Horas!R:R,Horas!E:E,A889)</f>
        <v>0</v>
      </c>
    </row>
    <row r="889" spans="1:4">
      <c r="A889" t="s">
        <v>3306</v>
      </c>
      <c r="B889" t="s">
        <v>3307</v>
      </c>
      <c r="C889">
        <v>716</v>
      </c>
      <c r="D889">
        <f>SUMIFS(Horas!R:R,Horas!E:E,A890)</f>
        <v>0</v>
      </c>
    </row>
    <row r="890" spans="1:4">
      <c r="A890" t="s">
        <v>3308</v>
      </c>
      <c r="B890" t="s">
        <v>3309</v>
      </c>
      <c r="C890">
        <v>717</v>
      </c>
      <c r="D890">
        <f>SUMIFS(Horas!R:R,Horas!E:E,A891)</f>
        <v>0</v>
      </c>
    </row>
    <row r="891" spans="1:4">
      <c r="A891" t="s">
        <v>3310</v>
      </c>
      <c r="B891" t="s">
        <v>3311</v>
      </c>
      <c r="C891">
        <v>718</v>
      </c>
      <c r="D891">
        <f>SUMIFS(Horas!R:R,Horas!E:E,A892)</f>
        <v>0</v>
      </c>
    </row>
    <row r="892" spans="1:4">
      <c r="A892" t="s">
        <v>3348</v>
      </c>
      <c r="B892" t="s">
        <v>3349</v>
      </c>
      <c r="C892">
        <v>738</v>
      </c>
      <c r="D892">
        <f>SUMIFS(Horas!R:R,Horas!E:E,A893)</f>
        <v>0</v>
      </c>
    </row>
    <row r="893" spans="1:4">
      <c r="A893" t="s">
        <v>3320</v>
      </c>
      <c r="B893" t="s">
        <v>3321</v>
      </c>
      <c r="C893">
        <v>724</v>
      </c>
      <c r="D893">
        <f>SUMIFS(Horas!R:R,Horas!E:E,A894)</f>
        <v>0</v>
      </c>
    </row>
    <row r="894" spans="1:4">
      <c r="A894" t="s">
        <v>3318</v>
      </c>
      <c r="B894" t="s">
        <v>3319</v>
      </c>
      <c r="C894">
        <v>723</v>
      </c>
      <c r="D894">
        <f>SUMIFS(Horas!R:R,Horas!E:E,A895)</f>
        <v>0</v>
      </c>
    </row>
    <row r="895" spans="1:4">
      <c r="A895" t="s">
        <v>3314</v>
      </c>
      <c r="B895" t="s">
        <v>3315</v>
      </c>
      <c r="C895">
        <v>721</v>
      </c>
      <c r="D895">
        <f>SUMIFS(Horas!R:R,Horas!E:E,A896)</f>
        <v>0</v>
      </c>
    </row>
    <row r="896" spans="1:4">
      <c r="A896" t="s">
        <v>3356</v>
      </c>
      <c r="B896" t="s">
        <v>3357</v>
      </c>
      <c r="C896">
        <v>742</v>
      </c>
      <c r="D896">
        <f>SUMIFS(Horas!R:R,Horas!E:E,A897)</f>
        <v>0</v>
      </c>
    </row>
    <row r="897" spans="1:4">
      <c r="A897" t="s">
        <v>3322</v>
      </c>
      <c r="B897" t="s">
        <v>3323</v>
      </c>
      <c r="C897">
        <v>725</v>
      </c>
      <c r="D897">
        <f>SUMIFS(Horas!R:R,Horas!E:E,A898)</f>
        <v>0</v>
      </c>
    </row>
    <row r="898" spans="1:4">
      <c r="A898" t="s">
        <v>3330</v>
      </c>
      <c r="B898" t="s">
        <v>3331</v>
      </c>
      <c r="C898">
        <v>729</v>
      </c>
      <c r="D898">
        <f>SUMIFS(Horas!R:R,Horas!E:E,A899)</f>
        <v>0</v>
      </c>
    </row>
    <row r="899" spans="1:4">
      <c r="A899" t="s">
        <v>3340</v>
      </c>
      <c r="B899" t="s">
        <v>3341</v>
      </c>
      <c r="C899">
        <v>734</v>
      </c>
      <c r="D899">
        <f>SUMIFS(Horas!R:R,Horas!E:E,A900)</f>
        <v>0</v>
      </c>
    </row>
    <row r="900" spans="1:4">
      <c r="A900" t="s">
        <v>3754</v>
      </c>
      <c r="B900" t="s">
        <v>3755</v>
      </c>
      <c r="C900">
        <v>963</v>
      </c>
      <c r="D900">
        <f>SUMIFS(Horas!R:R,Horas!E:E,A901)</f>
        <v>0</v>
      </c>
    </row>
    <row r="901" spans="1:4">
      <c r="A901" t="s">
        <v>3362</v>
      </c>
      <c r="B901" t="s">
        <v>3363</v>
      </c>
      <c r="C901">
        <v>745</v>
      </c>
      <c r="D901">
        <f>SUMIFS(Horas!R:R,Horas!E:E,A902)</f>
        <v>0</v>
      </c>
    </row>
    <row r="902" spans="1:4">
      <c r="A902" t="s">
        <v>3336</v>
      </c>
      <c r="B902" t="s">
        <v>3337</v>
      </c>
      <c r="C902">
        <v>732</v>
      </c>
      <c r="D902">
        <f>SUMIFS(Horas!R:R,Horas!E:E,A903)</f>
        <v>0</v>
      </c>
    </row>
    <row r="903" spans="1:4">
      <c r="A903" t="s">
        <v>3334</v>
      </c>
      <c r="B903" t="s">
        <v>3335</v>
      </c>
      <c r="C903">
        <v>731</v>
      </c>
      <c r="D903">
        <f>SUMIFS(Horas!R:R,Horas!E:E,A904)</f>
        <v>0</v>
      </c>
    </row>
    <row r="904" spans="1:4">
      <c r="A904" t="s">
        <v>3338</v>
      </c>
      <c r="B904" t="s">
        <v>3339</v>
      </c>
      <c r="C904">
        <v>733</v>
      </c>
      <c r="D904">
        <f>SUMIFS(Horas!R:R,Horas!E:E,A905)</f>
        <v>0</v>
      </c>
    </row>
    <row r="905" spans="1:4">
      <c r="A905" t="s">
        <v>3358</v>
      </c>
      <c r="B905" t="s">
        <v>3359</v>
      </c>
      <c r="C905">
        <v>743</v>
      </c>
      <c r="D905">
        <f>SUMIFS(Horas!R:R,Horas!E:E,A906)</f>
        <v>0</v>
      </c>
    </row>
    <row r="906" spans="1:4">
      <c r="A906" t="s">
        <v>3449</v>
      </c>
      <c r="B906" t="s">
        <v>3450</v>
      </c>
      <c r="C906">
        <v>795</v>
      </c>
      <c r="D906">
        <f>SUMIFS(Horas!R:R,Horas!E:E,A907)</f>
        <v>0</v>
      </c>
    </row>
    <row r="907" spans="1:4">
      <c r="A907" t="s">
        <v>3354</v>
      </c>
      <c r="B907" t="s">
        <v>3355</v>
      </c>
      <c r="C907">
        <v>741</v>
      </c>
      <c r="D907">
        <f>SUMIFS(Horas!R:R,Horas!E:E,A908)</f>
        <v>0</v>
      </c>
    </row>
    <row r="908" spans="1:4">
      <c r="A908" t="s">
        <v>3364</v>
      </c>
      <c r="B908" t="s">
        <v>3365</v>
      </c>
      <c r="C908">
        <v>746</v>
      </c>
      <c r="D908">
        <f>SUMIFS(Horas!R:R,Horas!E:E,A909)</f>
        <v>0</v>
      </c>
    </row>
    <row r="909" spans="1:4">
      <c r="A909" t="s">
        <v>3370</v>
      </c>
      <c r="B909" t="s">
        <v>3371</v>
      </c>
      <c r="C909">
        <v>751</v>
      </c>
      <c r="D909">
        <f>SUMIFS(Horas!R:R,Horas!E:E,A910)</f>
        <v>0</v>
      </c>
    </row>
    <row r="910" spans="1:4">
      <c r="A910" t="s">
        <v>3360</v>
      </c>
      <c r="B910" t="s">
        <v>3361</v>
      </c>
      <c r="C910">
        <v>744</v>
      </c>
      <c r="D910">
        <f>SUMIFS(Horas!R:R,Horas!E:E,A911)</f>
        <v>0</v>
      </c>
    </row>
    <row r="911" spans="1:4">
      <c r="A911" t="s">
        <v>3376</v>
      </c>
      <c r="B911" t="s">
        <v>3377</v>
      </c>
      <c r="C911">
        <v>755</v>
      </c>
      <c r="D911">
        <f>SUMIFS(Horas!R:R,Horas!E:E,A912)</f>
        <v>0</v>
      </c>
    </row>
    <row r="912" spans="1:4">
      <c r="A912" t="s">
        <v>3366</v>
      </c>
      <c r="B912" t="s">
        <v>3367</v>
      </c>
      <c r="C912">
        <v>749</v>
      </c>
      <c r="D912">
        <f>SUMIFS(Horas!R:R,Horas!E:E,A913)</f>
        <v>0</v>
      </c>
    </row>
    <row r="913" spans="1:4">
      <c r="A913" t="s">
        <v>3372</v>
      </c>
      <c r="B913" t="s">
        <v>3373</v>
      </c>
      <c r="C913">
        <v>753</v>
      </c>
      <c r="D913">
        <f>SUMIFS(Horas!R:R,Horas!E:E,A914)</f>
        <v>0</v>
      </c>
    </row>
    <row r="914" spans="1:4">
      <c r="A914" t="s">
        <v>3471</v>
      </c>
      <c r="B914" t="s">
        <v>3472</v>
      </c>
      <c r="C914">
        <v>806</v>
      </c>
      <c r="D914">
        <f>SUMIFS(Horas!R:R,Horas!E:E,A915)</f>
        <v>0</v>
      </c>
    </row>
    <row r="915" spans="1:4">
      <c r="A915" t="s">
        <v>3374</v>
      </c>
      <c r="B915" t="s">
        <v>3375</v>
      </c>
      <c r="C915">
        <v>754</v>
      </c>
      <c r="D915">
        <f>SUMIFS(Horas!R:R,Horas!E:E,A916)</f>
        <v>0</v>
      </c>
    </row>
    <row r="916" spans="1:4">
      <c r="A916" t="s">
        <v>3368</v>
      </c>
      <c r="B916" t="s">
        <v>3369</v>
      </c>
      <c r="C916">
        <v>750</v>
      </c>
      <c r="D916">
        <f>SUMIFS(Horas!R:R,Horas!E:E,A917)</f>
        <v>0</v>
      </c>
    </row>
    <row r="917" spans="1:4">
      <c r="A917" t="s">
        <v>3399</v>
      </c>
      <c r="B917" t="s">
        <v>3400</v>
      </c>
      <c r="C917">
        <v>770</v>
      </c>
      <c r="D917">
        <f>SUMIFS(Horas!R:R,Horas!E:E,A918)</f>
        <v>0</v>
      </c>
    </row>
    <row r="918" spans="1:4">
      <c r="A918" t="s">
        <v>3473</v>
      </c>
      <c r="B918" t="s">
        <v>3474</v>
      </c>
      <c r="C918">
        <v>807</v>
      </c>
      <c r="D918">
        <f>SUMIFS(Horas!R:R,Horas!E:E,A919)</f>
        <v>0</v>
      </c>
    </row>
    <row r="919" spans="1:4">
      <c r="A919" t="s">
        <v>3489</v>
      </c>
      <c r="B919" t="s">
        <v>3490</v>
      </c>
      <c r="C919">
        <v>815</v>
      </c>
      <c r="D919">
        <f>SUMIFS(Horas!R:R,Horas!E:E,A920)</f>
        <v>0</v>
      </c>
    </row>
    <row r="920" spans="1:4">
      <c r="A920" t="s">
        <v>3401</v>
      </c>
      <c r="B920" t="s">
        <v>3402</v>
      </c>
      <c r="C920">
        <v>771</v>
      </c>
      <c r="D920">
        <f>SUMIFS(Horas!R:R,Horas!E:E,A921)</f>
        <v>0</v>
      </c>
    </row>
    <row r="921" spans="1:4">
      <c r="A921" t="s">
        <v>3532</v>
      </c>
      <c r="B921" t="s">
        <v>3533</v>
      </c>
      <c r="C921">
        <v>840</v>
      </c>
      <c r="D921">
        <f>SUMIFS(Horas!R:R,Horas!E:E,A922)</f>
        <v>0</v>
      </c>
    </row>
    <row r="922" spans="1:4">
      <c r="A922" t="s">
        <v>3405</v>
      </c>
      <c r="B922" t="s">
        <v>3406</v>
      </c>
      <c r="C922">
        <v>773</v>
      </c>
      <c r="D922">
        <f>SUMIFS(Horas!R:R,Horas!E:E,A923)</f>
        <v>0</v>
      </c>
    </row>
    <row r="923" spans="1:4">
      <c r="A923" t="s">
        <v>3423</v>
      </c>
      <c r="B923" t="s">
        <v>3424</v>
      </c>
      <c r="C923">
        <v>782</v>
      </c>
      <c r="D923">
        <f>SUMIFS(Horas!R:R,Horas!E:E,A924)</f>
        <v>0</v>
      </c>
    </row>
    <row r="924" spans="1:4">
      <c r="A924" t="s">
        <v>3493</v>
      </c>
      <c r="B924" t="s">
        <v>3494</v>
      </c>
      <c r="C924">
        <v>817</v>
      </c>
      <c r="D924">
        <f>SUMIFS(Horas!R:R,Horas!E:E,A925)</f>
        <v>0</v>
      </c>
    </row>
    <row r="925" spans="1:4">
      <c r="A925" t="s">
        <v>3495</v>
      </c>
      <c r="B925" t="s">
        <v>3496</v>
      </c>
      <c r="C925">
        <v>818</v>
      </c>
      <c r="D925">
        <f>SUMIFS(Horas!R:R,Horas!E:E,A926)</f>
        <v>0</v>
      </c>
    </row>
    <row r="926" spans="1:4">
      <c r="A926" t="s">
        <v>3397</v>
      </c>
      <c r="B926" t="s">
        <v>3398</v>
      </c>
      <c r="C926">
        <v>769</v>
      </c>
      <c r="D926">
        <f>SUMIFS(Horas!R:R,Horas!E:E,A927)</f>
        <v>0</v>
      </c>
    </row>
    <row r="927" spans="1:4">
      <c r="A927" t="s">
        <v>3393</v>
      </c>
      <c r="B927" t="s">
        <v>3394</v>
      </c>
      <c r="C927">
        <v>764</v>
      </c>
      <c r="D927">
        <f>SUMIFS(Horas!R:R,Horas!E:E,A928)</f>
        <v>0</v>
      </c>
    </row>
    <row r="928" spans="1:4">
      <c r="A928" t="s">
        <v>3403</v>
      </c>
      <c r="B928" t="s">
        <v>3404</v>
      </c>
      <c r="C928">
        <v>772</v>
      </c>
      <c r="D928">
        <f>SUMIFS(Horas!R:R,Horas!E:E,A929)</f>
        <v>0</v>
      </c>
    </row>
    <row r="929" spans="1:4">
      <c r="A929" t="s">
        <v>3407</v>
      </c>
      <c r="B929" t="s">
        <v>3408</v>
      </c>
      <c r="C929">
        <v>774</v>
      </c>
      <c r="D929">
        <f>SUMIFS(Horas!R:R,Horas!E:E,A930)</f>
        <v>0</v>
      </c>
    </row>
    <row r="930" spans="1:4">
      <c r="A930" t="s">
        <v>3389</v>
      </c>
      <c r="B930" t="s">
        <v>3390</v>
      </c>
      <c r="C930">
        <v>762</v>
      </c>
      <c r="D930">
        <f>SUMIFS(Horas!R:R,Horas!E:E,A931)</f>
        <v>0</v>
      </c>
    </row>
    <row r="931" spans="1:4">
      <c r="A931" t="s">
        <v>3385</v>
      </c>
      <c r="B931" t="s">
        <v>3386</v>
      </c>
      <c r="C931">
        <v>760</v>
      </c>
      <c r="D931">
        <f>SUMIFS(Horas!R:R,Horas!E:E,A932)</f>
        <v>0</v>
      </c>
    </row>
    <row r="932" spans="1:4">
      <c r="A932" t="s">
        <v>3431</v>
      </c>
      <c r="B932" t="s">
        <v>3432</v>
      </c>
      <c r="C932">
        <v>786</v>
      </c>
      <c r="D932">
        <f>SUMIFS(Horas!R:R,Horas!E:E,A933)</f>
        <v>0</v>
      </c>
    </row>
    <row r="933" spans="1:4">
      <c r="A933" t="s">
        <v>3415</v>
      </c>
      <c r="B933" t="s">
        <v>3416</v>
      </c>
      <c r="C933">
        <v>778</v>
      </c>
      <c r="D933">
        <f>SUMIFS(Horas!R:R,Horas!E:E,A934)</f>
        <v>0</v>
      </c>
    </row>
    <row r="934" spans="1:4">
      <c r="A934" t="s">
        <v>3411</v>
      </c>
      <c r="B934" t="s">
        <v>3412</v>
      </c>
      <c r="C934">
        <v>776</v>
      </c>
      <c r="D934">
        <f>SUMIFS(Horas!R:R,Horas!E:E,A935)</f>
        <v>0</v>
      </c>
    </row>
    <row r="935" spans="1:4">
      <c r="A935" t="s">
        <v>3417</v>
      </c>
      <c r="B935" t="s">
        <v>3418</v>
      </c>
      <c r="C935">
        <v>779</v>
      </c>
      <c r="D935">
        <f>SUMIFS(Horas!R:R,Horas!E:E,A936)</f>
        <v>0</v>
      </c>
    </row>
    <row r="936" spans="1:4">
      <c r="A936" t="s">
        <v>3413</v>
      </c>
      <c r="B936" t="s">
        <v>3414</v>
      </c>
      <c r="C936">
        <v>777</v>
      </c>
      <c r="D936">
        <f>SUMIFS(Horas!R:R,Horas!E:E,A937)</f>
        <v>0</v>
      </c>
    </row>
    <row r="937" spans="1:4">
      <c r="A937" t="s">
        <v>3419</v>
      </c>
      <c r="B937" t="s">
        <v>3420</v>
      </c>
      <c r="C937">
        <v>780</v>
      </c>
      <c r="D937">
        <f>SUMIFS(Horas!R:R,Horas!E:E,A938)</f>
        <v>0</v>
      </c>
    </row>
    <row r="938" spans="1:4">
      <c r="A938" t="s">
        <v>3421</v>
      </c>
      <c r="B938" t="s">
        <v>3422</v>
      </c>
      <c r="C938">
        <v>781</v>
      </c>
      <c r="D938">
        <f>SUMIFS(Horas!R:R,Horas!E:E,A939)</f>
        <v>0</v>
      </c>
    </row>
    <row r="939" spans="1:4">
      <c r="A939" t="s">
        <v>3425</v>
      </c>
      <c r="B939" t="s">
        <v>3426</v>
      </c>
      <c r="C939">
        <v>783</v>
      </c>
      <c r="D939">
        <f>SUMIFS(Horas!R:R,Horas!E:E,A940)</f>
        <v>0</v>
      </c>
    </row>
    <row r="940" spans="1:4">
      <c r="A940" t="s">
        <v>3441</v>
      </c>
      <c r="B940" t="s">
        <v>3442</v>
      </c>
      <c r="C940">
        <v>791</v>
      </c>
      <c r="D940">
        <f>SUMIFS(Horas!R:R,Horas!E:E,A941)</f>
        <v>0</v>
      </c>
    </row>
    <row r="941" spans="1:4">
      <c r="A941" t="s">
        <v>3475</v>
      </c>
      <c r="B941" t="s">
        <v>3476</v>
      </c>
      <c r="C941">
        <v>808</v>
      </c>
      <c r="D941">
        <f>SUMIFS(Horas!R:R,Horas!E:E,A942)</f>
        <v>0</v>
      </c>
    </row>
    <row r="942" spans="1:4">
      <c r="A942" t="s">
        <v>3427</v>
      </c>
      <c r="B942" t="s">
        <v>3428</v>
      </c>
      <c r="C942">
        <v>784</v>
      </c>
      <c r="D942">
        <f>SUMIFS(Horas!R:R,Horas!E:E,A943)</f>
        <v>0</v>
      </c>
    </row>
    <row r="943" spans="1:4">
      <c r="A943" t="s">
        <v>3429</v>
      </c>
      <c r="B943" t="s">
        <v>3430</v>
      </c>
      <c r="C943">
        <v>785</v>
      </c>
      <c r="D943">
        <f>SUMIFS(Horas!R:R,Horas!E:E,A944)</f>
        <v>0</v>
      </c>
    </row>
    <row r="944" spans="1:4">
      <c r="A944" t="s">
        <v>3469</v>
      </c>
      <c r="B944" t="s">
        <v>3470</v>
      </c>
      <c r="C944">
        <v>805</v>
      </c>
      <c r="D944">
        <f>SUMIFS(Horas!R:R,Horas!E:E,A945)</f>
        <v>0</v>
      </c>
    </row>
    <row r="945" spans="1:4">
      <c r="A945" t="s">
        <v>3451</v>
      </c>
      <c r="B945" t="s">
        <v>3452</v>
      </c>
      <c r="C945">
        <v>796</v>
      </c>
      <c r="D945">
        <f>SUMIFS(Horas!R:R,Horas!E:E,A946)</f>
        <v>0</v>
      </c>
    </row>
    <row r="946" spans="1:4">
      <c r="A946" t="s">
        <v>3435</v>
      </c>
      <c r="B946" t="s">
        <v>3436</v>
      </c>
      <c r="C946">
        <v>788</v>
      </c>
      <c r="D946">
        <f>SUMIFS(Horas!R:R,Horas!E:E,A947)</f>
        <v>0</v>
      </c>
    </row>
    <row r="947" spans="1:4">
      <c r="A947" t="s">
        <v>3443</v>
      </c>
      <c r="B947" t="s">
        <v>3444</v>
      </c>
      <c r="C947">
        <v>792</v>
      </c>
      <c r="D947">
        <f>SUMIFS(Horas!R:R,Horas!E:E,A948)</f>
        <v>0</v>
      </c>
    </row>
    <row r="948" spans="1:4">
      <c r="A948" t="s">
        <v>3514</v>
      </c>
      <c r="B948" t="s">
        <v>3515</v>
      </c>
      <c r="C948">
        <v>829</v>
      </c>
      <c r="D948">
        <f>SUMIFS(Horas!R:R,Horas!E:E,A949)</f>
        <v>0</v>
      </c>
    </row>
    <row r="949" spans="1:4">
      <c r="A949" t="s">
        <v>3467</v>
      </c>
      <c r="B949" t="s">
        <v>3468</v>
      </c>
      <c r="C949">
        <v>804</v>
      </c>
      <c r="D949">
        <f>SUMIFS(Horas!R:R,Horas!E:E,A950)</f>
        <v>0</v>
      </c>
    </row>
    <row r="950" spans="1:4">
      <c r="A950" t="s">
        <v>3453</v>
      </c>
      <c r="B950" t="s">
        <v>3454</v>
      </c>
      <c r="C950">
        <v>797</v>
      </c>
      <c r="D950">
        <f>SUMIFS(Horas!R:R,Horas!E:E,A951)</f>
        <v>0</v>
      </c>
    </row>
    <row r="951" spans="1:4">
      <c r="A951" t="s">
        <v>3465</v>
      </c>
      <c r="B951" t="s">
        <v>3466</v>
      </c>
      <c r="C951">
        <v>803</v>
      </c>
      <c r="D951">
        <f>SUMIFS(Horas!R:R,Horas!E:E,A952)</f>
        <v>0</v>
      </c>
    </row>
    <row r="952" spans="1:4">
      <c r="A952" t="s">
        <v>3459</v>
      </c>
      <c r="B952" t="s">
        <v>3460</v>
      </c>
      <c r="C952">
        <v>800</v>
      </c>
      <c r="D952">
        <f>SUMIFS(Horas!R:R,Horas!E:E,A953)</f>
        <v>0</v>
      </c>
    </row>
    <row r="953" spans="1:4">
      <c r="A953" t="s">
        <v>3455</v>
      </c>
      <c r="B953" t="s">
        <v>3456</v>
      </c>
      <c r="C953">
        <v>798</v>
      </c>
      <c r="D953">
        <f>SUMIFS(Horas!R:R,Horas!E:E,A954)</f>
        <v>0</v>
      </c>
    </row>
    <row r="954" spans="1:4">
      <c r="A954" t="s">
        <v>3505</v>
      </c>
      <c r="B954" t="s">
        <v>3506</v>
      </c>
      <c r="C954">
        <v>823</v>
      </c>
      <c r="D954">
        <f>SUMIFS(Horas!R:R,Horas!E:E,A955)</f>
        <v>0</v>
      </c>
    </row>
    <row r="955" spans="1:4">
      <c r="A955" t="s">
        <v>3461</v>
      </c>
      <c r="B955" t="s">
        <v>3462</v>
      </c>
      <c r="C955">
        <v>801</v>
      </c>
      <c r="D955">
        <f>SUMIFS(Horas!R:R,Horas!E:E,A956)</f>
        <v>0</v>
      </c>
    </row>
    <row r="956" spans="1:4">
      <c r="A956" t="s">
        <v>3540</v>
      </c>
      <c r="B956" t="s">
        <v>3541</v>
      </c>
      <c r="C956">
        <v>844</v>
      </c>
      <c r="D956">
        <f>SUMIFS(Horas!R:R,Horas!E:E,A957)</f>
        <v>0</v>
      </c>
    </row>
    <row r="957" spans="1:4">
      <c r="A957" t="s">
        <v>3463</v>
      </c>
      <c r="B957" t="s">
        <v>3464</v>
      </c>
      <c r="C957">
        <v>802</v>
      </c>
      <c r="D957">
        <f>SUMIFS(Horas!R:R,Horas!E:E,A958)</f>
        <v>0</v>
      </c>
    </row>
    <row r="958" spans="1:4">
      <c r="A958" t="s">
        <v>3542</v>
      </c>
      <c r="B958" t="s">
        <v>3543</v>
      </c>
      <c r="C958">
        <v>845</v>
      </c>
      <c r="D958">
        <f>SUMIFS(Horas!R:R,Horas!E:E,A959)</f>
        <v>0</v>
      </c>
    </row>
    <row r="959" spans="1:4">
      <c r="A959" t="s">
        <v>3457</v>
      </c>
      <c r="B959" t="s">
        <v>3458</v>
      </c>
      <c r="C959">
        <v>799</v>
      </c>
      <c r="D959">
        <f>SUMIFS(Horas!R:R,Horas!E:E,A960)</f>
        <v>0</v>
      </c>
    </row>
    <row r="960" spans="1:4">
      <c r="A960" t="s">
        <v>3524</v>
      </c>
      <c r="B960" t="s">
        <v>3525</v>
      </c>
      <c r="C960">
        <v>836</v>
      </c>
      <c r="D960">
        <f>SUMIFS(Horas!R:R,Horas!E:E,A961)</f>
        <v>0</v>
      </c>
    </row>
    <row r="961" spans="1:4">
      <c r="A961" t="s">
        <v>3516</v>
      </c>
      <c r="B961" t="s">
        <v>3517</v>
      </c>
      <c r="C961">
        <v>830</v>
      </c>
      <c r="D961">
        <f>SUMIFS(Horas!R:R,Horas!E:E,A962)</f>
        <v>0</v>
      </c>
    </row>
    <row r="962" spans="1:4">
      <c r="A962" t="s">
        <v>3477</v>
      </c>
      <c r="B962" t="s">
        <v>3478</v>
      </c>
      <c r="C962">
        <v>809</v>
      </c>
      <c r="D962">
        <f>SUMIFS(Horas!R:R,Horas!E:E,A963)</f>
        <v>0</v>
      </c>
    </row>
    <row r="963" spans="1:4">
      <c r="A963" t="s">
        <v>3497</v>
      </c>
      <c r="B963" t="s">
        <v>3498</v>
      </c>
      <c r="C963">
        <v>819</v>
      </c>
      <c r="D963">
        <f>SUMIFS(Horas!R:R,Horas!E:E,A964)</f>
        <v>0</v>
      </c>
    </row>
    <row r="964" spans="1:4">
      <c r="A964" t="s">
        <v>3479</v>
      </c>
      <c r="B964" t="s">
        <v>3480</v>
      </c>
      <c r="C964">
        <v>810</v>
      </c>
      <c r="D964">
        <f>SUMIFS(Horas!R:R,Horas!E:E,A965)</f>
        <v>0</v>
      </c>
    </row>
    <row r="965" spans="1:4">
      <c r="A965" t="s">
        <v>3487</v>
      </c>
      <c r="B965" t="s">
        <v>3488</v>
      </c>
      <c r="C965">
        <v>814</v>
      </c>
      <c r="D965">
        <f>SUMIFS(Horas!R:R,Horas!E:E,A966)</f>
        <v>0</v>
      </c>
    </row>
    <row r="966" spans="1:4">
      <c r="A966" t="s">
        <v>3499</v>
      </c>
      <c r="B966" t="s">
        <v>3500</v>
      </c>
      <c r="C966">
        <v>820</v>
      </c>
      <c r="D966">
        <f>SUMIFS(Horas!R:R,Horas!E:E,A967)</f>
        <v>0</v>
      </c>
    </row>
    <row r="967" spans="1:4">
      <c r="A967" t="s">
        <v>3518</v>
      </c>
      <c r="B967" t="s">
        <v>3300</v>
      </c>
      <c r="C967">
        <v>831</v>
      </c>
      <c r="D967">
        <f>SUMIFS(Horas!R:R,Horas!E:E,A968)</f>
        <v>0</v>
      </c>
    </row>
    <row r="968" spans="1:4">
      <c r="A968" t="s">
        <v>3519</v>
      </c>
      <c r="B968" t="s">
        <v>3520</v>
      </c>
      <c r="C968">
        <v>832</v>
      </c>
      <c r="D968">
        <f>SUMIFS(Horas!R:R,Horas!E:E,A969)</f>
        <v>0</v>
      </c>
    </row>
    <row r="969" spans="1:4">
      <c r="A969" t="s">
        <v>3521</v>
      </c>
      <c r="B969" t="s">
        <v>3300</v>
      </c>
      <c r="C969">
        <v>833</v>
      </c>
      <c r="D969">
        <f>SUMIFS(Horas!R:R,Horas!E:E,A970)</f>
        <v>0</v>
      </c>
    </row>
    <row r="970" spans="1:4">
      <c r="A970" t="s">
        <v>3564</v>
      </c>
      <c r="B970" t="s">
        <v>3565</v>
      </c>
      <c r="C970">
        <v>856</v>
      </c>
      <c r="D970">
        <f>SUMIFS(Horas!R:R,Horas!E:E,A971)</f>
        <v>0</v>
      </c>
    </row>
    <row r="971" spans="1:4">
      <c r="A971" t="s">
        <v>3647</v>
      </c>
      <c r="B971" t="s">
        <v>3648</v>
      </c>
      <c r="C971">
        <v>902</v>
      </c>
      <c r="D971">
        <f>SUMIFS(Horas!R:R,Horas!E:E,A972)</f>
        <v>0</v>
      </c>
    </row>
    <row r="972" spans="1:4">
      <c r="A972" t="s">
        <v>3512</v>
      </c>
      <c r="B972" t="s">
        <v>3513</v>
      </c>
      <c r="C972">
        <v>827</v>
      </c>
      <c r="D972">
        <f>SUMIFS(Horas!R:R,Horas!E:E,A973)</f>
        <v>0</v>
      </c>
    </row>
    <row r="973" spans="1:4">
      <c r="A973" t="s">
        <v>3552</v>
      </c>
      <c r="B973" t="s">
        <v>3553</v>
      </c>
      <c r="C973">
        <v>850</v>
      </c>
      <c r="D973">
        <f>SUMIFS(Horas!R:R,Horas!E:E,A974)</f>
        <v>0</v>
      </c>
    </row>
    <row r="974" spans="1:4">
      <c r="A974" t="s">
        <v>3580</v>
      </c>
      <c r="B974" t="s">
        <v>3581</v>
      </c>
      <c r="C974">
        <v>864</v>
      </c>
      <c r="D974">
        <f>SUMIFS(Horas!R:R,Horas!E:E,A975)</f>
        <v>0</v>
      </c>
    </row>
    <row r="975" spans="1:4">
      <c r="A975" t="s">
        <v>3556</v>
      </c>
      <c r="B975" t="s">
        <v>3557</v>
      </c>
      <c r="C975">
        <v>852</v>
      </c>
      <c r="D975">
        <f>SUMIFS(Horas!R:R,Horas!E:E,A976)</f>
        <v>0</v>
      </c>
    </row>
    <row r="976" spans="1:4">
      <c r="A976" t="s">
        <v>3522</v>
      </c>
      <c r="B976" t="s">
        <v>3523</v>
      </c>
      <c r="C976">
        <v>834</v>
      </c>
      <c r="D976">
        <f>SUMIFS(Horas!R:R,Horas!E:E,A977)</f>
        <v>0</v>
      </c>
    </row>
    <row r="977" spans="1:6">
      <c r="A977" t="s">
        <v>3568</v>
      </c>
      <c r="B977" t="s">
        <v>3569</v>
      </c>
      <c r="C977">
        <v>858</v>
      </c>
      <c r="D977">
        <f>SUMIFS(Horas!R:R,Horas!E:E,A978)</f>
        <v>0</v>
      </c>
    </row>
    <row r="978" spans="1:6">
      <c r="A978" t="s">
        <v>3550</v>
      </c>
      <c r="B978" t="s">
        <v>3551</v>
      </c>
      <c r="C978">
        <v>849</v>
      </c>
      <c r="D978">
        <f>SUMIFS(Horas!R:R,Horas!E:E,A979)</f>
        <v>0</v>
      </c>
    </row>
    <row r="979" spans="1:6">
      <c r="A979" t="s">
        <v>3528</v>
      </c>
      <c r="B979" t="s">
        <v>3529</v>
      </c>
      <c r="C979">
        <v>838</v>
      </c>
      <c r="D979">
        <f>SUMIFS(Horas!R:R,Horas!E:E,A980)</f>
        <v>0</v>
      </c>
    </row>
    <row r="980" spans="1:6">
      <c r="A980" t="s">
        <v>3548</v>
      </c>
      <c r="B980" t="s">
        <v>3549</v>
      </c>
      <c r="C980">
        <v>848</v>
      </c>
      <c r="D980">
        <f>SUMIFS(Horas!R:R,Horas!E:E,A981)</f>
        <v>0</v>
      </c>
    </row>
    <row r="981" spans="1:6">
      <c r="A981" t="s">
        <v>3526</v>
      </c>
      <c r="B981" t="s">
        <v>3527</v>
      </c>
      <c r="C981">
        <v>837</v>
      </c>
      <c r="D981">
        <f>SUMIFS(Horas!R:R,Horas!E:E,A982)</f>
        <v>0</v>
      </c>
    </row>
    <row r="982" spans="1:6">
      <c r="A982" t="s">
        <v>3554</v>
      </c>
      <c r="B982" t="s">
        <v>3555</v>
      </c>
      <c r="C982">
        <v>851</v>
      </c>
      <c r="D982">
        <f>SUMIFS(Horas!R:R,Horas!E:E,A983)</f>
        <v>0</v>
      </c>
    </row>
    <row r="983" spans="1:6">
      <c r="A983" t="s">
        <v>3544</v>
      </c>
      <c r="B983" t="s">
        <v>3545</v>
      </c>
      <c r="C983">
        <v>846</v>
      </c>
      <c r="D983">
        <f>SUMIFS(Horas!R:R,Horas!E:E,A984)</f>
        <v>0</v>
      </c>
    </row>
    <row r="984" spans="1:6">
      <c r="A984" t="s">
        <v>3546</v>
      </c>
      <c r="B984" t="s">
        <v>3547</v>
      </c>
      <c r="C984">
        <v>847</v>
      </c>
      <c r="D984">
        <f>SUMIFS(Horas!R:R,Horas!E:E,A985)</f>
        <v>0</v>
      </c>
    </row>
    <row r="985" spans="1:6">
      <c r="A985" t="s">
        <v>3590</v>
      </c>
      <c r="B985" t="s">
        <v>3591</v>
      </c>
      <c r="C985">
        <v>869</v>
      </c>
      <c r="D985">
        <f>SUMIFS(Horas!R:R,Horas!E:E,A986)</f>
        <v>0</v>
      </c>
    </row>
    <row r="986" spans="1:6">
      <c r="A986" t="s">
        <v>3626</v>
      </c>
      <c r="B986" t="s">
        <v>3627</v>
      </c>
      <c r="C986">
        <v>890</v>
      </c>
      <c r="D986">
        <f>SUMIFS(Horas!R:R,Horas!E:E,A987)</f>
        <v>0</v>
      </c>
    </row>
    <row r="987" spans="1:6">
      <c r="A987" t="s">
        <v>3634</v>
      </c>
      <c r="B987" t="s">
        <v>3635</v>
      </c>
      <c r="C987">
        <v>895</v>
      </c>
      <c r="D987">
        <f>SUMIFS(Horas!R:R,Horas!E:E,A988)</f>
        <v>0</v>
      </c>
    </row>
    <row r="988" spans="1:6">
      <c r="A988" t="s">
        <v>3628</v>
      </c>
      <c r="B988" t="s">
        <v>3629</v>
      </c>
      <c r="C988">
        <v>891</v>
      </c>
      <c r="D988">
        <f>SUMIFS(Horas!R:R,Horas!E:E,A989)</f>
        <v>0</v>
      </c>
    </row>
    <row r="989" spans="1:6">
      <c r="A989" t="s">
        <v>3576</v>
      </c>
      <c r="B989" t="s">
        <v>3577</v>
      </c>
      <c r="C989">
        <v>862</v>
      </c>
      <c r="D989">
        <f>SUMIFS(Horas!R:R,Horas!E:E,A990)</f>
        <v>0</v>
      </c>
    </row>
    <row r="990" spans="1:6">
      <c r="A990" t="s">
        <v>3570</v>
      </c>
      <c r="B990" t="s">
        <v>3571</v>
      </c>
      <c r="C990">
        <v>859</v>
      </c>
      <c r="D990">
        <f>SUMIFS(Horas!R:R,Horas!E:E,A991)</f>
        <v>0</v>
      </c>
    </row>
    <row r="991" spans="1:6">
      <c r="A991" t="s">
        <v>3584</v>
      </c>
      <c r="B991" t="s">
        <v>3585</v>
      </c>
      <c r="C991">
        <v>866</v>
      </c>
      <c r="D991">
        <f>SUMIFS(Horas!R:R,Horas!E:E,A992)</f>
        <v>0</v>
      </c>
    </row>
    <row r="992" spans="1:6">
      <c r="A992" t="s">
        <v>3566</v>
      </c>
      <c r="B992" t="s">
        <v>3567</v>
      </c>
      <c r="C992">
        <v>857</v>
      </c>
      <c r="D992">
        <f>SUMIFS(Horas!R:R,Horas!E:E,A993)</f>
        <v>0</v>
      </c>
      <c r="F992" s="40" t="str">
        <f>"'"&amp;Tabla_Consulta_desde_Proyectos8[[#This Row],[PRYcodigo]]&amp;"1', "</f>
        <v xml:space="preserve">'GB-13051', </v>
      </c>
    </row>
    <row r="993" spans="1:6">
      <c r="A993" t="s">
        <v>3636</v>
      </c>
      <c r="B993" t="s">
        <v>3637</v>
      </c>
      <c r="C993">
        <v>896</v>
      </c>
      <c r="D993">
        <f>SUMIFS(Horas!R:R,Horas!E:E,A994)</f>
        <v>0</v>
      </c>
      <c r="F993" s="40" t="str">
        <f>"'"&amp;Tabla_Consulta_desde_Proyectos8[[#This Row],[PRYcodigo]]&amp;"1', "</f>
        <v xml:space="preserve">'GB-13061', </v>
      </c>
    </row>
    <row r="994" spans="1:6">
      <c r="A994" t="s">
        <v>3638</v>
      </c>
      <c r="B994" t="s">
        <v>3639</v>
      </c>
      <c r="C994">
        <v>897</v>
      </c>
      <c r="D994">
        <f>SUMIFS(Horas!R:R,Horas!E:E,A995)</f>
        <v>0</v>
      </c>
      <c r="F994" s="40" t="str">
        <f>"'"&amp;Tabla_Consulta_desde_Proyectos8[[#This Row],[PRYcodigo]]&amp;"1', "</f>
        <v xml:space="preserve">'GB-13071', </v>
      </c>
    </row>
    <row r="995" spans="1:6">
      <c r="A995" t="s">
        <v>3574</v>
      </c>
      <c r="B995" t="s">
        <v>3575</v>
      </c>
      <c r="C995">
        <v>861</v>
      </c>
      <c r="D995">
        <f>SUMIFS(Horas!R:R,Horas!E:E,A996)</f>
        <v>0</v>
      </c>
      <c r="F995" s="40" t="str">
        <f>"'"&amp;Tabla_Consulta_desde_Proyectos8[[#This Row],[PRYcodigo]]&amp;"1', "</f>
        <v xml:space="preserve">'GB-13081', </v>
      </c>
    </row>
    <row r="996" spans="1:6">
      <c r="A996" t="s">
        <v>3582</v>
      </c>
      <c r="B996" t="s">
        <v>3583</v>
      </c>
      <c r="C996">
        <v>865</v>
      </c>
      <c r="D996">
        <f>SUMIFS(Horas!R:R,Horas!E:E,A997)</f>
        <v>0</v>
      </c>
      <c r="F996" s="40" t="str">
        <f>"'"&amp;Tabla_Consulta_desde_Proyectos8[[#This Row],[PRYcodigo]]&amp;"1', "</f>
        <v xml:space="preserve">'GB-13101', </v>
      </c>
    </row>
    <row r="997" spans="1:6">
      <c r="A997" t="s">
        <v>3578</v>
      </c>
      <c r="B997" t="s">
        <v>3579</v>
      </c>
      <c r="C997">
        <v>863</v>
      </c>
      <c r="D997">
        <f>SUMIFS(Horas!R:R,Horas!E:E,A998)</f>
        <v>0</v>
      </c>
      <c r="F997" s="40" t="str">
        <f>"'"&amp;Tabla_Consulta_desde_Proyectos8[[#This Row],[PRYcodigo]]&amp;"1', "</f>
        <v xml:space="preserve">'GB-13131', </v>
      </c>
    </row>
    <row r="998" spans="1:6">
      <c r="A998" t="s">
        <v>3586</v>
      </c>
      <c r="B998" t="s">
        <v>3587</v>
      </c>
      <c r="C998">
        <v>867</v>
      </c>
      <c r="D998">
        <f>SUMIFS(Horas!R:R,Horas!E:E,A999)</f>
        <v>0</v>
      </c>
      <c r="F998" s="40" t="str">
        <f>"'"&amp;Tabla_Consulta_desde_Proyectos8[[#This Row],[PRYcodigo]]&amp;"1', "</f>
        <v xml:space="preserve">'GB-13141', </v>
      </c>
    </row>
    <row r="999" spans="1:6">
      <c r="A999" t="s">
        <v>3592</v>
      </c>
      <c r="B999" t="s">
        <v>3593</v>
      </c>
      <c r="C999">
        <v>870</v>
      </c>
      <c r="D999">
        <f>SUMIFS(Horas!R:R,Horas!E:E,A1000)</f>
        <v>0</v>
      </c>
      <c r="F999" s="40" t="str">
        <f>"'"&amp;Tabla_Consulta_desde_Proyectos8[[#This Row],[PRYcodigo]]&amp;"1', "</f>
        <v xml:space="preserve">'GB-13151', </v>
      </c>
    </row>
    <row r="1000" spans="1:6">
      <c r="A1000" t="s">
        <v>3588</v>
      </c>
      <c r="B1000" t="s">
        <v>3589</v>
      </c>
      <c r="C1000">
        <v>868</v>
      </c>
      <c r="D1000">
        <f>SUMIFS(Horas!R:R,Horas!E:E,A1001)</f>
        <v>0</v>
      </c>
      <c r="F1000" s="40" t="str">
        <f>"'"&amp;Tabla_Consulta_desde_Proyectos8[[#This Row],[PRYcodigo]]&amp;"1', "</f>
        <v xml:space="preserve">'GB-13171', </v>
      </c>
    </row>
    <row r="1001" spans="1:6">
      <c r="A1001" t="s">
        <v>3596</v>
      </c>
      <c r="B1001" t="s">
        <v>3597</v>
      </c>
      <c r="C1001">
        <v>872</v>
      </c>
      <c r="D1001">
        <f>SUMIFS(Horas!R:R,Horas!E:E,A1002)</f>
        <v>0</v>
      </c>
      <c r="F1001" s="40" t="str">
        <f>"'"&amp;Tabla_Consulta_desde_Proyectos8[[#This Row],[PRYcodigo]]&amp;"1', "</f>
        <v xml:space="preserve">'GB-13191', </v>
      </c>
    </row>
    <row r="1002" spans="1:6">
      <c r="A1002" t="s">
        <v>3651</v>
      </c>
      <c r="B1002" t="s">
        <v>3652</v>
      </c>
      <c r="C1002">
        <v>904</v>
      </c>
      <c r="D1002">
        <f>SUMIFS(Horas!R:R,Horas!E:E,A1003)</f>
        <v>0</v>
      </c>
      <c r="F1002" s="40" t="str">
        <f>"'"&amp;Tabla_Consulta_desde_Proyectos8[[#This Row],[PRYcodigo]]&amp;"1', "</f>
        <v xml:space="preserve">'GB-13211', </v>
      </c>
    </row>
    <row r="1003" spans="1:6">
      <c r="A1003" t="s">
        <v>3649</v>
      </c>
      <c r="B1003" t="s">
        <v>3650</v>
      </c>
      <c r="C1003">
        <v>903</v>
      </c>
      <c r="D1003">
        <f>SUMIFS(Horas!R:R,Horas!E:E,A1004)</f>
        <v>0</v>
      </c>
      <c r="F1003" s="40" t="str">
        <f>"'"&amp;Tabla_Consulta_desde_Proyectos8[[#This Row],[PRYcodigo]]&amp;"1', "</f>
        <v xml:space="preserve">'GB-13221', </v>
      </c>
    </row>
    <row r="1004" spans="1:6">
      <c r="A1004" t="s">
        <v>3612</v>
      </c>
      <c r="B1004" t="s">
        <v>3613</v>
      </c>
      <c r="C1004">
        <v>880</v>
      </c>
      <c r="D1004">
        <f>SUMIFS(Horas!R:R,Horas!E:E,A1005)</f>
        <v>0</v>
      </c>
      <c r="F1004" s="40" t="str">
        <f>"'"&amp;Tabla_Consulta_desde_Proyectos8[[#This Row],[PRYcodigo]]&amp;"1', "</f>
        <v xml:space="preserve">'GB-13231', </v>
      </c>
    </row>
    <row r="1005" spans="1:6">
      <c r="A1005" t="s">
        <v>3598</v>
      </c>
      <c r="B1005" t="s">
        <v>3599</v>
      </c>
      <c r="C1005">
        <v>873</v>
      </c>
      <c r="D1005">
        <f>SUMIFS(Horas!R:R,Horas!E:E,A1006)</f>
        <v>0</v>
      </c>
      <c r="F1005" s="40" t="str">
        <f>"'"&amp;Tabla_Consulta_desde_Proyectos8[[#This Row],[PRYcodigo]]&amp;"1', "</f>
        <v xml:space="preserve">'GB-13261', </v>
      </c>
    </row>
    <row r="1006" spans="1:6">
      <c r="A1006" t="s">
        <v>3630</v>
      </c>
      <c r="B1006" t="s">
        <v>3631</v>
      </c>
      <c r="C1006">
        <v>892</v>
      </c>
      <c r="D1006">
        <f>SUMIFS(Horas!R:R,Horas!E:E,A1007)</f>
        <v>0</v>
      </c>
      <c r="F1006" s="40" t="str">
        <f>"'"&amp;Tabla_Consulta_desde_Proyectos8[[#This Row],[PRYcodigo]]&amp;"1', "</f>
        <v xml:space="preserve">'GB-13281', </v>
      </c>
    </row>
    <row r="1007" spans="1:6">
      <c r="A1007" t="s">
        <v>3610</v>
      </c>
      <c r="B1007" t="s">
        <v>3611</v>
      </c>
      <c r="C1007">
        <v>879</v>
      </c>
      <c r="D1007">
        <f>SUMIFS(Horas!R:R,Horas!E:E,A1008)</f>
        <v>0</v>
      </c>
      <c r="F1007" s="40" t="str">
        <f>"'"&amp;Tabla_Consulta_desde_Proyectos8[[#This Row],[PRYcodigo]]&amp;"1', "</f>
        <v xml:space="preserve">'GB-13311', </v>
      </c>
    </row>
    <row r="1008" spans="1:6">
      <c r="A1008" t="s">
        <v>3608</v>
      </c>
      <c r="B1008" t="s">
        <v>3609</v>
      </c>
      <c r="C1008">
        <v>878</v>
      </c>
      <c r="D1008">
        <f>SUMIFS(Horas!R:R,Horas!E:E,A1009)</f>
        <v>0</v>
      </c>
      <c r="F1008" s="40" t="str">
        <f>"'"&amp;Tabla_Consulta_desde_Proyectos8[[#This Row],[PRYcodigo]]&amp;"1', "</f>
        <v xml:space="preserve">'GB-13321', </v>
      </c>
    </row>
    <row r="1009" spans="1:6">
      <c r="A1009" t="s">
        <v>3703</v>
      </c>
      <c r="B1009" t="s">
        <v>3704</v>
      </c>
      <c r="C1009">
        <v>936</v>
      </c>
      <c r="D1009">
        <f>SUMIFS(Horas!R:R,Horas!E:E,A1010)</f>
        <v>0</v>
      </c>
      <c r="F1009" s="40" t="str">
        <f>"'"&amp;Tabla_Consulta_desde_Proyectos8[[#This Row],[PRYcodigo]]&amp;"1', "</f>
        <v xml:space="preserve">'GB-13351', </v>
      </c>
    </row>
    <row r="1010" spans="1:6">
      <c r="A1010" t="s">
        <v>3604</v>
      </c>
      <c r="B1010" t="s">
        <v>3605</v>
      </c>
      <c r="C1010">
        <v>876</v>
      </c>
      <c r="D1010">
        <f>SUMIFS(Horas!R:R,Horas!E:E,A1011)</f>
        <v>0</v>
      </c>
      <c r="F1010" s="40" t="str">
        <f>"'"&amp;Tabla_Consulta_desde_Proyectos8[[#This Row],[PRYcodigo]]&amp;"1', "</f>
        <v xml:space="preserve">'GB-13371', </v>
      </c>
    </row>
    <row r="1011" spans="1:6">
      <c r="A1011" t="s">
        <v>3600</v>
      </c>
      <c r="B1011" t="s">
        <v>3601</v>
      </c>
      <c r="C1011">
        <v>874</v>
      </c>
      <c r="D1011">
        <f>SUMIFS(Horas!R:R,Horas!E:E,A1012)</f>
        <v>0</v>
      </c>
      <c r="F1011" s="40" t="str">
        <f>"'"&amp;Tabla_Consulta_desde_Proyectos8[[#This Row],[PRYcodigo]]&amp;"1', "</f>
        <v xml:space="preserve">'GB-13381', </v>
      </c>
    </row>
    <row r="1012" spans="1:6">
      <c r="A1012" t="s">
        <v>3602</v>
      </c>
      <c r="B1012" t="s">
        <v>3603</v>
      </c>
      <c r="C1012">
        <v>875</v>
      </c>
      <c r="D1012">
        <f>SUMIFS(Horas!R:R,Horas!E:E,A1013)</f>
        <v>0</v>
      </c>
      <c r="F1012" s="40" t="str">
        <f>"'"&amp;Tabla_Consulta_desde_Proyectos8[[#This Row],[PRYcodigo]]&amp;"1', "</f>
        <v xml:space="preserve">'GB-13391', </v>
      </c>
    </row>
    <row r="1013" spans="1:6">
      <c r="A1013" t="s">
        <v>3619</v>
      </c>
      <c r="B1013" t="s">
        <v>3620</v>
      </c>
      <c r="C1013">
        <v>885</v>
      </c>
      <c r="D1013">
        <f>SUMIFS(Horas!R:R,Horas!E:E,A1014)</f>
        <v>0</v>
      </c>
      <c r="F1013" s="40" t="str">
        <f>"'"&amp;Tabla_Consulta_desde_Proyectos8[[#This Row],[PRYcodigo]]&amp;"1', "</f>
        <v xml:space="preserve">'GB-1340 Brasil1', </v>
      </c>
    </row>
    <row r="1014" spans="1:6">
      <c r="A1014" t="s">
        <v>3614</v>
      </c>
      <c r="B1014" t="s">
        <v>3615</v>
      </c>
      <c r="C1014">
        <v>881</v>
      </c>
      <c r="D1014">
        <f>SUMIFS(Horas!R:R,Horas!E:E,A1015)</f>
        <v>0</v>
      </c>
      <c r="F1014" s="40" t="str">
        <f>"'"&amp;Tabla_Consulta_desde_Proyectos8[[#This Row],[PRYcodigo]]&amp;"1', "</f>
        <v xml:space="preserve">'GB-13441', </v>
      </c>
    </row>
    <row r="1015" spans="1:6">
      <c r="A1015" t="s">
        <v>3606</v>
      </c>
      <c r="B1015" t="s">
        <v>3607</v>
      </c>
      <c r="C1015">
        <v>877</v>
      </c>
      <c r="D1015">
        <f>SUMIFS(Horas!R:R,Horas!E:E,A1016)</f>
        <v>0</v>
      </c>
      <c r="F1015" s="40" t="str">
        <f>"'"&amp;Tabla_Consulta_desde_Proyectos8[[#This Row],[PRYcodigo]]&amp;"1', "</f>
        <v xml:space="preserve">'GB-13451', </v>
      </c>
    </row>
    <row r="1016" spans="1:6">
      <c r="A1016" t="s">
        <v>3624</v>
      </c>
      <c r="B1016" t="s">
        <v>3625</v>
      </c>
      <c r="C1016">
        <v>888</v>
      </c>
      <c r="D1016">
        <f>SUMIFS(Horas!R:R,Horas!E:E,A1017)</f>
        <v>0</v>
      </c>
      <c r="F1016" s="40" t="str">
        <f>"'"&amp;Tabla_Consulta_desde_Proyectos8[[#This Row],[PRYcodigo]]&amp;"1', "</f>
        <v xml:space="preserve">'GB-13471', </v>
      </c>
    </row>
    <row r="1017" spans="1:6">
      <c r="A1017" t="s">
        <v>3645</v>
      </c>
      <c r="B1017" t="s">
        <v>3646</v>
      </c>
      <c r="C1017">
        <v>901</v>
      </c>
      <c r="D1017">
        <f>SUMIFS(Horas!R:R,Horas!E:E,A1018)</f>
        <v>0</v>
      </c>
      <c r="F1017" s="40" t="str">
        <f>"'"&amp;Tabla_Consulta_desde_Proyectos8[[#This Row],[PRYcodigo]]&amp;"1', "</f>
        <v xml:space="preserve">'GB-13491', </v>
      </c>
    </row>
    <row r="1018" spans="1:6">
      <c r="A1018" t="s">
        <v>3617</v>
      </c>
      <c r="B1018" t="s">
        <v>3618</v>
      </c>
      <c r="C1018">
        <v>884</v>
      </c>
      <c r="D1018">
        <f>SUMIFS(Horas!R:R,Horas!E:E,A1019)</f>
        <v>0</v>
      </c>
      <c r="F1018" s="40" t="str">
        <f>"'"&amp;Tabla_Consulta_desde_Proyectos8[[#This Row],[PRYcodigo]]&amp;"1', "</f>
        <v xml:space="preserve">'GB-1353 Brasil1', </v>
      </c>
    </row>
    <row r="1019" spans="1:6">
      <c r="A1019" t="s">
        <v>3641</v>
      </c>
      <c r="B1019" t="s">
        <v>3642</v>
      </c>
      <c r="C1019">
        <v>899</v>
      </c>
      <c r="D1019">
        <f>SUMIFS(Horas!R:R,Horas!E:E,A1020)</f>
        <v>0</v>
      </c>
      <c r="F1019" s="40" t="str">
        <f>"'"&amp;Tabla_Consulta_desde_Proyectos8[[#This Row],[PRYcodigo]]&amp;"1', "</f>
        <v xml:space="preserve">'GB-13581', </v>
      </c>
    </row>
    <row r="1020" spans="1:6">
      <c r="A1020" t="s">
        <v>3669</v>
      </c>
      <c r="B1020" t="s">
        <v>3670</v>
      </c>
      <c r="C1020">
        <v>915</v>
      </c>
      <c r="D1020">
        <f>SUMIFS(Horas!R:R,Horas!E:E,A1021)</f>
        <v>0</v>
      </c>
      <c r="F1020" s="40" t="str">
        <f>"'"&amp;Tabla_Consulta_desde_Proyectos8[[#This Row],[PRYcodigo]]&amp;"1', "</f>
        <v xml:space="preserve">'GB-13631', </v>
      </c>
    </row>
    <row r="1021" spans="1:6">
      <c r="A1021" t="s">
        <v>3736</v>
      </c>
      <c r="B1021" t="s">
        <v>3737</v>
      </c>
      <c r="C1021">
        <v>953</v>
      </c>
      <c r="D1021">
        <f>SUMIFS(Horas!R:R,Horas!E:E,A1022)</f>
        <v>0</v>
      </c>
      <c r="F1021" s="40" t="str">
        <f>"'"&amp;Tabla_Consulta_desde_Proyectos8[[#This Row],[PRYcodigo]]&amp;"1', "</f>
        <v xml:space="preserve">'GB-13651', </v>
      </c>
    </row>
    <row r="1022" spans="1:6">
      <c r="A1022" t="s">
        <v>3785</v>
      </c>
      <c r="B1022" t="s">
        <v>3786</v>
      </c>
      <c r="C1022">
        <v>981</v>
      </c>
      <c r="D1022">
        <f>SUMIFS(Horas!R:R,Horas!E:E,A1023)</f>
        <v>0</v>
      </c>
      <c r="F1022" s="40" t="str">
        <f>"'"&amp;Tabla_Consulta_desde_Proyectos8[[#This Row],[PRYcodigo]]&amp;"1', "</f>
        <v xml:space="preserve">'GB-13671', </v>
      </c>
    </row>
    <row r="1023" spans="1:6">
      <c r="A1023" t="s">
        <v>3679</v>
      </c>
      <c r="B1023" t="s">
        <v>3680</v>
      </c>
      <c r="C1023">
        <v>922</v>
      </c>
      <c r="D1023">
        <f>SUMIFS(Horas!R:R,Horas!E:E,A1024)</f>
        <v>0</v>
      </c>
      <c r="F1023" s="40"/>
    </row>
    <row r="1024" spans="1:6">
      <c r="A1024" t="s">
        <v>3671</v>
      </c>
      <c r="B1024" t="s">
        <v>3672</v>
      </c>
      <c r="C1024">
        <v>916</v>
      </c>
      <c r="D1024">
        <f>SUMIFS(Horas!R:R,Horas!E:E,A1025)</f>
        <v>0</v>
      </c>
      <c r="F1024" s="40" t="str">
        <f>"'"&amp;Tabla_Consulta_desde_Proyectos8[[#This Row],[PRYcodigo]]&amp;"1', "</f>
        <v xml:space="preserve">'GB-13691', </v>
      </c>
    </row>
    <row r="1025" spans="1:6">
      <c r="A1025" t="s">
        <v>3667</v>
      </c>
      <c r="B1025" t="s">
        <v>3668</v>
      </c>
      <c r="C1025">
        <v>914</v>
      </c>
      <c r="D1025">
        <f>SUMIFS(Horas!R:R,Horas!E:E,A1026)</f>
        <v>0</v>
      </c>
      <c r="F1025" s="40" t="str">
        <f>"'"&amp;Tabla_Consulta_desde_Proyectos8[[#This Row],[PRYcodigo]]&amp;"1', "</f>
        <v xml:space="preserve">'GB-13711', </v>
      </c>
    </row>
    <row r="1026" spans="1:6">
      <c r="A1026" t="s">
        <v>3683</v>
      </c>
      <c r="B1026" t="s">
        <v>3684</v>
      </c>
      <c r="C1026">
        <v>924</v>
      </c>
      <c r="D1026">
        <f>SUMIFS(Horas!R:R,Horas!E:E,A1027)</f>
        <v>0</v>
      </c>
      <c r="F1026" s="40" t="str">
        <f>"'"&amp;Tabla_Consulta_desde_Proyectos8[[#This Row],[PRYcodigo]]&amp;"1', "</f>
        <v xml:space="preserve">'GB-13751', </v>
      </c>
    </row>
    <row r="1027" spans="1:6">
      <c r="A1027" t="s">
        <v>3719</v>
      </c>
      <c r="B1027" t="s">
        <v>3720</v>
      </c>
      <c r="C1027">
        <v>944</v>
      </c>
      <c r="D1027">
        <f>SUMIFS(Horas!R:R,Horas!E:E,A1028)</f>
        <v>0</v>
      </c>
      <c r="F1027" s="40" t="str">
        <f>"'"&amp;Tabla_Consulta_desde_Proyectos8[[#This Row],[PRYcodigo]]&amp;"1', "</f>
        <v xml:space="preserve">'GB-13761', </v>
      </c>
    </row>
    <row r="1028" spans="1:6">
      <c r="A1028" t="s">
        <v>3699</v>
      </c>
      <c r="B1028" t="s">
        <v>3700</v>
      </c>
      <c r="C1028">
        <v>933</v>
      </c>
      <c r="D1028">
        <f>SUMIFS(Horas!R:R,Horas!E:E,A1029)</f>
        <v>0</v>
      </c>
      <c r="F1028" s="40" t="str">
        <f>"'"&amp;Tabla_Consulta_desde_Proyectos8[[#This Row],[PRYcodigo]]&amp;"1', "</f>
        <v xml:space="preserve">'GB-13771', </v>
      </c>
    </row>
    <row r="1029" spans="1:6">
      <c r="A1029" t="s">
        <v>3681</v>
      </c>
      <c r="B1029" t="s">
        <v>3682</v>
      </c>
      <c r="C1029">
        <v>923</v>
      </c>
      <c r="D1029">
        <f>SUMIFS(Horas!R:R,Horas!E:E,A1030)</f>
        <v>0</v>
      </c>
      <c r="F1029" s="40" t="str">
        <f>"'"&amp;Tabla_Consulta_desde_Proyectos8[[#This Row],[PRYcodigo]]&amp;"1', "</f>
        <v xml:space="preserve">'GB-13781', </v>
      </c>
    </row>
    <row r="1030" spans="1:6">
      <c r="A1030" t="s">
        <v>3687</v>
      </c>
      <c r="B1030" t="s">
        <v>3688</v>
      </c>
      <c r="C1030">
        <v>926</v>
      </c>
      <c r="D1030">
        <f>SUMIFS(Horas!R:R,Horas!E:E,A1031)</f>
        <v>0</v>
      </c>
    </row>
    <row r="1031" spans="1:6">
      <c r="A1031" t="s">
        <v>3689</v>
      </c>
      <c r="B1031" t="s">
        <v>3690</v>
      </c>
      <c r="C1031">
        <v>927</v>
      </c>
      <c r="D1031">
        <f>SUMIFS(Horas!R:R,Horas!E:E,A1032)</f>
        <v>0</v>
      </c>
    </row>
    <row r="1032" spans="1:6">
      <c r="A1032" t="s">
        <v>3738</v>
      </c>
      <c r="B1032" t="s">
        <v>3739</v>
      </c>
      <c r="C1032">
        <v>954</v>
      </c>
      <c r="D1032">
        <f>SUMIFS(Horas!R:R,Horas!E:E,A1033)</f>
        <v>0</v>
      </c>
    </row>
    <row r="1033" spans="1:6">
      <c r="A1033" t="s">
        <v>3705</v>
      </c>
      <c r="B1033" t="s">
        <v>3706</v>
      </c>
      <c r="C1033">
        <v>937</v>
      </c>
      <c r="D1033">
        <f>SUMIFS(Horas!R:R,Horas!E:E,A1034)</f>
        <v>0</v>
      </c>
    </row>
    <row r="1034" spans="1:6">
      <c r="A1034" t="s">
        <v>3744</v>
      </c>
      <c r="B1034" t="s">
        <v>3745</v>
      </c>
      <c r="C1034">
        <v>958</v>
      </c>
      <c r="D1034">
        <f>SUMIFS(Horas!R:R,Horas!E:E,A1035)</f>
        <v>0</v>
      </c>
    </row>
    <row r="1035" spans="1:6">
      <c r="A1035" t="s">
        <v>3761</v>
      </c>
      <c r="B1035" t="s">
        <v>3762</v>
      </c>
      <c r="C1035">
        <v>967</v>
      </c>
      <c r="D1035">
        <f>SUMIFS(Horas!R:R,Horas!E:E,A1036)</f>
        <v>0</v>
      </c>
    </row>
    <row r="1036" spans="1:6">
      <c r="A1036" t="s">
        <v>3763</v>
      </c>
      <c r="B1036" t="s">
        <v>3764</v>
      </c>
      <c r="C1036">
        <v>968</v>
      </c>
      <c r="D1036">
        <f>SUMIFS(Horas!R:R,Horas!E:E,A1037)</f>
        <v>0</v>
      </c>
    </row>
    <row r="1037" spans="1:6">
      <c r="A1037" t="s">
        <v>3765</v>
      </c>
      <c r="B1037" t="s">
        <v>3766</v>
      </c>
      <c r="C1037">
        <v>969</v>
      </c>
      <c r="D1037">
        <f>SUMIFS(Horas!R:R,Horas!E:E,A1038)</f>
        <v>0</v>
      </c>
    </row>
    <row r="1038" spans="1:6">
      <c r="A1038" t="s">
        <v>3767</v>
      </c>
      <c r="B1038" t="s">
        <v>3768</v>
      </c>
      <c r="C1038">
        <v>970</v>
      </c>
      <c r="D1038">
        <f>SUMIFS(Horas!R:R,Horas!E:E,A1039)</f>
        <v>0</v>
      </c>
    </row>
    <row r="1039" spans="1:6">
      <c r="A1039" t="s">
        <v>3787</v>
      </c>
      <c r="B1039" t="s">
        <v>3788</v>
      </c>
      <c r="C1039">
        <v>982</v>
      </c>
      <c r="D1039">
        <f>SUMIFS(Horas!R:R,Horas!E:E,A1040)</f>
        <v>0</v>
      </c>
    </row>
    <row r="1040" spans="1:6">
      <c r="A1040" t="s">
        <v>3789</v>
      </c>
      <c r="B1040" t="s">
        <v>3790</v>
      </c>
      <c r="C1040">
        <v>983</v>
      </c>
      <c r="D1040">
        <f>SUMIFS(Horas!R:R,Horas!E:E,A1041)</f>
        <v>0</v>
      </c>
    </row>
    <row r="1041" spans="1:4">
      <c r="A1041" t="s">
        <v>2243</v>
      </c>
      <c r="B1041" t="s">
        <v>2244</v>
      </c>
      <c r="C1041">
        <v>140</v>
      </c>
      <c r="D1041">
        <f>SUMIFS(Horas!R:R,Horas!E:E,A1042)</f>
        <v>0</v>
      </c>
    </row>
    <row r="1042" spans="1:4">
      <c r="A1042" t="s">
        <v>2259</v>
      </c>
      <c r="B1042" t="s">
        <v>2260</v>
      </c>
      <c r="C1042">
        <v>161</v>
      </c>
      <c r="D1042">
        <f>SUMIFS(Horas!R:R,Horas!E:E,A1043)</f>
        <v>0</v>
      </c>
    </row>
    <row r="1043" spans="1:4">
      <c r="A1043" t="s">
        <v>2241</v>
      </c>
      <c r="B1043" t="s">
        <v>2242</v>
      </c>
      <c r="C1043">
        <v>142</v>
      </c>
      <c r="D1043">
        <f>SUMIFS(Horas!R:R,Horas!E:E,A1044)</f>
        <v>0</v>
      </c>
    </row>
    <row r="1044" spans="1:4">
      <c r="A1044" t="s">
        <v>2234</v>
      </c>
      <c r="B1044" t="s">
        <v>2235</v>
      </c>
      <c r="C1044">
        <v>143</v>
      </c>
      <c r="D1044">
        <f>SUMIFS(Horas!R:R,Horas!E:E,A1045)</f>
        <v>0</v>
      </c>
    </row>
    <row r="1045" spans="1:4">
      <c r="A1045" t="s">
        <v>2261</v>
      </c>
      <c r="B1045" t="s">
        <v>2262</v>
      </c>
      <c r="C1045">
        <v>147</v>
      </c>
      <c r="D1045">
        <f>SUMIFS(Horas!R:R,Horas!E:E,A1046)</f>
        <v>0</v>
      </c>
    </row>
    <row r="1046" spans="1:4">
      <c r="A1046" t="s">
        <v>2417</v>
      </c>
      <c r="B1046" t="s">
        <v>2418</v>
      </c>
      <c r="C1046">
        <v>211</v>
      </c>
      <c r="D1046">
        <f>SUMIFS(Horas!R:R,Horas!E:E,A1047)</f>
        <v>0</v>
      </c>
    </row>
    <row r="1047" spans="1:4">
      <c r="A1047" t="s">
        <v>2436</v>
      </c>
      <c r="B1047" t="s">
        <v>2437</v>
      </c>
      <c r="C1047">
        <v>222</v>
      </c>
      <c r="D1047">
        <f>SUMIFS(Horas!R:R,Horas!E:E,A1048)</f>
        <v>0</v>
      </c>
    </row>
    <row r="1048" spans="1:4">
      <c r="A1048" t="s">
        <v>2346</v>
      </c>
      <c r="B1048" t="s">
        <v>2347</v>
      </c>
      <c r="C1048">
        <v>195</v>
      </c>
      <c r="D1048">
        <f>SUMIFS(Horas!R:R,Horas!E:E,A1049)</f>
        <v>0</v>
      </c>
    </row>
    <row r="1049" spans="1:4">
      <c r="A1049" t="s">
        <v>2323</v>
      </c>
      <c r="B1049" t="s">
        <v>2324</v>
      </c>
      <c r="C1049">
        <v>183</v>
      </c>
      <c r="D1049">
        <f>SUMIFS(Horas!R:R,Horas!E:E,A1050)</f>
        <v>0</v>
      </c>
    </row>
    <row r="1050" spans="1:4">
      <c r="A1050" t="s">
        <v>185</v>
      </c>
      <c r="B1050" t="s">
        <v>2433</v>
      </c>
      <c r="C1050">
        <v>218</v>
      </c>
      <c r="D1050">
        <f>SUMIFS(Horas!R:R,Horas!E:E,A1051)</f>
        <v>0</v>
      </c>
    </row>
    <row r="1051" spans="1:4">
      <c r="A1051" t="s">
        <v>2337</v>
      </c>
      <c r="B1051" t="s">
        <v>2338</v>
      </c>
      <c r="C1051">
        <v>189</v>
      </c>
      <c r="D1051">
        <f>SUMIFS(Horas!R:R,Horas!E:E,A1052)</f>
        <v>0</v>
      </c>
    </row>
    <row r="1052" spans="1:4">
      <c r="A1052" t="s">
        <v>2368</v>
      </c>
      <c r="B1052" t="s">
        <v>2369</v>
      </c>
      <c r="C1052">
        <v>204</v>
      </c>
      <c r="D1052">
        <f>SUMIFS(Horas!R:R,Horas!E:E,A1053)</f>
        <v>0</v>
      </c>
    </row>
    <row r="1053" spans="1:4">
      <c r="A1053" t="s">
        <v>2352</v>
      </c>
      <c r="B1053" t="s">
        <v>2353</v>
      </c>
      <c r="C1053">
        <v>198</v>
      </c>
      <c r="D1053">
        <f>SUMIFS(Horas!R:R,Horas!E:E,A1054)</f>
        <v>0</v>
      </c>
    </row>
    <row r="1054" spans="1:4">
      <c r="A1054" t="s">
        <v>2386</v>
      </c>
      <c r="B1054" t="s">
        <v>2387</v>
      </c>
      <c r="C1054">
        <v>205</v>
      </c>
      <c r="D1054">
        <f>SUMIFS(Horas!R:R,Horas!E:E,A1055)</f>
        <v>0</v>
      </c>
    </row>
    <row r="1055" spans="1:4">
      <c r="A1055" t="s">
        <v>2350</v>
      </c>
      <c r="B1055" t="s">
        <v>2351</v>
      </c>
      <c r="C1055">
        <v>197</v>
      </c>
      <c r="D1055">
        <f>SUMIFS(Horas!R:R,Horas!E:E,A1056)</f>
        <v>0</v>
      </c>
    </row>
    <row r="1056" spans="1:4">
      <c r="A1056" t="s">
        <v>2339</v>
      </c>
      <c r="B1056" t="s">
        <v>2340</v>
      </c>
      <c r="C1056">
        <v>191</v>
      </c>
      <c r="D1056">
        <f>SUMIFS(Horas!R:R,Horas!E:E,A1057)</f>
        <v>0</v>
      </c>
    </row>
    <row r="1057" spans="1:4">
      <c r="A1057" t="s">
        <v>2348</v>
      </c>
      <c r="B1057" t="s">
        <v>2349</v>
      </c>
      <c r="C1057">
        <v>196</v>
      </c>
      <c r="D1057">
        <f>SUMIFS(Horas!R:R,Horas!E:E,A1058)</f>
        <v>0</v>
      </c>
    </row>
    <row r="1058" spans="1:4">
      <c r="A1058" t="s">
        <v>2397</v>
      </c>
      <c r="B1058" t="s">
        <v>2398</v>
      </c>
      <c r="C1058">
        <v>206</v>
      </c>
      <c r="D1058">
        <f>SUMIFS(Horas!R:R,Horas!E:E,A1059)</f>
        <v>0</v>
      </c>
    </row>
    <row r="1059" spans="1:4">
      <c r="A1059" t="s">
        <v>2415</v>
      </c>
      <c r="B1059" t="s">
        <v>2416</v>
      </c>
      <c r="C1059">
        <v>210</v>
      </c>
      <c r="D1059">
        <f>SUMIFS(Horas!R:R,Horas!E:E,A1060)</f>
        <v>0</v>
      </c>
    </row>
    <row r="1060" spans="1:4">
      <c r="A1060" t="s">
        <v>2413</v>
      </c>
      <c r="B1060" t="s">
        <v>2414</v>
      </c>
      <c r="C1060">
        <v>209</v>
      </c>
      <c r="D1060">
        <f>SUMIFS(Horas!R:R,Horas!E:E,A1061)</f>
        <v>0</v>
      </c>
    </row>
    <row r="1061" spans="1:4">
      <c r="A1061" t="s">
        <v>2462</v>
      </c>
      <c r="B1061" t="s">
        <v>2463</v>
      </c>
      <c r="C1061">
        <v>238</v>
      </c>
      <c r="D1061">
        <f>SUMIFS(Horas!R:R,Horas!E:E,A1062)</f>
        <v>0</v>
      </c>
    </row>
    <row r="1062" spans="1:4">
      <c r="A1062" t="s">
        <v>2429</v>
      </c>
      <c r="B1062" t="s">
        <v>2430</v>
      </c>
      <c r="C1062">
        <v>216</v>
      </c>
      <c r="D1062">
        <f>SUMIFS(Horas!R:R,Horas!E:E,A1063)</f>
        <v>0</v>
      </c>
    </row>
    <row r="1063" spans="1:4">
      <c r="A1063" t="s">
        <v>2448</v>
      </c>
      <c r="B1063" t="s">
        <v>2449</v>
      </c>
      <c r="C1063">
        <v>229</v>
      </c>
      <c r="D1063">
        <f>SUMIFS(Horas!R:R,Horas!E:E,A1064)</f>
        <v>0</v>
      </c>
    </row>
    <row r="1064" spans="1:4">
      <c r="A1064" t="s">
        <v>2556</v>
      </c>
      <c r="B1064" t="s">
        <v>2557</v>
      </c>
      <c r="C1064">
        <v>294</v>
      </c>
      <c r="D1064">
        <f>SUMIFS(Horas!R:R,Horas!E:E,A1065)</f>
        <v>0</v>
      </c>
    </row>
    <row r="1065" spans="1:4">
      <c r="A1065" t="s">
        <v>2456</v>
      </c>
      <c r="B1065" t="s">
        <v>2457</v>
      </c>
      <c r="C1065">
        <v>234</v>
      </c>
      <c r="D1065">
        <f>SUMIFS(Horas!R:R,Horas!E:E,A1066)</f>
        <v>0</v>
      </c>
    </row>
    <row r="1066" spans="1:4">
      <c r="A1066" t="s">
        <v>2434</v>
      </c>
      <c r="B1066" t="s">
        <v>2435</v>
      </c>
      <c r="C1066">
        <v>221</v>
      </c>
      <c r="D1066">
        <f>SUMIFS(Horas!R:R,Horas!E:E,A1067)</f>
        <v>0</v>
      </c>
    </row>
    <row r="1067" spans="1:4">
      <c r="A1067" t="s">
        <v>2450</v>
      </c>
      <c r="B1067" t="s">
        <v>2451</v>
      </c>
      <c r="C1067">
        <v>231</v>
      </c>
      <c r="D1067">
        <f>SUMIFS(Horas!R:R,Horas!E:E,A1068)</f>
        <v>0</v>
      </c>
    </row>
    <row r="1068" spans="1:4">
      <c r="A1068" t="s">
        <v>2460</v>
      </c>
      <c r="B1068" t="s">
        <v>2461</v>
      </c>
      <c r="C1068">
        <v>236</v>
      </c>
      <c r="D1068">
        <f>SUMIFS(Horas!R:R,Horas!E:E,A1069)</f>
        <v>0</v>
      </c>
    </row>
    <row r="1069" spans="1:4">
      <c r="A1069" t="s">
        <v>2466</v>
      </c>
      <c r="B1069" t="s">
        <v>2467</v>
      </c>
      <c r="C1069">
        <v>240</v>
      </c>
      <c r="D1069">
        <f>SUMIFS(Horas!R:R,Horas!E:E,A1070)</f>
        <v>0</v>
      </c>
    </row>
    <row r="1070" spans="1:4">
      <c r="A1070" t="s">
        <v>2546</v>
      </c>
      <c r="B1070" t="s">
        <v>2547</v>
      </c>
      <c r="C1070">
        <v>288</v>
      </c>
      <c r="D1070">
        <f>SUMIFS(Horas!R:R,Horas!E:E,A1071)</f>
        <v>0</v>
      </c>
    </row>
    <row r="1071" spans="1:4">
      <c r="A1071" t="s">
        <v>2482</v>
      </c>
      <c r="B1071" t="s">
        <v>2483</v>
      </c>
      <c r="C1071">
        <v>250</v>
      </c>
      <c r="D1071">
        <f>SUMIFS(Horas!R:R,Horas!E:E,A1072)</f>
        <v>0</v>
      </c>
    </row>
    <row r="1072" spans="1:4">
      <c r="A1072" t="s">
        <v>2506</v>
      </c>
      <c r="B1072" t="s">
        <v>2507</v>
      </c>
      <c r="C1072">
        <v>266</v>
      </c>
      <c r="D1072">
        <f>SUMIFS(Horas!R:R,Horas!E:E,A1073)</f>
        <v>0</v>
      </c>
    </row>
    <row r="1073" spans="1:4">
      <c r="A1073" t="s">
        <v>2518</v>
      </c>
      <c r="B1073" t="s">
        <v>2519</v>
      </c>
      <c r="C1073">
        <v>272</v>
      </c>
      <c r="D1073">
        <f>SUMIFS(Horas!R:R,Horas!E:E,A1074)</f>
        <v>0</v>
      </c>
    </row>
    <row r="1074" spans="1:4">
      <c r="A1074" t="s">
        <v>2544</v>
      </c>
      <c r="B1074" t="s">
        <v>2545</v>
      </c>
      <c r="C1074">
        <v>287</v>
      </c>
      <c r="D1074">
        <f>SUMIFS(Horas!R:R,Horas!E:E,A1075)</f>
        <v>0</v>
      </c>
    </row>
    <row r="1075" spans="1:4">
      <c r="A1075" t="s">
        <v>2554</v>
      </c>
      <c r="B1075" t="s">
        <v>2555</v>
      </c>
      <c r="C1075">
        <v>293</v>
      </c>
      <c r="D1075">
        <f>SUMIFS(Horas!R:R,Horas!E:E,A1076)</f>
        <v>0</v>
      </c>
    </row>
    <row r="1076" spans="1:4">
      <c r="A1076" t="s">
        <v>2563</v>
      </c>
      <c r="B1076" t="s">
        <v>2564</v>
      </c>
      <c r="C1076">
        <v>299</v>
      </c>
      <c r="D1076">
        <f>SUMIFS(Horas!R:R,Horas!E:E,A1077)</f>
        <v>0</v>
      </c>
    </row>
    <row r="1077" spans="1:4">
      <c r="A1077" t="s">
        <v>2561</v>
      </c>
      <c r="B1077" t="s">
        <v>2562</v>
      </c>
      <c r="C1077">
        <v>298</v>
      </c>
      <c r="D1077">
        <f>SUMIFS(Horas!R:R,Horas!E:E,A1078)</f>
        <v>0</v>
      </c>
    </row>
    <row r="1078" spans="1:4">
      <c r="A1078" t="s">
        <v>2567</v>
      </c>
      <c r="B1078" t="s">
        <v>2568</v>
      </c>
      <c r="C1078">
        <v>301</v>
      </c>
      <c r="D1078">
        <f>SUMIFS(Horas!R:R,Horas!E:E,A1079)</f>
        <v>0</v>
      </c>
    </row>
    <row r="1079" spans="1:4">
      <c r="A1079" t="s">
        <v>2569</v>
      </c>
      <c r="B1079" t="s">
        <v>2570</v>
      </c>
      <c r="C1079">
        <v>302</v>
      </c>
      <c r="D1079">
        <f>SUMIFS(Horas!R:R,Horas!E:E,A1080)</f>
        <v>0</v>
      </c>
    </row>
    <row r="1080" spans="1:4">
      <c r="A1080" t="s">
        <v>2571</v>
      </c>
      <c r="B1080" t="s">
        <v>2572</v>
      </c>
      <c r="C1080">
        <v>303</v>
      </c>
      <c r="D1080">
        <f>SUMIFS(Horas!R:R,Horas!E:E,A1081)</f>
        <v>0</v>
      </c>
    </row>
    <row r="1081" spans="1:4">
      <c r="A1081" t="s">
        <v>2575</v>
      </c>
      <c r="B1081" t="s">
        <v>2576</v>
      </c>
      <c r="C1081">
        <v>305</v>
      </c>
      <c r="D1081">
        <f>SUMIFS(Horas!R:R,Horas!E:E,A1082)</f>
        <v>0</v>
      </c>
    </row>
    <row r="1082" spans="1:4">
      <c r="A1082" t="s">
        <v>2577</v>
      </c>
      <c r="B1082" t="s">
        <v>2578</v>
      </c>
      <c r="C1082">
        <v>306</v>
      </c>
      <c r="D1082">
        <f>SUMIFS(Horas!R:R,Horas!E:E,A1083)</f>
        <v>0</v>
      </c>
    </row>
    <row r="1083" spans="1:4">
      <c r="A1083" t="s">
        <v>2573</v>
      </c>
      <c r="B1083" t="s">
        <v>2574</v>
      </c>
      <c r="C1083">
        <v>304</v>
      </c>
      <c r="D1083">
        <f>SUMIFS(Horas!R:R,Horas!E:E,A1084)</f>
        <v>0</v>
      </c>
    </row>
    <row r="1084" spans="1:4">
      <c r="A1084" t="s">
        <v>2587</v>
      </c>
      <c r="B1084" t="s">
        <v>2588</v>
      </c>
      <c r="C1084">
        <v>311</v>
      </c>
      <c r="D1084">
        <f>SUMIFS(Horas!R:R,Horas!E:E,A1085)</f>
        <v>0</v>
      </c>
    </row>
    <row r="1085" spans="1:4">
      <c r="A1085" t="s">
        <v>2611</v>
      </c>
      <c r="B1085" t="s">
        <v>2612</v>
      </c>
      <c r="C1085">
        <v>324</v>
      </c>
      <c r="D1085">
        <f>SUMIFS(Horas!R:R,Horas!E:E,A1086)</f>
        <v>0</v>
      </c>
    </row>
    <row r="1086" spans="1:4">
      <c r="A1086" t="s">
        <v>2599</v>
      </c>
      <c r="B1086" t="s">
        <v>2600</v>
      </c>
      <c r="C1086">
        <v>317</v>
      </c>
      <c r="D1086">
        <f>SUMIFS(Horas!R:R,Horas!E:E,A1087)</f>
        <v>0</v>
      </c>
    </row>
    <row r="1087" spans="1:4">
      <c r="A1087" t="s">
        <v>2591</v>
      </c>
      <c r="B1087" t="s">
        <v>2592</v>
      </c>
      <c r="C1087">
        <v>313</v>
      </c>
      <c r="D1087">
        <f>SUMIFS(Horas!R:R,Horas!E:E,A1088)</f>
        <v>0</v>
      </c>
    </row>
    <row r="1088" spans="1:4">
      <c r="A1088" t="s">
        <v>2589</v>
      </c>
      <c r="B1088" t="s">
        <v>2590</v>
      </c>
      <c r="C1088">
        <v>312</v>
      </c>
      <c r="D1088">
        <f>SUMIFS(Horas!R:R,Horas!E:E,A1089)</f>
        <v>0</v>
      </c>
    </row>
    <row r="1089" spans="1:4">
      <c r="A1089" t="s">
        <v>2595</v>
      </c>
      <c r="B1089" t="s">
        <v>2596</v>
      </c>
      <c r="C1089">
        <v>315</v>
      </c>
      <c r="D1089">
        <f>SUMIFS(Horas!R:R,Horas!E:E,A1090)</f>
        <v>0</v>
      </c>
    </row>
    <row r="1090" spans="1:4">
      <c r="A1090" t="s">
        <v>2597</v>
      </c>
      <c r="B1090" t="s">
        <v>2598</v>
      </c>
      <c r="C1090">
        <v>316</v>
      </c>
      <c r="D1090">
        <f>SUMIFS(Horas!R:R,Horas!E:E,A1091)</f>
        <v>0</v>
      </c>
    </row>
    <row r="1091" spans="1:4">
      <c r="A1091" t="s">
        <v>2601</v>
      </c>
      <c r="B1091" t="s">
        <v>2602</v>
      </c>
      <c r="C1091">
        <v>318</v>
      </c>
      <c r="D1091">
        <f>SUMIFS(Horas!R:R,Horas!E:E,A1092)</f>
        <v>0</v>
      </c>
    </row>
    <row r="1092" spans="1:4">
      <c r="A1092" t="s">
        <v>2613</v>
      </c>
      <c r="B1092" t="s">
        <v>2614</v>
      </c>
      <c r="C1092">
        <v>325</v>
      </c>
      <c r="D1092">
        <f>SUMIFS(Horas!R:R,Horas!E:E,A1093)</f>
        <v>0</v>
      </c>
    </row>
    <row r="1093" spans="1:4">
      <c r="A1093" t="s">
        <v>2637</v>
      </c>
      <c r="B1093" t="s">
        <v>2638</v>
      </c>
      <c r="C1093">
        <v>338</v>
      </c>
      <c r="D1093">
        <f>SUMIFS(Horas!R:R,Horas!E:E,A1094)</f>
        <v>0</v>
      </c>
    </row>
    <row r="1094" spans="1:4">
      <c r="A1094" t="s">
        <v>2633</v>
      </c>
      <c r="B1094" t="s">
        <v>2634</v>
      </c>
      <c r="C1094">
        <v>336</v>
      </c>
      <c r="D1094">
        <f>SUMIFS(Horas!R:R,Horas!E:E,A1095)</f>
        <v>0</v>
      </c>
    </row>
    <row r="1095" spans="1:4">
      <c r="A1095" t="s">
        <v>2635</v>
      </c>
      <c r="B1095" t="s">
        <v>2636</v>
      </c>
      <c r="C1095">
        <v>337</v>
      </c>
      <c r="D1095">
        <f>SUMIFS(Horas!R:R,Horas!E:E,A1096)</f>
        <v>0</v>
      </c>
    </row>
    <row r="1096" spans="1:4">
      <c r="A1096" t="s">
        <v>2639</v>
      </c>
      <c r="B1096" t="s">
        <v>2640</v>
      </c>
      <c r="C1096">
        <v>339</v>
      </c>
      <c r="D1096">
        <f>SUMIFS(Horas!R:R,Horas!E:E,A1097)</f>
        <v>0</v>
      </c>
    </row>
    <row r="1097" spans="1:4">
      <c r="A1097" t="s">
        <v>2653</v>
      </c>
      <c r="B1097" t="s">
        <v>2654</v>
      </c>
      <c r="C1097">
        <v>346</v>
      </c>
      <c r="D1097">
        <f>SUMIFS(Horas!R:R,Horas!E:E,A1098)</f>
        <v>0</v>
      </c>
    </row>
    <row r="1098" spans="1:4">
      <c r="A1098" t="s">
        <v>2643</v>
      </c>
      <c r="B1098" t="s">
        <v>2644</v>
      </c>
      <c r="C1098">
        <v>341</v>
      </c>
      <c r="D1098">
        <f>SUMIFS(Horas!R:R,Horas!E:E,A1099)</f>
        <v>0</v>
      </c>
    </row>
    <row r="1099" spans="1:4">
      <c r="A1099" t="s">
        <v>2645</v>
      </c>
      <c r="B1099" t="s">
        <v>2646</v>
      </c>
      <c r="C1099">
        <v>342</v>
      </c>
      <c r="D1099">
        <f>SUMIFS(Horas!R:R,Horas!E:E,A1100)</f>
        <v>0</v>
      </c>
    </row>
    <row r="1100" spans="1:4">
      <c r="A1100" t="s">
        <v>2647</v>
      </c>
      <c r="B1100" t="s">
        <v>2648</v>
      </c>
      <c r="C1100">
        <v>343</v>
      </c>
      <c r="D1100">
        <f>SUMIFS(Horas!R:R,Horas!E:E,A1101)</f>
        <v>0</v>
      </c>
    </row>
    <row r="1101" spans="1:4">
      <c r="A1101" t="s">
        <v>2655</v>
      </c>
      <c r="B1101" t="s">
        <v>2656</v>
      </c>
      <c r="C1101">
        <v>347</v>
      </c>
      <c r="D1101">
        <f>SUMIFS(Horas!R:R,Horas!E:E,A1102)</f>
        <v>0</v>
      </c>
    </row>
    <row r="1102" spans="1:4">
      <c r="A1102" t="s">
        <v>2657</v>
      </c>
      <c r="B1102" t="s">
        <v>2658</v>
      </c>
      <c r="C1102">
        <v>348</v>
      </c>
      <c r="D1102">
        <f>SUMIFS(Horas!R:R,Horas!E:E,A1103)</f>
        <v>0</v>
      </c>
    </row>
    <row r="1103" spans="1:4">
      <c r="A1103" t="s">
        <v>2651</v>
      </c>
      <c r="B1103" t="s">
        <v>2652</v>
      </c>
      <c r="C1103">
        <v>345</v>
      </c>
      <c r="D1103">
        <f>SUMIFS(Horas!R:R,Horas!E:E,A1104)</f>
        <v>0</v>
      </c>
    </row>
    <row r="1104" spans="1:4">
      <c r="A1104" t="s">
        <v>2659</v>
      </c>
      <c r="B1104" t="s">
        <v>2660</v>
      </c>
      <c r="C1104">
        <v>349</v>
      </c>
      <c r="D1104">
        <f>SUMIFS(Horas!R:R,Horas!E:E,A1105)</f>
        <v>0</v>
      </c>
    </row>
    <row r="1105" spans="1:4">
      <c r="A1105" t="s">
        <v>2665</v>
      </c>
      <c r="B1105" t="s">
        <v>2666</v>
      </c>
      <c r="C1105">
        <v>352</v>
      </c>
      <c r="D1105">
        <f>SUMIFS(Horas!R:R,Horas!E:E,A1106)</f>
        <v>0</v>
      </c>
    </row>
    <row r="1106" spans="1:4">
      <c r="A1106" t="s">
        <v>2661</v>
      </c>
      <c r="B1106" t="s">
        <v>2662</v>
      </c>
      <c r="C1106">
        <v>350</v>
      </c>
      <c r="D1106">
        <f>SUMIFS(Horas!R:R,Horas!E:E,A1107)</f>
        <v>0</v>
      </c>
    </row>
    <row r="1107" spans="1:4">
      <c r="A1107" t="s">
        <v>2663</v>
      </c>
      <c r="B1107" t="s">
        <v>2664</v>
      </c>
      <c r="C1107">
        <v>351</v>
      </c>
      <c r="D1107">
        <f>SUMIFS(Horas!R:R,Horas!E:E,A1108)</f>
        <v>0</v>
      </c>
    </row>
    <row r="1108" spans="1:4">
      <c r="A1108" t="s">
        <v>2675</v>
      </c>
      <c r="B1108" t="s">
        <v>2676</v>
      </c>
      <c r="C1108">
        <v>357</v>
      </c>
      <c r="D1108">
        <f>SUMIFS(Horas!R:R,Horas!E:E,A1109)</f>
        <v>0</v>
      </c>
    </row>
    <row r="1109" spans="1:4">
      <c r="A1109" t="s">
        <v>2669</v>
      </c>
      <c r="B1109" t="s">
        <v>2670</v>
      </c>
      <c r="C1109">
        <v>354</v>
      </c>
      <c r="D1109">
        <f>SUMIFS(Horas!R:R,Horas!E:E,A1110)</f>
        <v>0</v>
      </c>
    </row>
    <row r="1110" spans="1:4">
      <c r="A1110" t="s">
        <v>2677</v>
      </c>
      <c r="B1110" t="s">
        <v>2678</v>
      </c>
      <c r="C1110">
        <v>358</v>
      </c>
      <c r="D1110">
        <f>SUMIFS(Horas!R:R,Horas!E:E,A1111)</f>
        <v>0</v>
      </c>
    </row>
    <row r="1111" spans="1:4">
      <c r="A1111" t="s">
        <v>2679</v>
      </c>
      <c r="B1111" t="s">
        <v>2680</v>
      </c>
      <c r="C1111">
        <v>359</v>
      </c>
      <c r="D1111">
        <f>SUMIFS(Horas!R:R,Horas!E:E,A1112)</f>
        <v>0</v>
      </c>
    </row>
    <row r="1112" spans="1:4">
      <c r="A1112" t="s">
        <v>2671</v>
      </c>
      <c r="B1112" t="s">
        <v>2672</v>
      </c>
      <c r="C1112">
        <v>355</v>
      </c>
      <c r="D1112">
        <f>SUMIFS(Horas!R:R,Horas!E:E,A1113)</f>
        <v>0</v>
      </c>
    </row>
    <row r="1113" spans="1:4">
      <c r="A1113" t="s">
        <v>2673</v>
      </c>
      <c r="B1113" t="s">
        <v>2674</v>
      </c>
      <c r="C1113">
        <v>356</v>
      </c>
      <c r="D1113">
        <f>SUMIFS(Horas!R:R,Horas!E:E,A1114)</f>
        <v>0</v>
      </c>
    </row>
    <row r="1114" spans="1:4">
      <c r="A1114" t="s">
        <v>2693</v>
      </c>
      <c r="B1114" t="s">
        <v>2694</v>
      </c>
      <c r="C1114">
        <v>366</v>
      </c>
      <c r="D1114">
        <f>SUMIFS(Horas!R:R,Horas!E:E,A1115)</f>
        <v>0</v>
      </c>
    </row>
    <row r="1115" spans="1:4">
      <c r="A1115" t="s">
        <v>2683</v>
      </c>
      <c r="B1115" t="s">
        <v>2684</v>
      </c>
      <c r="C1115">
        <v>361</v>
      </c>
      <c r="D1115">
        <f>SUMIFS(Horas!R:R,Horas!E:E,A1116)</f>
        <v>0</v>
      </c>
    </row>
    <row r="1116" spans="1:4">
      <c r="A1116" t="s">
        <v>2681</v>
      </c>
      <c r="B1116" t="s">
        <v>2682</v>
      </c>
      <c r="C1116">
        <v>360</v>
      </c>
      <c r="D1116">
        <f>SUMIFS(Horas!R:R,Horas!E:E,A1117)</f>
        <v>0</v>
      </c>
    </row>
    <row r="1117" spans="1:4">
      <c r="A1117" t="s">
        <v>2685</v>
      </c>
      <c r="B1117" t="s">
        <v>2686</v>
      </c>
      <c r="C1117">
        <v>362</v>
      </c>
      <c r="D1117">
        <f>SUMIFS(Horas!R:R,Horas!E:E,A1118)</f>
        <v>0</v>
      </c>
    </row>
    <row r="1118" spans="1:4">
      <c r="A1118" t="s">
        <v>2695</v>
      </c>
      <c r="B1118" t="s">
        <v>2696</v>
      </c>
      <c r="C1118">
        <v>367</v>
      </c>
      <c r="D1118">
        <f>SUMIFS(Horas!R:R,Horas!E:E,A1119)</f>
        <v>0</v>
      </c>
    </row>
    <row r="1119" spans="1:4">
      <c r="A1119" t="s">
        <v>2726</v>
      </c>
      <c r="B1119" t="s">
        <v>2727</v>
      </c>
      <c r="C1119">
        <v>386</v>
      </c>
      <c r="D1119">
        <f>SUMIFS(Horas!R:R,Horas!E:E,A1120)</f>
        <v>0</v>
      </c>
    </row>
    <row r="1120" spans="1:4">
      <c r="A1120" t="s">
        <v>2853</v>
      </c>
      <c r="B1120" t="s">
        <v>2854</v>
      </c>
      <c r="C1120">
        <v>462</v>
      </c>
      <c r="D1120">
        <f>SUMIFS(Horas!R:R,Horas!E:E,A1121)</f>
        <v>0</v>
      </c>
    </row>
    <row r="1121" spans="1:4">
      <c r="A1121" t="s">
        <v>2728</v>
      </c>
      <c r="B1121" t="s">
        <v>2729</v>
      </c>
      <c r="C1121">
        <v>387</v>
      </c>
      <c r="D1121">
        <f>SUMIFS(Horas!R:R,Horas!E:E,A1122)</f>
        <v>0</v>
      </c>
    </row>
    <row r="1122" spans="1:4">
      <c r="A1122" t="s">
        <v>2730</v>
      </c>
      <c r="B1122" t="s">
        <v>2731</v>
      </c>
      <c r="C1122">
        <v>388</v>
      </c>
      <c r="D1122">
        <f>SUMIFS(Horas!R:R,Horas!E:E,A1123)</f>
        <v>0</v>
      </c>
    </row>
    <row r="1123" spans="1:4">
      <c r="A1123" t="s">
        <v>2736</v>
      </c>
      <c r="B1123" t="s">
        <v>2737</v>
      </c>
      <c r="C1123">
        <v>391</v>
      </c>
      <c r="D1123">
        <f>SUMIFS(Horas!R:R,Horas!E:E,A1124)</f>
        <v>0</v>
      </c>
    </row>
    <row r="1124" spans="1:4">
      <c r="A1124" t="s">
        <v>2807</v>
      </c>
      <c r="B1124" t="s">
        <v>2808</v>
      </c>
      <c r="C1124">
        <v>440</v>
      </c>
      <c r="D1124">
        <f>SUMIFS(Horas!R:R,Horas!E:E,A1125)</f>
        <v>0</v>
      </c>
    </row>
    <row r="1125" spans="1:4">
      <c r="A1125" t="s">
        <v>2734</v>
      </c>
      <c r="B1125" t="s">
        <v>2735</v>
      </c>
      <c r="C1125">
        <v>390</v>
      </c>
      <c r="D1125">
        <f>SUMIFS(Horas!R:R,Horas!E:E,A1126)</f>
        <v>0</v>
      </c>
    </row>
    <row r="1126" spans="1:4">
      <c r="A1126" t="s">
        <v>2738</v>
      </c>
      <c r="B1126" t="s">
        <v>2739</v>
      </c>
      <c r="C1126">
        <v>392</v>
      </c>
      <c r="D1126">
        <f>SUMIFS(Horas!R:R,Horas!E:E,A1127)</f>
        <v>0</v>
      </c>
    </row>
    <row r="1127" spans="1:4">
      <c r="A1127" t="s">
        <v>2732</v>
      </c>
      <c r="B1127" t="s">
        <v>2733</v>
      </c>
      <c r="C1127">
        <v>389</v>
      </c>
      <c r="D1127">
        <f>SUMIFS(Horas!R:R,Horas!E:E,A1128)</f>
        <v>0</v>
      </c>
    </row>
    <row r="1128" spans="1:4">
      <c r="A1128" t="s">
        <v>2758</v>
      </c>
      <c r="B1128" t="s">
        <v>2759</v>
      </c>
      <c r="C1128">
        <v>411</v>
      </c>
      <c r="D1128">
        <f>SUMIFS(Horas!R:R,Horas!E:E,A1129)</f>
        <v>0</v>
      </c>
    </row>
    <row r="1129" spans="1:4">
      <c r="A1129" t="s">
        <v>2760</v>
      </c>
      <c r="B1129" t="s">
        <v>2761</v>
      </c>
      <c r="C1129">
        <v>412</v>
      </c>
      <c r="D1129">
        <f>SUMIFS(Horas!R:R,Horas!E:E,A1130)</f>
        <v>0</v>
      </c>
    </row>
    <row r="1130" spans="1:4">
      <c r="A1130" t="s">
        <v>2762</v>
      </c>
      <c r="B1130" t="s">
        <v>2763</v>
      </c>
      <c r="C1130">
        <v>413</v>
      </c>
      <c r="D1130">
        <f>SUMIFS(Horas!R:R,Horas!E:E,A1131)</f>
        <v>0</v>
      </c>
    </row>
    <row r="1131" spans="1:4">
      <c r="A1131" t="s">
        <v>2764</v>
      </c>
      <c r="B1131" t="s">
        <v>2765</v>
      </c>
      <c r="C1131">
        <v>414</v>
      </c>
      <c r="D1131">
        <f>SUMIFS(Horas!R:R,Horas!E:E,A1132)</f>
        <v>0</v>
      </c>
    </row>
    <row r="1132" spans="1:4">
      <c r="A1132" t="s">
        <v>2766</v>
      </c>
      <c r="B1132" t="s">
        <v>2767</v>
      </c>
      <c r="C1132">
        <v>415</v>
      </c>
      <c r="D1132">
        <f>SUMIFS(Horas!R:R,Horas!E:E,A1133)</f>
        <v>0</v>
      </c>
    </row>
    <row r="1133" spans="1:4">
      <c r="A1133" t="s">
        <v>2768</v>
      </c>
      <c r="B1133" t="s">
        <v>2769</v>
      </c>
      <c r="C1133">
        <v>416</v>
      </c>
      <c r="D1133">
        <f>SUMIFS(Horas!R:R,Horas!E:E,A1134)</f>
        <v>0</v>
      </c>
    </row>
    <row r="1134" spans="1:4">
      <c r="A1134" t="s">
        <v>2770</v>
      </c>
      <c r="B1134" t="s">
        <v>2771</v>
      </c>
      <c r="C1134">
        <v>417</v>
      </c>
      <c r="D1134">
        <f>SUMIFS(Horas!R:R,Horas!E:E,A1135)</f>
        <v>0</v>
      </c>
    </row>
    <row r="1135" spans="1:4">
      <c r="A1135" t="s">
        <v>2772</v>
      </c>
      <c r="B1135" t="s">
        <v>2773</v>
      </c>
      <c r="C1135">
        <v>418</v>
      </c>
      <c r="D1135">
        <f>SUMIFS(Horas!R:R,Horas!E:E,A1136)</f>
        <v>0</v>
      </c>
    </row>
    <row r="1136" spans="1:4">
      <c r="A1136" t="s">
        <v>2781</v>
      </c>
      <c r="B1136" t="s">
        <v>2782</v>
      </c>
      <c r="C1136">
        <v>426</v>
      </c>
      <c r="D1136">
        <f>SUMIFS(Horas!R:R,Horas!E:E,A1137)</f>
        <v>0</v>
      </c>
    </row>
    <row r="1137" spans="1:4">
      <c r="A1137" t="s">
        <v>2783</v>
      </c>
      <c r="B1137" t="s">
        <v>2784</v>
      </c>
      <c r="C1137">
        <v>427</v>
      </c>
      <c r="D1137">
        <f>SUMIFS(Horas!R:R,Horas!E:E,A1138)</f>
        <v>0</v>
      </c>
    </row>
    <row r="1138" spans="1:4">
      <c r="A1138" t="s">
        <v>2795</v>
      </c>
      <c r="B1138" t="s">
        <v>2796</v>
      </c>
      <c r="C1138">
        <v>434</v>
      </c>
      <c r="D1138">
        <f>SUMIFS(Horas!R:R,Horas!E:E,A1139)</f>
        <v>0</v>
      </c>
    </row>
    <row r="1139" spans="1:4">
      <c r="A1139" t="s">
        <v>2793</v>
      </c>
      <c r="B1139" t="s">
        <v>2794</v>
      </c>
      <c r="C1139">
        <v>433</v>
      </c>
      <c r="D1139">
        <f>SUMIFS(Horas!R:R,Horas!E:E,A1140)</f>
        <v>0</v>
      </c>
    </row>
    <row r="1140" spans="1:4">
      <c r="A1140" t="s">
        <v>2801</v>
      </c>
      <c r="B1140" t="s">
        <v>2802</v>
      </c>
      <c r="C1140">
        <v>437</v>
      </c>
      <c r="D1140">
        <f>SUMIFS(Horas!R:R,Horas!E:E,A1141)</f>
        <v>0</v>
      </c>
    </row>
    <row r="1141" spans="1:4">
      <c r="A1141" t="s">
        <v>2803</v>
      </c>
      <c r="B1141" t="s">
        <v>2804</v>
      </c>
      <c r="C1141">
        <v>438</v>
      </c>
      <c r="D1141">
        <f>SUMIFS(Horas!R:R,Horas!E:E,A1142)</f>
        <v>0</v>
      </c>
    </row>
    <row r="1142" spans="1:4">
      <c r="A1142" t="s">
        <v>2805</v>
      </c>
      <c r="B1142" t="s">
        <v>2806</v>
      </c>
      <c r="C1142">
        <v>439</v>
      </c>
      <c r="D1142">
        <f>SUMIFS(Horas!R:R,Horas!E:E,A1143)</f>
        <v>0</v>
      </c>
    </row>
    <row r="1143" spans="1:4">
      <c r="A1143" t="s">
        <v>2809</v>
      </c>
      <c r="B1143" t="s">
        <v>2810</v>
      </c>
      <c r="C1143">
        <v>441</v>
      </c>
      <c r="D1143">
        <f>SUMIFS(Horas!R:R,Horas!E:E,A1144)</f>
        <v>0</v>
      </c>
    </row>
    <row r="1144" spans="1:4">
      <c r="A1144" t="s">
        <v>2811</v>
      </c>
      <c r="B1144" t="s">
        <v>2812</v>
      </c>
      <c r="C1144">
        <v>442</v>
      </c>
      <c r="D1144">
        <f>SUMIFS(Horas!R:R,Horas!E:E,A1145)</f>
        <v>0</v>
      </c>
    </row>
    <row r="1145" spans="1:4">
      <c r="A1145" t="s">
        <v>2813</v>
      </c>
      <c r="B1145" t="s">
        <v>2814</v>
      </c>
      <c r="C1145">
        <v>443</v>
      </c>
      <c r="D1145">
        <f>SUMIFS(Horas!R:R,Horas!E:E,A1146)</f>
        <v>0</v>
      </c>
    </row>
    <row r="1146" spans="1:4">
      <c r="A1146" t="s">
        <v>2815</v>
      </c>
      <c r="B1146" t="s">
        <v>2816</v>
      </c>
      <c r="C1146">
        <v>444</v>
      </c>
      <c r="D1146">
        <f>SUMIFS(Horas!R:R,Horas!E:E,A1147)</f>
        <v>0</v>
      </c>
    </row>
    <row r="1147" spans="1:4">
      <c r="A1147" t="s">
        <v>2817</v>
      </c>
      <c r="B1147" t="s">
        <v>2818</v>
      </c>
      <c r="C1147">
        <v>445</v>
      </c>
      <c r="D1147">
        <f>SUMIFS(Horas!R:R,Horas!E:E,A1148)</f>
        <v>0</v>
      </c>
    </row>
    <row r="1148" spans="1:4">
      <c r="A1148" t="s">
        <v>2847</v>
      </c>
      <c r="B1148" t="s">
        <v>2848</v>
      </c>
      <c r="C1148">
        <v>460</v>
      </c>
      <c r="D1148">
        <f>SUMIFS(Horas!R:R,Horas!E:E,A1149)</f>
        <v>0</v>
      </c>
    </row>
    <row r="1149" spans="1:4">
      <c r="A1149" t="s">
        <v>2819</v>
      </c>
      <c r="B1149" t="s">
        <v>2820</v>
      </c>
      <c r="C1149">
        <v>446</v>
      </c>
      <c r="D1149">
        <f>SUMIFS(Horas!R:R,Horas!E:E,A1150)</f>
        <v>0</v>
      </c>
    </row>
    <row r="1150" spans="1:4">
      <c r="A1150" t="s">
        <v>2821</v>
      </c>
      <c r="B1150" t="s">
        <v>2822</v>
      </c>
      <c r="C1150">
        <v>447</v>
      </c>
      <c r="D1150">
        <f>SUMIFS(Horas!R:R,Horas!E:E,A1151)</f>
        <v>0</v>
      </c>
    </row>
    <row r="1151" spans="1:4">
      <c r="A1151" t="s">
        <v>2823</v>
      </c>
      <c r="B1151" t="s">
        <v>2824</v>
      </c>
      <c r="C1151">
        <v>448</v>
      </c>
      <c r="D1151">
        <f>SUMIFS(Horas!R:R,Horas!E:E,A1152)</f>
        <v>0</v>
      </c>
    </row>
    <row r="1152" spans="1:4">
      <c r="A1152" t="s">
        <v>2825</v>
      </c>
      <c r="B1152" t="s">
        <v>2826</v>
      </c>
      <c r="C1152">
        <v>449</v>
      </c>
      <c r="D1152">
        <f>SUMIFS(Horas!R:R,Horas!E:E,A1153)</f>
        <v>0</v>
      </c>
    </row>
    <row r="1153" spans="1:4">
      <c r="A1153" t="s">
        <v>2827</v>
      </c>
      <c r="B1153" t="s">
        <v>2828</v>
      </c>
      <c r="C1153">
        <v>450</v>
      </c>
      <c r="D1153">
        <f>SUMIFS(Horas!R:R,Horas!E:E,A1154)</f>
        <v>0</v>
      </c>
    </row>
    <row r="1154" spans="1:4">
      <c r="A1154" t="s">
        <v>2829</v>
      </c>
      <c r="B1154" t="s">
        <v>2830</v>
      </c>
      <c r="C1154">
        <v>451</v>
      </c>
      <c r="D1154">
        <f>SUMIFS(Horas!R:R,Horas!E:E,A1155)</f>
        <v>0</v>
      </c>
    </row>
    <row r="1155" spans="1:4">
      <c r="A1155" t="s">
        <v>2861</v>
      </c>
      <c r="B1155" t="s">
        <v>2862</v>
      </c>
      <c r="C1155">
        <v>466</v>
      </c>
      <c r="D1155">
        <f>SUMIFS(Horas!R:R,Horas!E:E,A1156)</f>
        <v>0</v>
      </c>
    </row>
    <row r="1156" spans="1:4">
      <c r="A1156" t="s">
        <v>2837</v>
      </c>
      <c r="B1156" t="s">
        <v>2838</v>
      </c>
      <c r="C1156">
        <v>455</v>
      </c>
      <c r="D1156">
        <f>SUMIFS(Horas!R:R,Horas!E:E,A1157)</f>
        <v>0</v>
      </c>
    </row>
    <row r="1157" spans="1:4">
      <c r="A1157" t="s">
        <v>2833</v>
      </c>
      <c r="B1157" t="s">
        <v>2834</v>
      </c>
      <c r="C1157">
        <v>453</v>
      </c>
      <c r="D1157">
        <f>SUMIFS(Horas!R:R,Horas!E:E,A1158)</f>
        <v>0</v>
      </c>
    </row>
    <row r="1158" spans="1:4">
      <c r="A1158" t="s">
        <v>2843</v>
      </c>
      <c r="B1158" t="s">
        <v>2844</v>
      </c>
      <c r="C1158">
        <v>458</v>
      </c>
      <c r="D1158">
        <f>SUMIFS(Horas!R:R,Horas!E:E,A1159)</f>
        <v>0</v>
      </c>
    </row>
    <row r="1159" spans="1:4">
      <c r="A1159" t="s">
        <v>2835</v>
      </c>
      <c r="B1159" t="s">
        <v>2836</v>
      </c>
      <c r="C1159">
        <v>454</v>
      </c>
      <c r="D1159">
        <f>SUMIFS(Horas!R:R,Horas!E:E,A1160)</f>
        <v>0</v>
      </c>
    </row>
    <row r="1160" spans="1:4">
      <c r="A1160" t="s">
        <v>2841</v>
      </c>
      <c r="B1160" t="s">
        <v>2842</v>
      </c>
      <c r="C1160">
        <v>457</v>
      </c>
      <c r="D1160">
        <f>SUMIFS(Horas!R:R,Horas!E:E,A1161)</f>
        <v>0</v>
      </c>
    </row>
    <row r="1161" spans="1:4">
      <c r="A1161" t="s">
        <v>2845</v>
      </c>
      <c r="B1161" t="s">
        <v>2846</v>
      </c>
      <c r="C1161">
        <v>459</v>
      </c>
      <c r="D1161">
        <f>SUMIFS(Horas!R:R,Horas!E:E,A1162)</f>
        <v>0</v>
      </c>
    </row>
    <row r="1162" spans="1:4">
      <c r="A1162" t="s">
        <v>2859</v>
      </c>
      <c r="B1162" t="s">
        <v>2860</v>
      </c>
      <c r="C1162">
        <v>465</v>
      </c>
      <c r="D1162">
        <f>SUMIFS(Horas!R:R,Horas!E:E,A1163)</f>
        <v>0</v>
      </c>
    </row>
    <row r="1163" spans="1:4">
      <c r="A1163" t="s">
        <v>2881</v>
      </c>
      <c r="B1163" t="s">
        <v>2882</v>
      </c>
      <c r="C1163">
        <v>477</v>
      </c>
      <c r="D1163">
        <f>SUMIFS(Horas!R:R,Horas!E:E,A1164)</f>
        <v>0</v>
      </c>
    </row>
    <row r="1164" spans="1:4">
      <c r="A1164" t="s">
        <v>2895</v>
      </c>
      <c r="B1164" t="s">
        <v>2896</v>
      </c>
      <c r="C1164">
        <v>484</v>
      </c>
      <c r="D1164">
        <f>SUMIFS(Horas!R:R,Horas!E:E,A1165)</f>
        <v>0</v>
      </c>
    </row>
    <row r="1165" spans="1:4">
      <c r="A1165" t="s">
        <v>2863</v>
      </c>
      <c r="B1165" t="s">
        <v>2864</v>
      </c>
      <c r="C1165">
        <v>467</v>
      </c>
      <c r="D1165">
        <f>SUMIFS(Horas!R:R,Horas!E:E,A1166)</f>
        <v>0</v>
      </c>
    </row>
    <row r="1166" spans="1:4">
      <c r="A1166" t="s">
        <v>2865</v>
      </c>
      <c r="B1166" t="s">
        <v>2866</v>
      </c>
      <c r="C1166">
        <v>468</v>
      </c>
      <c r="D1166">
        <f>SUMIFS(Horas!R:R,Horas!E:E,A1167)</f>
        <v>0</v>
      </c>
    </row>
    <row r="1167" spans="1:4">
      <c r="A1167" t="s">
        <v>2869</v>
      </c>
      <c r="B1167" t="s">
        <v>2870</v>
      </c>
      <c r="C1167">
        <v>470</v>
      </c>
      <c r="D1167">
        <f>SUMIFS(Horas!R:R,Horas!E:E,A1168)</f>
        <v>0</v>
      </c>
    </row>
    <row r="1168" spans="1:4">
      <c r="A1168" t="s">
        <v>2867</v>
      </c>
      <c r="B1168" t="s">
        <v>2868</v>
      </c>
      <c r="C1168">
        <v>469</v>
      </c>
      <c r="D1168">
        <f>SUMIFS(Horas!R:R,Horas!E:E,A1169)</f>
        <v>0</v>
      </c>
    </row>
    <row r="1169" spans="1:4">
      <c r="A1169" t="s">
        <v>2873</v>
      </c>
      <c r="B1169" t="s">
        <v>2874</v>
      </c>
      <c r="C1169">
        <v>473</v>
      </c>
      <c r="D1169">
        <f>SUMIFS(Horas!R:R,Horas!E:E,A1170)</f>
        <v>0</v>
      </c>
    </row>
    <row r="1170" spans="1:4">
      <c r="A1170" t="s">
        <v>2875</v>
      </c>
      <c r="B1170" t="s">
        <v>2876</v>
      </c>
      <c r="C1170">
        <v>474</v>
      </c>
      <c r="D1170">
        <f>SUMIFS(Horas!R:R,Horas!E:E,A1171)</f>
        <v>0</v>
      </c>
    </row>
    <row r="1171" spans="1:4">
      <c r="A1171" t="s">
        <v>2877</v>
      </c>
      <c r="B1171" t="s">
        <v>2878</v>
      </c>
      <c r="C1171">
        <v>475</v>
      </c>
      <c r="D1171">
        <f>SUMIFS(Horas!R:R,Horas!E:E,A1172)</f>
        <v>0</v>
      </c>
    </row>
    <row r="1172" spans="1:4">
      <c r="A1172" t="s">
        <v>2879</v>
      </c>
      <c r="B1172" t="s">
        <v>2880</v>
      </c>
      <c r="C1172">
        <v>476</v>
      </c>
      <c r="D1172">
        <f>SUMIFS(Horas!R:R,Horas!E:E,A1173)</f>
        <v>0</v>
      </c>
    </row>
    <row r="1173" spans="1:4">
      <c r="A1173" t="s">
        <v>2887</v>
      </c>
      <c r="B1173" t="s">
        <v>2888</v>
      </c>
      <c r="C1173">
        <v>480</v>
      </c>
      <c r="D1173">
        <f>SUMIFS(Horas!R:R,Horas!E:E,A1174)</f>
        <v>0</v>
      </c>
    </row>
    <row r="1174" spans="1:4">
      <c r="A1174" t="s">
        <v>2897</v>
      </c>
      <c r="B1174" t="s">
        <v>2898</v>
      </c>
      <c r="C1174">
        <v>485</v>
      </c>
      <c r="D1174">
        <f>SUMIFS(Horas!R:R,Horas!E:E,A1175)</f>
        <v>0</v>
      </c>
    </row>
    <row r="1175" spans="1:4">
      <c r="A1175" t="s">
        <v>2889</v>
      </c>
      <c r="B1175" t="s">
        <v>2890</v>
      </c>
      <c r="C1175">
        <v>481</v>
      </c>
      <c r="D1175">
        <f>SUMIFS(Horas!R:R,Horas!E:E,A1176)</f>
        <v>0</v>
      </c>
    </row>
    <row r="1176" spans="1:4">
      <c r="A1176" t="s">
        <v>2891</v>
      </c>
      <c r="B1176" t="s">
        <v>2892</v>
      </c>
      <c r="C1176">
        <v>482</v>
      </c>
      <c r="D1176">
        <f>SUMIFS(Horas!R:R,Horas!E:E,A1177)</f>
        <v>0</v>
      </c>
    </row>
    <row r="1177" spans="1:4">
      <c r="A1177" t="s">
        <v>2893</v>
      </c>
      <c r="B1177" t="s">
        <v>2894</v>
      </c>
      <c r="C1177">
        <v>483</v>
      </c>
      <c r="D1177">
        <f>SUMIFS(Horas!R:R,Horas!E:E,A1178)</f>
        <v>0</v>
      </c>
    </row>
    <row r="1178" spans="1:4">
      <c r="A1178" t="s">
        <v>2901</v>
      </c>
      <c r="B1178" t="s">
        <v>2902</v>
      </c>
      <c r="C1178">
        <v>488</v>
      </c>
      <c r="D1178">
        <f>SUMIFS(Horas!R:R,Horas!E:E,A1179)</f>
        <v>0</v>
      </c>
    </row>
    <row r="1179" spans="1:4">
      <c r="A1179" t="s">
        <v>2899</v>
      </c>
      <c r="B1179" t="s">
        <v>2900</v>
      </c>
      <c r="C1179">
        <v>487</v>
      </c>
      <c r="D1179">
        <f>SUMIFS(Horas!R:R,Horas!E:E,A1180)</f>
        <v>0</v>
      </c>
    </row>
    <row r="1180" spans="1:4">
      <c r="A1180" t="s">
        <v>2903</v>
      </c>
      <c r="B1180" t="s">
        <v>2904</v>
      </c>
      <c r="C1180">
        <v>489</v>
      </c>
      <c r="D1180">
        <f>SUMIFS(Horas!R:R,Horas!E:E,A1181)</f>
        <v>0</v>
      </c>
    </row>
    <row r="1181" spans="1:4">
      <c r="A1181" t="s">
        <v>2905</v>
      </c>
      <c r="B1181" t="s">
        <v>2906</v>
      </c>
      <c r="C1181">
        <v>490</v>
      </c>
      <c r="D1181">
        <f>SUMIFS(Horas!R:R,Horas!E:E,A1182)</f>
        <v>0</v>
      </c>
    </row>
    <row r="1182" spans="1:4">
      <c r="A1182" t="s">
        <v>2907</v>
      </c>
      <c r="B1182" t="s">
        <v>2908</v>
      </c>
      <c r="C1182">
        <v>491</v>
      </c>
      <c r="D1182">
        <f>SUMIFS(Horas!R:R,Horas!E:E,A1183)</f>
        <v>0</v>
      </c>
    </row>
    <row r="1183" spans="1:4">
      <c r="A1183" t="s">
        <v>2921</v>
      </c>
      <c r="B1183" t="s">
        <v>2922</v>
      </c>
      <c r="C1183">
        <v>499</v>
      </c>
      <c r="D1183">
        <f>SUMIFS(Horas!R:R,Horas!E:E,A1184)</f>
        <v>0</v>
      </c>
    </row>
    <row r="1184" spans="1:4">
      <c r="A1184" t="s">
        <v>2915</v>
      </c>
      <c r="B1184" t="s">
        <v>2916</v>
      </c>
      <c r="C1184">
        <v>496</v>
      </c>
      <c r="D1184">
        <f>SUMIFS(Horas!R:R,Horas!E:E,A1185)</f>
        <v>0</v>
      </c>
    </row>
    <row r="1185" spans="1:4">
      <c r="A1185" t="s">
        <v>2923</v>
      </c>
      <c r="B1185" t="s">
        <v>2924</v>
      </c>
      <c r="C1185">
        <v>500</v>
      </c>
      <c r="D1185">
        <f>SUMIFS(Horas!R:R,Horas!E:E,A1186)</f>
        <v>0</v>
      </c>
    </row>
    <row r="1186" spans="1:4">
      <c r="A1186" t="s">
        <v>2925</v>
      </c>
      <c r="B1186" t="s">
        <v>2926</v>
      </c>
      <c r="C1186">
        <v>501</v>
      </c>
      <c r="D1186">
        <f>SUMIFS(Horas!R:R,Horas!E:E,A1187)</f>
        <v>0</v>
      </c>
    </row>
    <row r="1187" spans="1:4">
      <c r="A1187" t="s">
        <v>2919</v>
      </c>
      <c r="B1187" t="s">
        <v>2920</v>
      </c>
      <c r="C1187">
        <v>498</v>
      </c>
      <c r="D1187">
        <f>SUMIFS(Horas!R:R,Horas!E:E,A1188)</f>
        <v>0</v>
      </c>
    </row>
    <row r="1188" spans="1:4">
      <c r="A1188" t="s">
        <v>2927</v>
      </c>
      <c r="B1188" t="s">
        <v>2928</v>
      </c>
      <c r="C1188">
        <v>502</v>
      </c>
      <c r="D1188">
        <f>SUMIFS(Horas!R:R,Horas!E:E,A1189)</f>
        <v>0</v>
      </c>
    </row>
    <row r="1189" spans="1:4">
      <c r="A1189" t="s">
        <v>2934</v>
      </c>
      <c r="B1189" t="s">
        <v>2935</v>
      </c>
      <c r="C1189">
        <v>506</v>
      </c>
      <c r="D1189">
        <f>SUMIFS(Horas!R:R,Horas!E:E,A1190)</f>
        <v>0</v>
      </c>
    </row>
    <row r="1190" spans="1:4">
      <c r="A1190" t="s">
        <v>2936</v>
      </c>
      <c r="B1190" t="s">
        <v>2937</v>
      </c>
      <c r="C1190">
        <v>507</v>
      </c>
      <c r="D1190">
        <f>SUMIFS(Horas!R:R,Horas!E:E,A1191)</f>
        <v>0</v>
      </c>
    </row>
    <row r="1191" spans="1:4">
      <c r="A1191" t="s">
        <v>2966</v>
      </c>
      <c r="B1191" t="s">
        <v>2967</v>
      </c>
      <c r="C1191">
        <v>524</v>
      </c>
      <c r="D1191">
        <f>SUMIFS(Horas!R:R,Horas!E:E,A1192)</f>
        <v>0</v>
      </c>
    </row>
    <row r="1192" spans="1:4">
      <c r="A1192" t="s">
        <v>2938</v>
      </c>
      <c r="B1192" t="s">
        <v>2939</v>
      </c>
      <c r="C1192">
        <v>508</v>
      </c>
      <c r="D1192">
        <f>SUMIFS(Horas!R:R,Horas!E:E,A1193)</f>
        <v>0</v>
      </c>
    </row>
    <row r="1193" spans="1:4">
      <c r="A1193" t="s">
        <v>2968</v>
      </c>
      <c r="B1193" t="s">
        <v>2969</v>
      </c>
      <c r="C1193">
        <v>525</v>
      </c>
      <c r="D1193">
        <f>SUMIFS(Horas!R:R,Horas!E:E,A1194)</f>
        <v>0</v>
      </c>
    </row>
    <row r="1194" spans="1:4">
      <c r="A1194" t="s">
        <v>2970</v>
      </c>
      <c r="B1194" t="s">
        <v>2971</v>
      </c>
      <c r="C1194">
        <v>526</v>
      </c>
      <c r="D1194">
        <f>SUMIFS(Horas!R:R,Horas!E:E,A1195)</f>
        <v>0</v>
      </c>
    </row>
    <row r="1195" spans="1:4">
      <c r="A1195" t="s">
        <v>2998</v>
      </c>
      <c r="B1195" t="s">
        <v>2999</v>
      </c>
      <c r="C1195">
        <v>541</v>
      </c>
      <c r="D1195">
        <f>SUMIFS(Horas!R:R,Horas!E:E,A1196)</f>
        <v>0</v>
      </c>
    </row>
    <row r="1196" spans="1:4">
      <c r="A1196" t="s">
        <v>2974</v>
      </c>
      <c r="B1196" t="s">
        <v>2975</v>
      </c>
      <c r="C1196">
        <v>528</v>
      </c>
      <c r="D1196">
        <f>SUMIFS(Horas!R:R,Horas!E:E,A1197)</f>
        <v>0</v>
      </c>
    </row>
    <row r="1197" spans="1:4">
      <c r="A1197" t="s">
        <v>2960</v>
      </c>
      <c r="B1197" t="s">
        <v>2961</v>
      </c>
      <c r="C1197">
        <v>521</v>
      </c>
      <c r="D1197">
        <f>SUMIFS(Horas!R:R,Horas!E:E,A1198)</f>
        <v>0</v>
      </c>
    </row>
    <row r="1198" spans="1:4">
      <c r="A1198" t="s">
        <v>2962</v>
      </c>
      <c r="B1198" t="s">
        <v>2963</v>
      </c>
      <c r="C1198">
        <v>522</v>
      </c>
      <c r="D1198">
        <f>SUMIFS(Horas!R:R,Horas!E:E,A1199)</f>
        <v>0</v>
      </c>
    </row>
    <row r="1199" spans="1:4">
      <c r="A1199" t="s">
        <v>2964</v>
      </c>
      <c r="B1199" t="s">
        <v>2965</v>
      </c>
      <c r="C1199">
        <v>523</v>
      </c>
      <c r="D1199">
        <f>SUMIFS(Horas!R:R,Horas!E:E,A1200)</f>
        <v>0</v>
      </c>
    </row>
    <row r="1200" spans="1:4">
      <c r="A1200" t="s">
        <v>3006</v>
      </c>
      <c r="B1200" t="s">
        <v>3007</v>
      </c>
      <c r="C1200">
        <v>545</v>
      </c>
      <c r="D1200">
        <f>SUMIFS(Horas!R:R,Horas!E:E,A1201)</f>
        <v>0</v>
      </c>
    </row>
    <row r="1201" spans="1:4">
      <c r="A1201" t="s">
        <v>2976</v>
      </c>
      <c r="B1201" t="s">
        <v>2977</v>
      </c>
      <c r="C1201">
        <v>529</v>
      </c>
      <c r="D1201">
        <f>SUMIFS(Horas!R:R,Horas!E:E,A1202)</f>
        <v>0</v>
      </c>
    </row>
    <row r="1202" spans="1:4">
      <c r="A1202" t="s">
        <v>2990</v>
      </c>
      <c r="B1202" t="s">
        <v>2991</v>
      </c>
      <c r="C1202">
        <v>537</v>
      </c>
      <c r="D1202">
        <f>SUMIFS(Horas!R:R,Horas!E:E,A1203)</f>
        <v>0</v>
      </c>
    </row>
    <row r="1203" spans="1:4">
      <c r="A1203" t="s">
        <v>2982</v>
      </c>
      <c r="B1203" t="s">
        <v>2983</v>
      </c>
      <c r="C1203">
        <v>532</v>
      </c>
      <c r="D1203">
        <f>SUMIFS(Horas!R:R,Horas!E:E,A1204)</f>
        <v>0</v>
      </c>
    </row>
    <row r="1204" spans="1:4">
      <c r="A1204" t="s">
        <v>2978</v>
      </c>
      <c r="B1204" t="s">
        <v>2979</v>
      </c>
      <c r="C1204">
        <v>530</v>
      </c>
      <c r="D1204">
        <f>SUMIFS(Horas!R:R,Horas!E:E,A1205)</f>
        <v>0</v>
      </c>
    </row>
    <row r="1205" spans="1:4">
      <c r="A1205" t="s">
        <v>2980</v>
      </c>
      <c r="B1205" t="s">
        <v>2981</v>
      </c>
      <c r="C1205">
        <v>531</v>
      </c>
      <c r="D1205">
        <f>SUMIFS(Horas!R:R,Horas!E:E,A1206)</f>
        <v>0</v>
      </c>
    </row>
    <row r="1206" spans="1:4">
      <c r="A1206" t="s">
        <v>2988</v>
      </c>
      <c r="B1206" t="s">
        <v>2989</v>
      </c>
      <c r="C1206">
        <v>536</v>
      </c>
      <c r="D1206">
        <f>SUMIFS(Horas!R:R,Horas!E:E,A1207)</f>
        <v>0</v>
      </c>
    </row>
    <row r="1207" spans="1:4">
      <c r="A1207" t="s">
        <v>2984</v>
      </c>
      <c r="B1207" t="s">
        <v>2985</v>
      </c>
      <c r="C1207">
        <v>533</v>
      </c>
      <c r="D1207">
        <f>SUMIFS(Horas!R:R,Horas!E:E,A1208)</f>
        <v>0</v>
      </c>
    </row>
    <row r="1208" spans="1:4">
      <c r="A1208" t="s">
        <v>2992</v>
      </c>
      <c r="B1208" t="s">
        <v>2993</v>
      </c>
      <c r="C1208">
        <v>538</v>
      </c>
      <c r="D1208">
        <f>SUMIFS(Horas!R:R,Horas!E:E,A1209)</f>
        <v>0</v>
      </c>
    </row>
    <row r="1209" spans="1:4">
      <c r="A1209" t="s">
        <v>3004</v>
      </c>
      <c r="B1209" t="s">
        <v>3005</v>
      </c>
      <c r="C1209">
        <v>544</v>
      </c>
      <c r="D1209">
        <f>SUMIFS(Horas!R:R,Horas!E:E,A1210)</f>
        <v>0</v>
      </c>
    </row>
    <row r="1210" spans="1:4">
      <c r="A1210" t="s">
        <v>3000</v>
      </c>
      <c r="B1210" t="s">
        <v>3001</v>
      </c>
      <c r="C1210">
        <v>542</v>
      </c>
      <c r="D1210">
        <f>SUMIFS(Horas!R:R,Horas!E:E,A1211)</f>
        <v>0</v>
      </c>
    </row>
    <row r="1211" spans="1:4">
      <c r="A1211" t="s">
        <v>3002</v>
      </c>
      <c r="B1211" t="s">
        <v>3003</v>
      </c>
      <c r="C1211">
        <v>543</v>
      </c>
      <c r="D1211">
        <f>SUMIFS(Horas!R:R,Horas!E:E,A1212)</f>
        <v>0</v>
      </c>
    </row>
    <row r="1212" spans="1:4">
      <c r="A1212" t="s">
        <v>3020</v>
      </c>
      <c r="B1212" t="s">
        <v>3021</v>
      </c>
      <c r="C1212">
        <v>552</v>
      </c>
      <c r="D1212">
        <f>SUMIFS(Horas!R:R,Horas!E:E,A1213)</f>
        <v>0</v>
      </c>
    </row>
    <row r="1213" spans="1:4">
      <c r="A1213" t="s">
        <v>3010</v>
      </c>
      <c r="B1213" t="s">
        <v>3011</v>
      </c>
      <c r="C1213">
        <v>547</v>
      </c>
      <c r="D1213">
        <f>SUMIFS(Horas!R:R,Horas!E:E,A1214)</f>
        <v>0</v>
      </c>
    </row>
    <row r="1214" spans="1:4">
      <c r="A1214" t="s">
        <v>3012</v>
      </c>
      <c r="B1214" t="s">
        <v>3013</v>
      </c>
      <c r="C1214">
        <v>548</v>
      </c>
      <c r="D1214">
        <f>SUMIFS(Horas!R:R,Horas!E:E,A1215)</f>
        <v>0</v>
      </c>
    </row>
    <row r="1215" spans="1:4">
      <c r="A1215" t="s">
        <v>3090</v>
      </c>
      <c r="B1215" t="s">
        <v>3091</v>
      </c>
      <c r="C1215">
        <v>590</v>
      </c>
      <c r="D1215">
        <f>SUMIFS(Horas!R:R,Horas!E:E,A1216)</f>
        <v>0</v>
      </c>
    </row>
    <row r="1216" spans="1:4">
      <c r="A1216" t="s">
        <v>3016</v>
      </c>
      <c r="B1216" t="s">
        <v>3017</v>
      </c>
      <c r="C1216">
        <v>550</v>
      </c>
      <c r="D1216">
        <f>SUMIFS(Horas!R:R,Horas!E:E,A1217)</f>
        <v>0</v>
      </c>
    </row>
    <row r="1217" spans="1:4">
      <c r="A1217" t="s">
        <v>3014</v>
      </c>
      <c r="B1217" t="s">
        <v>3015</v>
      </c>
      <c r="C1217">
        <v>549</v>
      </c>
      <c r="D1217">
        <f>SUMIFS(Horas!R:R,Horas!E:E,A1218)</f>
        <v>0</v>
      </c>
    </row>
    <row r="1218" spans="1:4">
      <c r="A1218" t="s">
        <v>3078</v>
      </c>
      <c r="B1218" t="s">
        <v>3079</v>
      </c>
      <c r="C1218">
        <v>584</v>
      </c>
      <c r="D1218">
        <f>SUMIFS(Horas!R:R,Horas!E:E,A1219)</f>
        <v>0</v>
      </c>
    </row>
    <row r="1219" spans="1:4">
      <c r="A1219" t="s">
        <v>3068</v>
      </c>
      <c r="B1219" t="s">
        <v>3069</v>
      </c>
      <c r="C1219">
        <v>579</v>
      </c>
      <c r="D1219">
        <f>SUMIFS(Horas!R:R,Horas!E:E,A1220)</f>
        <v>0</v>
      </c>
    </row>
    <row r="1220" spans="1:4">
      <c r="A1220" t="s">
        <v>3018</v>
      </c>
      <c r="B1220" t="s">
        <v>3019</v>
      </c>
      <c r="C1220">
        <v>551</v>
      </c>
      <c r="D1220">
        <f>SUMIFS(Horas!R:R,Horas!E:E,A1221)</f>
        <v>0</v>
      </c>
    </row>
    <row r="1221" spans="1:4">
      <c r="A1221" t="s">
        <v>3024</v>
      </c>
      <c r="B1221" t="s">
        <v>3025</v>
      </c>
      <c r="C1221">
        <v>554</v>
      </c>
      <c r="D1221">
        <f>SUMIFS(Horas!R:R,Horas!E:E,A1222)</f>
        <v>0</v>
      </c>
    </row>
    <row r="1222" spans="1:4">
      <c r="A1222" t="s">
        <v>3022</v>
      </c>
      <c r="B1222" t="s">
        <v>3023</v>
      </c>
      <c r="C1222">
        <v>553</v>
      </c>
      <c r="D1222">
        <f>SUMIFS(Horas!R:R,Horas!E:E,A1223)</f>
        <v>0</v>
      </c>
    </row>
    <row r="1223" spans="1:4">
      <c r="A1223" t="s">
        <v>3026</v>
      </c>
      <c r="B1223" t="s">
        <v>3027</v>
      </c>
      <c r="C1223">
        <v>555</v>
      </c>
      <c r="D1223">
        <f>SUMIFS(Horas!R:R,Horas!E:E,A1224)</f>
        <v>0</v>
      </c>
    </row>
    <row r="1224" spans="1:4">
      <c r="A1224" t="s">
        <v>3028</v>
      </c>
      <c r="B1224" t="s">
        <v>3029</v>
      </c>
      <c r="C1224">
        <v>556</v>
      </c>
      <c r="D1224">
        <f>SUMIFS(Horas!R:R,Horas!E:E,A1225)</f>
        <v>0</v>
      </c>
    </row>
    <row r="1225" spans="1:4">
      <c r="A1225" t="s">
        <v>3030</v>
      </c>
      <c r="B1225" t="s">
        <v>3031</v>
      </c>
      <c r="C1225">
        <v>557</v>
      </c>
      <c r="D1225">
        <f>SUMIFS(Horas!R:R,Horas!E:E,A1226)</f>
        <v>0</v>
      </c>
    </row>
    <row r="1226" spans="1:4">
      <c r="A1226" t="s">
        <v>3032</v>
      </c>
      <c r="B1226" t="s">
        <v>3033</v>
      </c>
      <c r="C1226">
        <v>558</v>
      </c>
      <c r="D1226">
        <f>SUMIFS(Horas!R:R,Horas!E:E,A1227)</f>
        <v>0</v>
      </c>
    </row>
    <row r="1227" spans="1:4">
      <c r="A1227" t="s">
        <v>3034</v>
      </c>
      <c r="B1227" t="s">
        <v>3035</v>
      </c>
      <c r="C1227">
        <v>559</v>
      </c>
      <c r="D1227">
        <f>SUMIFS(Horas!R:R,Horas!E:E,A1228)</f>
        <v>0</v>
      </c>
    </row>
    <row r="1228" spans="1:4">
      <c r="A1228" t="s">
        <v>3054</v>
      </c>
      <c r="B1228" t="s">
        <v>3055</v>
      </c>
      <c r="C1228">
        <v>569</v>
      </c>
      <c r="D1228">
        <f>SUMIFS(Horas!R:R,Horas!E:E,A1229)</f>
        <v>0</v>
      </c>
    </row>
    <row r="1229" spans="1:4">
      <c r="A1229" t="s">
        <v>3040</v>
      </c>
      <c r="B1229" t="s">
        <v>3041</v>
      </c>
      <c r="C1229">
        <v>562</v>
      </c>
      <c r="D1229">
        <f>SUMIFS(Horas!R:R,Horas!E:E,A1230)</f>
        <v>0</v>
      </c>
    </row>
    <row r="1230" spans="1:4">
      <c r="A1230" t="s">
        <v>3042</v>
      </c>
      <c r="B1230" t="s">
        <v>3043</v>
      </c>
      <c r="C1230">
        <v>563</v>
      </c>
      <c r="D1230">
        <f>SUMIFS(Horas!R:R,Horas!E:E,A1231)</f>
        <v>0</v>
      </c>
    </row>
    <row r="1231" spans="1:4">
      <c r="A1231" t="s">
        <v>3044</v>
      </c>
      <c r="B1231" t="s">
        <v>3045</v>
      </c>
      <c r="C1231">
        <v>564</v>
      </c>
      <c r="D1231">
        <f>SUMIFS(Horas!R:R,Horas!E:E,A1232)</f>
        <v>0</v>
      </c>
    </row>
    <row r="1232" spans="1:4">
      <c r="A1232" t="s">
        <v>3080</v>
      </c>
      <c r="B1232" t="s">
        <v>3081</v>
      </c>
      <c r="C1232">
        <v>585</v>
      </c>
      <c r="D1232">
        <f>SUMIFS(Horas!R:R,Horas!E:E,A1233)</f>
        <v>0</v>
      </c>
    </row>
    <row r="1233" spans="1:4">
      <c r="A1233" t="s">
        <v>3046</v>
      </c>
      <c r="B1233" t="s">
        <v>3047</v>
      </c>
      <c r="C1233">
        <v>565</v>
      </c>
      <c r="D1233">
        <f>SUMIFS(Horas!R:R,Horas!E:E,A1234)</f>
        <v>0</v>
      </c>
    </row>
    <row r="1234" spans="1:4">
      <c r="A1234" t="s">
        <v>3048</v>
      </c>
      <c r="B1234" t="s">
        <v>3049</v>
      </c>
      <c r="C1234">
        <v>566</v>
      </c>
      <c r="D1234">
        <f>SUMIFS(Horas!R:R,Horas!E:E,A1235)</f>
        <v>0</v>
      </c>
    </row>
    <row r="1235" spans="1:4">
      <c r="A1235" t="s">
        <v>3050</v>
      </c>
      <c r="B1235" t="s">
        <v>3051</v>
      </c>
      <c r="C1235">
        <v>567</v>
      </c>
      <c r="D1235">
        <f>SUMIFS(Horas!R:R,Horas!E:E,A1236)</f>
        <v>0</v>
      </c>
    </row>
    <row r="1236" spans="1:4">
      <c r="A1236" t="s">
        <v>3052</v>
      </c>
      <c r="B1236" t="s">
        <v>3053</v>
      </c>
      <c r="C1236">
        <v>568</v>
      </c>
      <c r="D1236">
        <f>SUMIFS(Horas!R:R,Horas!E:E,A1237)</f>
        <v>0</v>
      </c>
    </row>
    <row r="1237" spans="1:4">
      <c r="A1237" t="s">
        <v>3056</v>
      </c>
      <c r="B1237" t="s">
        <v>3057</v>
      </c>
      <c r="C1237">
        <v>570</v>
      </c>
      <c r="D1237">
        <f>SUMIFS(Horas!R:R,Horas!E:E,A1238)</f>
        <v>0</v>
      </c>
    </row>
    <row r="1238" spans="1:4">
      <c r="A1238" t="s">
        <v>3066</v>
      </c>
      <c r="B1238" t="s">
        <v>3067</v>
      </c>
      <c r="C1238">
        <v>578</v>
      </c>
      <c r="D1238">
        <f>SUMIFS(Horas!R:R,Horas!E:E,A1239)</f>
        <v>0</v>
      </c>
    </row>
    <row r="1239" spans="1:4">
      <c r="A1239" t="s">
        <v>3072</v>
      </c>
      <c r="B1239" t="s">
        <v>3073</v>
      </c>
      <c r="C1239">
        <v>581</v>
      </c>
      <c r="D1239">
        <f>SUMIFS(Horas!R:R,Horas!E:E,A1240)</f>
        <v>0</v>
      </c>
    </row>
    <row r="1240" spans="1:4">
      <c r="A1240" t="s">
        <v>3074</v>
      </c>
      <c r="B1240" t="s">
        <v>3075</v>
      </c>
      <c r="C1240">
        <v>582</v>
      </c>
      <c r="D1240">
        <f>SUMIFS(Horas!R:R,Horas!E:E,A1241)</f>
        <v>0</v>
      </c>
    </row>
    <row r="1241" spans="1:4">
      <c r="A1241" t="s">
        <v>3076</v>
      </c>
      <c r="B1241" t="s">
        <v>3077</v>
      </c>
      <c r="C1241">
        <v>583</v>
      </c>
      <c r="D1241">
        <f>SUMIFS(Horas!R:R,Horas!E:E,A1242)</f>
        <v>0</v>
      </c>
    </row>
    <row r="1242" spans="1:4">
      <c r="A1242" t="s">
        <v>3082</v>
      </c>
      <c r="B1242" t="s">
        <v>3083</v>
      </c>
      <c r="C1242">
        <v>586</v>
      </c>
      <c r="D1242">
        <f>SUMIFS(Horas!R:R,Horas!E:E,A1243)</f>
        <v>0</v>
      </c>
    </row>
    <row r="1243" spans="1:4">
      <c r="A1243" t="s">
        <v>3094</v>
      </c>
      <c r="B1243" t="s">
        <v>3095</v>
      </c>
      <c r="C1243">
        <v>592</v>
      </c>
      <c r="D1243">
        <f>SUMIFS(Horas!R:R,Horas!E:E,A1244)</f>
        <v>0</v>
      </c>
    </row>
    <row r="1244" spans="1:4">
      <c r="A1244" t="s">
        <v>3070</v>
      </c>
      <c r="B1244" t="s">
        <v>3071</v>
      </c>
      <c r="C1244">
        <v>580</v>
      </c>
      <c r="D1244">
        <f>SUMIFS(Horas!R:R,Horas!E:E,A1245)</f>
        <v>0</v>
      </c>
    </row>
    <row r="1245" spans="1:4">
      <c r="A1245" t="s">
        <v>3084</v>
      </c>
      <c r="B1245" t="s">
        <v>3085</v>
      </c>
      <c r="C1245">
        <v>587</v>
      </c>
      <c r="D1245">
        <f>SUMIFS(Horas!R:R,Horas!E:E,A1246)</f>
        <v>0</v>
      </c>
    </row>
    <row r="1246" spans="1:4">
      <c r="A1246" t="s">
        <v>3088</v>
      </c>
      <c r="B1246" t="s">
        <v>3089</v>
      </c>
      <c r="C1246">
        <v>589</v>
      </c>
      <c r="D1246">
        <f>SUMIFS(Horas!R:R,Horas!E:E,A1247)</f>
        <v>0</v>
      </c>
    </row>
    <row r="1247" spans="1:4">
      <c r="A1247" t="s">
        <v>3096</v>
      </c>
      <c r="B1247" t="s">
        <v>3097</v>
      </c>
      <c r="C1247">
        <v>593</v>
      </c>
      <c r="D1247">
        <f>SUMIFS(Horas!R:R,Horas!E:E,A1248)</f>
        <v>0</v>
      </c>
    </row>
    <row r="1248" spans="1:4">
      <c r="A1248" t="s">
        <v>3098</v>
      </c>
      <c r="B1248" t="s">
        <v>3099</v>
      </c>
      <c r="C1248">
        <v>594</v>
      </c>
      <c r="D1248">
        <f>SUMIFS(Horas!R:R,Horas!E:E,A1249)</f>
        <v>0</v>
      </c>
    </row>
    <row r="1249" spans="1:4">
      <c r="A1249" t="s">
        <v>3100</v>
      </c>
      <c r="B1249" t="s">
        <v>3101</v>
      </c>
      <c r="C1249">
        <v>595</v>
      </c>
      <c r="D1249">
        <f>SUMIFS(Horas!R:R,Horas!E:E,A1250)</f>
        <v>0</v>
      </c>
    </row>
    <row r="1250" spans="1:4">
      <c r="A1250" t="s">
        <v>3102</v>
      </c>
      <c r="B1250" t="s">
        <v>3103</v>
      </c>
      <c r="C1250">
        <v>596</v>
      </c>
      <c r="D1250">
        <f>SUMIFS(Horas!R:R,Horas!E:E,A1251)</f>
        <v>0</v>
      </c>
    </row>
    <row r="1251" spans="1:4">
      <c r="A1251" t="s">
        <v>3104</v>
      </c>
      <c r="B1251" t="s">
        <v>3105</v>
      </c>
      <c r="C1251">
        <v>597</v>
      </c>
      <c r="D1251">
        <f>SUMIFS(Horas!R:R,Horas!E:E,A1252)</f>
        <v>0</v>
      </c>
    </row>
    <row r="1252" spans="1:4">
      <c r="A1252" t="s">
        <v>3120</v>
      </c>
      <c r="B1252" t="s">
        <v>3121</v>
      </c>
      <c r="C1252">
        <v>612</v>
      </c>
      <c r="D1252">
        <f>SUMIFS(Horas!R:R,Horas!E:E,A1253)</f>
        <v>0</v>
      </c>
    </row>
    <row r="1253" spans="1:4">
      <c r="A1253" t="s">
        <v>3106</v>
      </c>
      <c r="B1253" t="s">
        <v>3107</v>
      </c>
      <c r="C1253">
        <v>599</v>
      </c>
      <c r="D1253">
        <f>SUMIFS(Horas!R:R,Horas!E:E,A1254)</f>
        <v>0</v>
      </c>
    </row>
    <row r="1254" spans="1:4">
      <c r="A1254" t="s">
        <v>3108</v>
      </c>
      <c r="B1254" t="s">
        <v>3109</v>
      </c>
      <c r="C1254">
        <v>602</v>
      </c>
      <c r="D1254">
        <f>SUMIFS(Horas!R:R,Horas!E:E,A1255)</f>
        <v>0</v>
      </c>
    </row>
    <row r="1255" spans="1:4">
      <c r="A1255" t="s">
        <v>3110</v>
      </c>
      <c r="B1255" t="s">
        <v>3111</v>
      </c>
      <c r="C1255">
        <v>603</v>
      </c>
      <c r="D1255">
        <f>SUMIFS(Horas!R:R,Horas!E:E,A1256)</f>
        <v>0</v>
      </c>
    </row>
    <row r="1256" spans="1:4">
      <c r="A1256" t="s">
        <v>3222</v>
      </c>
      <c r="B1256" t="s">
        <v>3223</v>
      </c>
      <c r="C1256">
        <v>667</v>
      </c>
      <c r="D1256">
        <f>SUMIFS(Horas!R:R,Horas!E:E,A1257)</f>
        <v>0</v>
      </c>
    </row>
    <row r="1257" spans="1:4">
      <c r="A1257" t="s">
        <v>3132</v>
      </c>
      <c r="B1257" t="s">
        <v>3133</v>
      </c>
      <c r="C1257">
        <v>619</v>
      </c>
      <c r="D1257">
        <f>SUMIFS(Horas!R:R,Horas!E:E,A1258)</f>
        <v>0</v>
      </c>
    </row>
    <row r="1258" spans="1:4">
      <c r="A1258" t="s">
        <v>3112</v>
      </c>
      <c r="B1258" t="s">
        <v>3113</v>
      </c>
      <c r="C1258">
        <v>607</v>
      </c>
      <c r="D1258">
        <f>SUMIFS(Horas!R:R,Horas!E:E,A1259)</f>
        <v>0</v>
      </c>
    </row>
    <row r="1259" spans="1:4">
      <c r="A1259" t="s">
        <v>3126</v>
      </c>
      <c r="B1259" t="s">
        <v>3127</v>
      </c>
      <c r="C1259">
        <v>615</v>
      </c>
      <c r="D1259">
        <f>SUMIFS(Horas!R:R,Horas!E:E,A1260)</f>
        <v>0</v>
      </c>
    </row>
    <row r="1260" spans="1:4">
      <c r="A1260" t="s">
        <v>3130</v>
      </c>
      <c r="B1260" t="s">
        <v>3131</v>
      </c>
      <c r="C1260">
        <v>618</v>
      </c>
      <c r="D1260">
        <f>SUMIFS(Horas!R:R,Horas!E:E,A1261)</f>
        <v>0</v>
      </c>
    </row>
    <row r="1261" spans="1:4">
      <c r="A1261" t="s">
        <v>3138</v>
      </c>
      <c r="B1261" t="s">
        <v>3139</v>
      </c>
      <c r="C1261">
        <v>622</v>
      </c>
      <c r="D1261">
        <f>SUMIFS(Horas!R:R,Horas!E:E,A1262)</f>
        <v>0</v>
      </c>
    </row>
    <row r="1262" spans="1:4">
      <c r="A1262" t="s">
        <v>3142</v>
      </c>
      <c r="B1262" t="s">
        <v>3143</v>
      </c>
      <c r="C1262">
        <v>624</v>
      </c>
      <c r="D1262">
        <f>SUMIFS(Horas!R:R,Horas!E:E,A1263)</f>
        <v>0</v>
      </c>
    </row>
    <row r="1263" spans="1:4">
      <c r="A1263" t="s">
        <v>3170</v>
      </c>
      <c r="B1263" t="s">
        <v>3171</v>
      </c>
      <c r="C1263">
        <v>639</v>
      </c>
      <c r="D1263">
        <f>SUMIFS(Horas!R:R,Horas!E:E,A1264)</f>
        <v>0</v>
      </c>
    </row>
    <row r="1264" spans="1:4">
      <c r="A1264" t="s">
        <v>3144</v>
      </c>
      <c r="B1264" t="s">
        <v>3145</v>
      </c>
      <c r="C1264">
        <v>626</v>
      </c>
      <c r="D1264">
        <f>SUMIFS(Horas!R:R,Horas!E:E,A1265)</f>
        <v>0</v>
      </c>
    </row>
    <row r="1265" spans="1:4">
      <c r="A1265" t="s">
        <v>3140</v>
      </c>
      <c r="B1265" t="s">
        <v>3141</v>
      </c>
      <c r="C1265">
        <v>623</v>
      </c>
      <c r="D1265">
        <f>SUMIFS(Horas!R:R,Horas!E:E,A1266)</f>
        <v>0</v>
      </c>
    </row>
    <row r="1266" spans="1:4">
      <c r="A1266" t="s">
        <v>3146</v>
      </c>
      <c r="B1266" t="s">
        <v>3147</v>
      </c>
      <c r="C1266">
        <v>627</v>
      </c>
      <c r="D1266">
        <f>SUMIFS(Horas!R:R,Horas!E:E,A1267)</f>
        <v>0</v>
      </c>
    </row>
    <row r="1267" spans="1:4">
      <c r="A1267" t="s">
        <v>3166</v>
      </c>
      <c r="B1267" t="s">
        <v>3167</v>
      </c>
      <c r="C1267">
        <v>637</v>
      </c>
      <c r="D1267">
        <f>SUMIFS(Horas!R:R,Horas!E:E,A1268)</f>
        <v>0</v>
      </c>
    </row>
    <row r="1268" spans="1:4">
      <c r="A1268" t="s">
        <v>3152</v>
      </c>
      <c r="B1268" t="s">
        <v>3153</v>
      </c>
      <c r="C1268">
        <v>630</v>
      </c>
      <c r="D1268">
        <f>SUMIFS(Horas!R:R,Horas!E:E,A1269)</f>
        <v>0</v>
      </c>
    </row>
    <row r="1269" spans="1:4">
      <c r="A1269" t="s">
        <v>3249</v>
      </c>
      <c r="B1269" t="s">
        <v>3250</v>
      </c>
      <c r="C1269">
        <v>684</v>
      </c>
      <c r="D1269">
        <f>SUMIFS(Horas!R:R,Horas!E:E,A1270)</f>
        <v>0</v>
      </c>
    </row>
    <row r="1270" spans="1:4">
      <c r="A1270" t="s">
        <v>3160</v>
      </c>
      <c r="B1270" t="s">
        <v>3161</v>
      </c>
      <c r="C1270">
        <v>634</v>
      </c>
      <c r="D1270">
        <f>SUMIFS(Horas!R:R,Horas!E:E,A1271)</f>
        <v>0</v>
      </c>
    </row>
    <row r="1271" spans="1:4">
      <c r="A1271" t="s">
        <v>3164</v>
      </c>
      <c r="B1271" t="s">
        <v>3165</v>
      </c>
      <c r="C1271">
        <v>636</v>
      </c>
      <c r="D1271">
        <f>SUMIFS(Horas!R:R,Horas!E:E,A1272)</f>
        <v>0</v>
      </c>
    </row>
    <row r="1272" spans="1:4">
      <c r="A1272" t="s">
        <v>3150</v>
      </c>
      <c r="B1272" t="s">
        <v>3151</v>
      </c>
      <c r="C1272">
        <v>629</v>
      </c>
      <c r="D1272">
        <f>SUMIFS(Horas!R:R,Horas!E:E,A1273)</f>
        <v>0</v>
      </c>
    </row>
    <row r="1273" spans="1:4">
      <c r="A1273" t="s">
        <v>3158</v>
      </c>
      <c r="B1273" t="s">
        <v>3159</v>
      </c>
      <c r="C1273">
        <v>633</v>
      </c>
      <c r="D1273">
        <f>SUMIFS(Horas!R:R,Horas!E:E,A1274)</f>
        <v>0</v>
      </c>
    </row>
    <row r="1274" spans="1:4">
      <c r="A1274" t="s">
        <v>3156</v>
      </c>
      <c r="B1274" t="s">
        <v>3157</v>
      </c>
      <c r="C1274">
        <v>632</v>
      </c>
      <c r="D1274">
        <f>SUMIFS(Horas!R:R,Horas!E:E,A1275)</f>
        <v>0</v>
      </c>
    </row>
    <row r="1275" spans="1:4">
      <c r="A1275" t="s">
        <v>3174</v>
      </c>
      <c r="B1275" t="s">
        <v>3175</v>
      </c>
      <c r="C1275">
        <v>641</v>
      </c>
      <c r="D1275">
        <f>SUMIFS(Horas!R:R,Horas!E:E,A1276)</f>
        <v>0</v>
      </c>
    </row>
    <row r="1276" spans="1:4">
      <c r="A1276" t="s">
        <v>3192</v>
      </c>
      <c r="B1276" t="s">
        <v>3193</v>
      </c>
      <c r="C1276">
        <v>650</v>
      </c>
      <c r="D1276">
        <f>SUMIFS(Horas!R:R,Horas!E:E,A1277)</f>
        <v>0</v>
      </c>
    </row>
    <row r="1277" spans="1:4">
      <c r="A1277" t="s">
        <v>3162</v>
      </c>
      <c r="B1277" t="s">
        <v>3163</v>
      </c>
      <c r="C1277">
        <v>635</v>
      </c>
      <c r="D1277">
        <f>SUMIFS(Horas!R:R,Horas!E:E,A1278)</f>
        <v>0</v>
      </c>
    </row>
    <row r="1278" spans="1:4">
      <c r="A1278" t="s">
        <v>3180</v>
      </c>
      <c r="B1278" t="s">
        <v>3181</v>
      </c>
      <c r="C1278">
        <v>644</v>
      </c>
      <c r="D1278">
        <f>SUMIFS(Horas!R:R,Horas!E:E,A1279)</f>
        <v>0</v>
      </c>
    </row>
    <row r="1279" spans="1:4">
      <c r="A1279" t="s">
        <v>3168</v>
      </c>
      <c r="B1279" t="s">
        <v>3169</v>
      </c>
      <c r="C1279">
        <v>638</v>
      </c>
      <c r="D1279">
        <f>SUMIFS(Horas!R:R,Horas!E:E,A1280)</f>
        <v>0</v>
      </c>
    </row>
    <row r="1280" spans="1:4">
      <c r="A1280" t="s">
        <v>3190</v>
      </c>
      <c r="B1280" t="s">
        <v>3191</v>
      </c>
      <c r="C1280">
        <v>649</v>
      </c>
      <c r="D1280">
        <f>SUMIFS(Horas!R:R,Horas!E:E,A1281)</f>
        <v>0</v>
      </c>
    </row>
    <row r="1281" spans="1:4">
      <c r="A1281" t="s">
        <v>3188</v>
      </c>
      <c r="B1281" t="s">
        <v>3189</v>
      </c>
      <c r="C1281">
        <v>648</v>
      </c>
      <c r="D1281">
        <f>SUMIFS(Horas!R:R,Horas!E:E,A1282)</f>
        <v>0</v>
      </c>
    </row>
    <row r="1282" spans="1:4">
      <c r="A1282" t="s">
        <v>2239</v>
      </c>
      <c r="B1282" t="s">
        <v>2240</v>
      </c>
      <c r="C1282">
        <v>148</v>
      </c>
      <c r="D1282">
        <f>SUMIFS(Horas!R:R,Horas!E:E,A1283)</f>
        <v>0</v>
      </c>
    </row>
    <row r="1283" spans="1:4">
      <c r="A1283" t="s">
        <v>3289</v>
      </c>
      <c r="B1283" t="s">
        <v>3290</v>
      </c>
      <c r="C1283">
        <v>707</v>
      </c>
      <c r="D1283">
        <f>SUMIFS(Horas!R:R,Horas!E:E,A1284)</f>
        <v>0</v>
      </c>
    </row>
    <row r="1284" spans="1:4">
      <c r="A1284" t="s">
        <v>3194</v>
      </c>
      <c r="B1284" t="s">
        <v>3195</v>
      </c>
      <c r="C1284">
        <v>651</v>
      </c>
      <c r="D1284">
        <f>SUMIFS(Horas!R:R,Horas!E:E,A1285)</f>
        <v>0</v>
      </c>
    </row>
    <row r="1285" spans="1:4">
      <c r="A1285" t="s">
        <v>3128</v>
      </c>
      <c r="B1285" t="s">
        <v>3129</v>
      </c>
      <c r="C1285">
        <v>617</v>
      </c>
      <c r="D1285">
        <f>SUMIFS(Horas!R:R,Horas!E:E,A1286)</f>
        <v>0</v>
      </c>
    </row>
    <row r="1286" spans="1:4">
      <c r="A1286" t="s">
        <v>3251</v>
      </c>
      <c r="B1286" t="s">
        <v>3252</v>
      </c>
      <c r="C1286">
        <v>686</v>
      </c>
      <c r="D1286">
        <f>SUMIFS(Horas!R:R,Horas!E:E,A1287)</f>
        <v>0</v>
      </c>
    </row>
    <row r="1287" spans="1:4">
      <c r="A1287" t="s">
        <v>3285</v>
      </c>
      <c r="B1287" t="s">
        <v>3286</v>
      </c>
      <c r="C1287">
        <v>705</v>
      </c>
      <c r="D1287">
        <f>SUMIFS(Horas!R:R,Horas!E:E,A1288)</f>
        <v>0</v>
      </c>
    </row>
    <row r="1288" spans="1:4">
      <c r="A1288" t="s">
        <v>3264</v>
      </c>
      <c r="B1288" t="s">
        <v>3265</v>
      </c>
      <c r="C1288">
        <v>693</v>
      </c>
      <c r="D1288">
        <f>SUMIFS(Horas!R:R,Horas!E:E,A1289)</f>
        <v>0</v>
      </c>
    </row>
    <row r="1289" spans="1:4">
      <c r="A1289" t="s">
        <v>3184</v>
      </c>
      <c r="B1289" t="s">
        <v>3185</v>
      </c>
      <c r="C1289">
        <v>646</v>
      </c>
      <c r="D1289">
        <f>SUMIFS(Horas!R:R,Horas!E:E,A1290)</f>
        <v>0</v>
      </c>
    </row>
    <row r="1290" spans="1:4">
      <c r="A1290" t="s">
        <v>3114</v>
      </c>
      <c r="B1290" t="s">
        <v>3115</v>
      </c>
      <c r="C1290">
        <v>608</v>
      </c>
      <c r="D1290">
        <f>SUMIFS(Horas!R:R,Horas!E:E,A1291)</f>
        <v>0</v>
      </c>
    </row>
    <row r="1291" spans="1:4">
      <c r="A1291" t="s">
        <v>3439</v>
      </c>
      <c r="B1291" t="s">
        <v>3440</v>
      </c>
      <c r="C1291">
        <v>790</v>
      </c>
      <c r="D1291">
        <f>SUMIFS(Horas!R:R,Horas!E:E,A1292)</f>
        <v>0</v>
      </c>
    </row>
    <row r="1292" spans="1:4">
      <c r="A1292" t="s">
        <v>2123</v>
      </c>
      <c r="B1292" t="s">
        <v>2124</v>
      </c>
      <c r="C1292">
        <v>55</v>
      </c>
      <c r="D1292">
        <f>SUMIFS(Horas!R:R,Horas!E:E,A1293)</f>
        <v>0</v>
      </c>
    </row>
    <row r="1293" spans="1:4">
      <c r="A1293" t="s">
        <v>2172</v>
      </c>
      <c r="B1293" t="s">
        <v>2173</v>
      </c>
      <c r="C1293">
        <v>117</v>
      </c>
      <c r="D1293">
        <f>SUMIFS(Horas!R:R,Horas!E:E,A1294)</f>
        <v>0</v>
      </c>
    </row>
    <row r="1294" spans="1:4">
      <c r="A1294" t="s">
        <v>79</v>
      </c>
      <c r="B1294" t="s">
        <v>2160</v>
      </c>
      <c r="C1294">
        <v>105</v>
      </c>
      <c r="D1294">
        <f>SUMIFS(Horas!R:R,Horas!E:E,A1295)</f>
        <v>0</v>
      </c>
    </row>
    <row r="1295" spans="1:4">
      <c r="A1295" t="s">
        <v>2164</v>
      </c>
      <c r="B1295" t="s">
        <v>2165</v>
      </c>
      <c r="C1295">
        <v>110</v>
      </c>
      <c r="D1295">
        <f>SUMIFS(Horas!R:R,Horas!E:E,A1296)</f>
        <v>0</v>
      </c>
    </row>
    <row r="1296" spans="1:4">
      <c r="A1296" t="s">
        <v>2109</v>
      </c>
      <c r="B1296" t="s">
        <v>2110</v>
      </c>
      <c r="C1296">
        <v>36</v>
      </c>
      <c r="D1296">
        <f>SUMIFS(Horas!R:R,Horas!E:E,A1297)</f>
        <v>0</v>
      </c>
    </row>
    <row r="1297" spans="1:4">
      <c r="A1297" t="s">
        <v>2129</v>
      </c>
      <c r="B1297" t="s">
        <v>2130</v>
      </c>
      <c r="C1297">
        <v>68</v>
      </c>
      <c r="D1297">
        <f>SUMIFS(Horas!R:R,Horas!E:E,A1298)</f>
        <v>0</v>
      </c>
    </row>
    <row r="1298" spans="1:4">
      <c r="A1298" t="s">
        <v>2116</v>
      </c>
      <c r="B1298" t="s">
        <v>2117</v>
      </c>
      <c r="C1298">
        <v>47</v>
      </c>
      <c r="D1298">
        <f>SUMIFS(Horas!R:R,Horas!E:E,A1299)</f>
        <v>0</v>
      </c>
    </row>
    <row r="1299" spans="1:4">
      <c r="A1299" t="s">
        <v>2100</v>
      </c>
      <c r="B1299" t="s">
        <v>2101</v>
      </c>
      <c r="C1299">
        <v>16</v>
      </c>
      <c r="D1299">
        <f>SUMIFS(Horas!R:R,Horas!E:E,A1300)</f>
        <v>0</v>
      </c>
    </row>
    <row r="1300" spans="1:4">
      <c r="A1300" t="s">
        <v>2372</v>
      </c>
      <c r="B1300" t="s">
        <v>2373</v>
      </c>
      <c r="C1300">
        <v>6</v>
      </c>
      <c r="D1300">
        <f>SUMIFS(Horas!R:R,Horas!E:E,A1301)</f>
        <v>0</v>
      </c>
    </row>
    <row r="1301" spans="1:4">
      <c r="A1301" t="s">
        <v>2228</v>
      </c>
      <c r="B1301" t="s">
        <v>2229</v>
      </c>
      <c r="C1301">
        <v>54</v>
      </c>
      <c r="D1301">
        <f>SUMIFS(Horas!R:R,Horas!E:E,A1302)</f>
        <v>0</v>
      </c>
    </row>
    <row r="1302" spans="1:4">
      <c r="A1302" t="s">
        <v>3534</v>
      </c>
      <c r="B1302" t="s">
        <v>3535</v>
      </c>
      <c r="C1302">
        <v>841</v>
      </c>
      <c r="D1302">
        <f>SUMIFS(Horas!R:R,Horas!E:E,A1303)</f>
        <v>0</v>
      </c>
    </row>
    <row r="1303" spans="1:4">
      <c r="A1303" t="s">
        <v>3350</v>
      </c>
      <c r="B1303" t="s">
        <v>3351</v>
      </c>
      <c r="C1303">
        <v>739</v>
      </c>
      <c r="D1303">
        <f>SUMIFS(Horas!R:R,Horas!E:E,A1304)</f>
        <v>0</v>
      </c>
    </row>
    <row r="1304" spans="1:4">
      <c r="A1304" t="s">
        <v>2137</v>
      </c>
      <c r="B1304" t="s">
        <v>558</v>
      </c>
      <c r="C1304">
        <v>75</v>
      </c>
      <c r="D1304">
        <f>SUMIFS(Horas!R:R,Horas!E:E,A1305)</f>
        <v>0</v>
      </c>
    </row>
    <row r="1305" spans="1:4">
      <c r="A1305" t="s">
        <v>2111</v>
      </c>
      <c r="B1305" t="s">
        <v>2112</v>
      </c>
      <c r="C1305">
        <v>40</v>
      </c>
      <c r="D1305">
        <f>SUMIFS(Horas!R:R,Horas!E:E,A1306)</f>
        <v>0</v>
      </c>
    </row>
    <row r="1306" spans="1:4">
      <c r="A1306" t="s">
        <v>2168</v>
      </c>
      <c r="B1306" t="s">
        <v>2169</v>
      </c>
      <c r="C1306">
        <v>42</v>
      </c>
      <c r="D1306">
        <f>SUMIFS(Horas!R:R,Horas!E:E,A1307)</f>
        <v>0</v>
      </c>
    </row>
    <row r="1307" spans="1:4">
      <c r="A1307" t="s">
        <v>2194</v>
      </c>
      <c r="B1307" t="s">
        <v>2195</v>
      </c>
      <c r="C1307">
        <v>23</v>
      </c>
      <c r="D1307">
        <f>SUMIFS(Horas!R:R,Horas!E:E,A1308)</f>
        <v>0</v>
      </c>
    </row>
    <row r="1308" spans="1:4">
      <c r="A1308" t="s">
        <v>2158</v>
      </c>
      <c r="B1308" t="s">
        <v>2159</v>
      </c>
      <c r="C1308">
        <v>103</v>
      </c>
      <c r="D1308">
        <f>SUMIFS(Horas!R:R,Horas!E:E,A1309)</f>
        <v>0</v>
      </c>
    </row>
    <row r="1309" spans="1:4">
      <c r="A1309" t="s">
        <v>2181</v>
      </c>
      <c r="B1309" t="s">
        <v>396</v>
      </c>
      <c r="C1309">
        <v>125</v>
      </c>
      <c r="D1309">
        <f>SUMIFS(Horas!R:R,Horas!E:E,A1310)</f>
        <v>0</v>
      </c>
    </row>
    <row r="1310" spans="1:4">
      <c r="A1310" t="s">
        <v>2176</v>
      </c>
      <c r="B1310" t="s">
        <v>394</v>
      </c>
      <c r="C1310">
        <v>122</v>
      </c>
      <c r="D1310">
        <f>SUMIFS(Horas!R:R,Horas!E:E,A1311)</f>
        <v>0</v>
      </c>
    </row>
    <row r="1311" spans="1:4">
      <c r="A1311" t="s">
        <v>2155</v>
      </c>
      <c r="B1311" t="s">
        <v>229</v>
      </c>
      <c r="C1311">
        <v>87</v>
      </c>
      <c r="D1311">
        <f>SUMIFS(Horas!R:R,Horas!E:E,A1312)</f>
        <v>0</v>
      </c>
    </row>
    <row r="1312" spans="1:4">
      <c r="A1312" t="s">
        <v>2247</v>
      </c>
      <c r="B1312" t="s">
        <v>2248</v>
      </c>
      <c r="C1312">
        <v>66</v>
      </c>
      <c r="D1312">
        <f>SUMIFS(Horas!R:R,Horas!E:E,A1313)</f>
        <v>0</v>
      </c>
    </row>
    <row r="1313" spans="1:4">
      <c r="A1313" t="s">
        <v>2156</v>
      </c>
      <c r="B1313" t="s">
        <v>2157</v>
      </c>
      <c r="C1313">
        <v>58</v>
      </c>
      <c r="D1313">
        <f>SUMIFS(Horas!R:R,Horas!E:E,A1314)</f>
        <v>0</v>
      </c>
    </row>
    <row r="1314" spans="1:4">
      <c r="A1314" t="s">
        <v>2131</v>
      </c>
      <c r="B1314" t="s">
        <v>2132</v>
      </c>
      <c r="C1314">
        <v>69</v>
      </c>
      <c r="D1314">
        <f>SUMIFS(Horas!R:R,Horas!E:E,A1315)</f>
        <v>0</v>
      </c>
    </row>
    <row r="1315" spans="1:4">
      <c r="A1315" t="s">
        <v>2226</v>
      </c>
      <c r="B1315" t="s">
        <v>2227</v>
      </c>
      <c r="C1315">
        <v>129</v>
      </c>
      <c r="D1315">
        <f>SUMIFS(Horas!R:R,Horas!E:E,A1316)</f>
        <v>0</v>
      </c>
    </row>
    <row r="1316" spans="1:4">
      <c r="A1316" t="s">
        <v>2615</v>
      </c>
      <c r="B1316" t="s">
        <v>2616</v>
      </c>
      <c r="C1316">
        <v>326</v>
      </c>
      <c r="D1316">
        <f>SUMIFS(Horas!R:R,Horas!E:E,A1317)</f>
        <v>0</v>
      </c>
    </row>
    <row r="1317" spans="1:4">
      <c r="A1317" t="s">
        <v>3086</v>
      </c>
      <c r="B1317" t="s">
        <v>3087</v>
      </c>
      <c r="C1317">
        <v>588</v>
      </c>
      <c r="D1317">
        <f>SUMIFS(Horas!R:R,Horas!E:E,A1318)</f>
        <v>0</v>
      </c>
    </row>
    <row r="1318" spans="1:4">
      <c r="A1318" t="s">
        <v>5375</v>
      </c>
      <c r="B1318" t="s">
        <v>5376</v>
      </c>
      <c r="C1318">
        <v>1199</v>
      </c>
      <c r="D1318">
        <f>SUMIFS(Horas!R:R,Horas!E:E,A1319)</f>
        <v>0</v>
      </c>
    </row>
    <row r="1319" spans="1:4">
      <c r="A1319" t="s">
        <v>3447</v>
      </c>
      <c r="B1319" t="s">
        <v>3448</v>
      </c>
      <c r="C1319">
        <v>794</v>
      </c>
      <c r="D1319">
        <f>SUMIFS(Horas!R:R,Horas!E:E,A1320)</f>
        <v>0</v>
      </c>
    </row>
    <row r="1320" spans="1:4">
      <c r="A1320" t="s">
        <v>3817</v>
      </c>
      <c r="B1320" t="s">
        <v>3818</v>
      </c>
      <c r="C1320">
        <v>1003</v>
      </c>
      <c r="D1320">
        <f>SUMIFS(Horas!R:R,Horas!E:E,A1321)</f>
        <v>0</v>
      </c>
    </row>
    <row r="1321" spans="1:4">
      <c r="A1321" t="s">
        <v>4832</v>
      </c>
      <c r="B1321" t="s">
        <v>4833</v>
      </c>
      <c r="C1321">
        <v>1110</v>
      </c>
      <c r="D1321">
        <f>SUMIFS(Horas!R:R,Horas!E:E,A1322)</f>
        <v>0</v>
      </c>
    </row>
    <row r="1322" spans="1:4">
      <c r="A1322" t="s">
        <v>2230</v>
      </c>
      <c r="B1322" t="s">
        <v>2231</v>
      </c>
      <c r="C1322">
        <v>139</v>
      </c>
      <c r="D1322">
        <f>SUMIFS(Horas!R:R,Horas!E:E,A1323)</f>
        <v>0</v>
      </c>
    </row>
    <row r="1323" spans="1:4">
      <c r="A1323" t="s">
        <v>2327</v>
      </c>
      <c r="B1323" t="s">
        <v>2328</v>
      </c>
      <c r="C1323">
        <v>41</v>
      </c>
      <c r="D1323">
        <f>SUMIFS(Horas!R:R,Horas!E:E,A1324)</f>
        <v>0</v>
      </c>
    </row>
    <row r="1324" spans="1:4">
      <c r="A1324" t="s">
        <v>2149</v>
      </c>
      <c r="B1324" t="s">
        <v>2150</v>
      </c>
      <c r="C1324">
        <v>89</v>
      </c>
      <c r="D1324">
        <f>SUMIFS(Horas!R:R,Horas!E:E,A1325)</f>
        <v>0</v>
      </c>
    </row>
    <row r="1325" spans="1:4">
      <c r="A1325" t="s">
        <v>2245</v>
      </c>
      <c r="B1325" t="s">
        <v>2246</v>
      </c>
      <c r="C1325">
        <v>115</v>
      </c>
      <c r="D1325">
        <f>SUMIFS(Horas!R:R,Horas!E:E,A1326)</f>
        <v>0</v>
      </c>
    </row>
    <row r="1326" spans="1:4">
      <c r="A1326" t="s">
        <v>2118</v>
      </c>
      <c r="B1326" t="s">
        <v>2119</v>
      </c>
      <c r="C1326">
        <v>48</v>
      </c>
      <c r="D1326">
        <f>SUMIFS(Horas!R:R,Horas!E:E,A1327)</f>
        <v>0</v>
      </c>
    </row>
    <row r="1327" spans="1:4">
      <c r="A1327" t="s">
        <v>2140</v>
      </c>
      <c r="B1327" t="s">
        <v>2141</v>
      </c>
      <c r="C1327">
        <v>77</v>
      </c>
      <c r="D1327">
        <f>SUMIFS(Horas!R:R,Horas!E:E,A1328)</f>
        <v>0</v>
      </c>
    </row>
    <row r="1328" spans="1:4">
      <c r="A1328" t="s">
        <v>2249</v>
      </c>
      <c r="B1328" t="s">
        <v>2250</v>
      </c>
      <c r="C1328">
        <v>61</v>
      </c>
      <c r="D1328">
        <f>SUMIFS(Horas!R:R,Horas!E:E,A1329)</f>
        <v>0</v>
      </c>
    </row>
    <row r="1329" spans="1:4">
      <c r="A1329" t="s">
        <v>2329</v>
      </c>
      <c r="B1329" t="s">
        <v>2330</v>
      </c>
      <c r="C1329">
        <v>98</v>
      </c>
      <c r="D1329">
        <f>SUMIFS(Horas!R:R,Horas!E:E,A1330)</f>
        <v>0</v>
      </c>
    </row>
    <row r="1330" spans="1:4">
      <c r="A1330" t="s">
        <v>2177</v>
      </c>
      <c r="B1330" t="s">
        <v>2178</v>
      </c>
      <c r="C1330">
        <v>123</v>
      </c>
      <c r="D1330">
        <f>SUMIFS(Horas!R:R,Horas!E:E,A1331)</f>
        <v>0</v>
      </c>
    </row>
    <row r="1331" spans="1:4">
      <c r="A1331" t="s">
        <v>2104</v>
      </c>
      <c r="B1331" t="s">
        <v>2105</v>
      </c>
      <c r="C1331">
        <v>26</v>
      </c>
      <c r="D1331">
        <f>SUMIFS(Horas!R:R,Horas!E:E,A1332)</f>
        <v>0</v>
      </c>
    </row>
    <row r="1332" spans="1:4">
      <c r="A1332" t="s">
        <v>5369</v>
      </c>
      <c r="B1332" t="s">
        <v>5370</v>
      </c>
      <c r="C1332">
        <v>1197</v>
      </c>
      <c r="D1332">
        <f>SUMIFS(Horas!R:R,Horas!E:E,A1333)</f>
        <v>0</v>
      </c>
    </row>
    <row r="1333" spans="1:4">
      <c r="A1333" t="s">
        <v>3062</v>
      </c>
      <c r="B1333" t="s">
        <v>3063</v>
      </c>
      <c r="C1333">
        <v>576</v>
      </c>
      <c r="D1333">
        <f>SUMIFS(Horas!R:R,Horas!E:E,A1334)</f>
        <v>0</v>
      </c>
    </row>
    <row r="1334" spans="1:4">
      <c r="A1334" t="s">
        <v>5355</v>
      </c>
      <c r="B1334" t="s">
        <v>5356</v>
      </c>
      <c r="C1334">
        <v>1189</v>
      </c>
      <c r="D1334">
        <f>SUMIFS(Horas!R:R,Horas!E:E,A1335)</f>
        <v>0</v>
      </c>
    </row>
    <row r="1335" spans="1:4">
      <c r="A1335" t="s">
        <v>3819</v>
      </c>
      <c r="B1335" t="s">
        <v>3820</v>
      </c>
      <c r="C1335">
        <v>1004</v>
      </c>
      <c r="D1335">
        <f>SUMIFS(Horas!R:R,Horas!E:E,A1336)</f>
        <v>0</v>
      </c>
    </row>
    <row r="1336" spans="1:4">
      <c r="A1336" t="s">
        <v>4824</v>
      </c>
      <c r="B1336" t="s">
        <v>4825</v>
      </c>
      <c r="C1336">
        <v>1106</v>
      </c>
      <c r="D1336">
        <f>SUMIFS(Horas!R:R,Horas!E:E,A1337)</f>
        <v>0</v>
      </c>
    </row>
    <row r="1337" spans="1:4">
      <c r="A1337" t="s">
        <v>2102</v>
      </c>
      <c r="B1337" t="s">
        <v>2103</v>
      </c>
      <c r="C1337">
        <v>24</v>
      </c>
      <c r="D1337">
        <f>SUMIFS(Horas!R:R,Horas!E:E,A1338)</f>
        <v>0</v>
      </c>
    </row>
    <row r="1338" spans="1:4">
      <c r="A1338" t="s">
        <v>5363</v>
      </c>
      <c r="B1338" t="s">
        <v>5364</v>
      </c>
      <c r="C1338">
        <v>1194</v>
      </c>
      <c r="D1338">
        <f>SUMIFS(Horas!R:R,Horas!E:E,A1339)</f>
        <v>0</v>
      </c>
    </row>
    <row r="1339" spans="1:4">
      <c r="A1339" t="s">
        <v>3060</v>
      </c>
      <c r="B1339" t="s">
        <v>3061</v>
      </c>
      <c r="C1339">
        <v>575</v>
      </c>
      <c r="D1339">
        <f>SUMIFS(Horas!R:R,Horas!E:E,A1340)</f>
        <v>0</v>
      </c>
    </row>
    <row r="1340" spans="1:4">
      <c r="A1340" t="s">
        <v>5357</v>
      </c>
      <c r="B1340" t="s">
        <v>5358</v>
      </c>
      <c r="C1340">
        <v>1190</v>
      </c>
      <c r="D1340">
        <f>SUMIFS(Horas!R:R,Horas!E:E,A1341)</f>
        <v>0</v>
      </c>
    </row>
    <row r="1341" spans="1:4">
      <c r="A1341" t="s">
        <v>3825</v>
      </c>
      <c r="B1341" t="s">
        <v>3826</v>
      </c>
      <c r="C1341">
        <v>1007</v>
      </c>
      <c r="D1341">
        <f>SUMIFS(Horas!R:R,Horas!E:E,A1342)</f>
        <v>0</v>
      </c>
    </row>
    <row r="1342" spans="1:4">
      <c r="A1342" t="s">
        <v>4828</v>
      </c>
      <c r="B1342" t="s">
        <v>4829</v>
      </c>
      <c r="C1342">
        <v>1108</v>
      </c>
      <c r="D1342">
        <f>SUMIFS(Horas!R:R,Horas!E:E,A1343)</f>
        <v>0</v>
      </c>
    </row>
    <row r="1343" spans="1:4">
      <c r="A1343" t="s">
        <v>2236</v>
      </c>
      <c r="B1343" t="s">
        <v>2237</v>
      </c>
      <c r="C1343">
        <v>101</v>
      </c>
      <c r="D1343">
        <f>SUMIFS(Horas!R:R,Horas!E:E,A1344)</f>
        <v>0</v>
      </c>
    </row>
    <row r="1344" spans="1:4">
      <c r="A1344" t="s">
        <v>2631</v>
      </c>
      <c r="B1344" t="s">
        <v>2632</v>
      </c>
      <c r="C1344">
        <v>335</v>
      </c>
      <c r="D1344">
        <f>SUMIFS(Horas!R:R,Horas!E:E,A1345)</f>
        <v>0</v>
      </c>
    </row>
    <row r="1345" spans="1:4">
      <c r="A1345" t="s">
        <v>5297</v>
      </c>
      <c r="B1345" t="s">
        <v>5298</v>
      </c>
      <c r="C1345">
        <v>1193</v>
      </c>
      <c r="D1345">
        <f>SUMIFS(Horas!R:R,Horas!E:E,A1346)</f>
        <v>0</v>
      </c>
    </row>
    <row r="1346" spans="1:4">
      <c r="A1346" t="s">
        <v>3038</v>
      </c>
      <c r="B1346" t="s">
        <v>3039</v>
      </c>
      <c r="C1346">
        <v>561</v>
      </c>
      <c r="D1346">
        <f>SUMIFS(Horas!R:R,Horas!E:E,A1347)</f>
        <v>0</v>
      </c>
    </row>
    <row r="1347" spans="1:4">
      <c r="A1347" t="s">
        <v>5373</v>
      </c>
      <c r="B1347" t="s">
        <v>5374</v>
      </c>
      <c r="C1347">
        <v>1198</v>
      </c>
      <c r="D1347">
        <f>SUMIFS(Horas!R:R,Horas!E:E,A1348)</f>
        <v>0</v>
      </c>
    </row>
    <row r="1348" spans="1:4">
      <c r="A1348" t="s">
        <v>3445</v>
      </c>
      <c r="B1348" t="s">
        <v>3446</v>
      </c>
      <c r="C1348">
        <v>793</v>
      </c>
      <c r="D1348">
        <f>SUMIFS(Horas!R:R,Horas!E:E,A1349)</f>
        <v>0</v>
      </c>
    </row>
    <row r="1349" spans="1:4">
      <c r="A1349" t="s">
        <v>3823</v>
      </c>
      <c r="B1349" t="s">
        <v>3824</v>
      </c>
      <c r="C1349">
        <v>1006</v>
      </c>
      <c r="D1349">
        <f>SUMIFS(Horas!R:R,Horas!E:E,A1350)</f>
        <v>0</v>
      </c>
    </row>
    <row r="1350" spans="1:4">
      <c r="A1350" t="s">
        <v>4745</v>
      </c>
      <c r="B1350" t="s">
        <v>4823</v>
      </c>
      <c r="C1350">
        <v>1105</v>
      </c>
      <c r="D1350">
        <f>SUMIFS(Horas!R:R,Horas!E:E,A1351)</f>
        <v>0</v>
      </c>
    </row>
    <row r="1351" spans="1:4">
      <c r="A1351" t="s">
        <v>2224</v>
      </c>
      <c r="B1351" t="s">
        <v>2225</v>
      </c>
      <c r="C1351">
        <v>81</v>
      </c>
      <c r="D1351">
        <f>SUMIFS(Horas!R:R,Horas!E:E,A1352)</f>
        <v>0</v>
      </c>
    </row>
    <row r="1352" spans="1:4">
      <c r="A1352" t="s">
        <v>2281</v>
      </c>
      <c r="B1352" t="s">
        <v>2282</v>
      </c>
      <c r="C1352">
        <v>79</v>
      </c>
      <c r="D1352">
        <f>SUMIFS(Horas!R:R,Horas!E:E,A1353)</f>
        <v>0</v>
      </c>
    </row>
    <row r="1353" spans="1:4">
      <c r="A1353" t="s">
        <v>2391</v>
      </c>
      <c r="B1353" t="s">
        <v>2392</v>
      </c>
      <c r="C1353">
        <v>83</v>
      </c>
      <c r="D1353">
        <f>SUMIFS(Horas!R:R,Horas!E:E,A1354)</f>
        <v>0</v>
      </c>
    </row>
    <row r="1354" spans="1:4">
      <c r="A1354" t="s">
        <v>2145</v>
      </c>
      <c r="B1354" t="s">
        <v>2146</v>
      </c>
      <c r="C1354">
        <v>84</v>
      </c>
      <c r="D1354">
        <f>SUMIFS(Horas!R:R,Horas!E:E,A1355)</f>
        <v>0</v>
      </c>
    </row>
    <row r="1355" spans="1:4">
      <c r="A1355" t="s">
        <v>5367</v>
      </c>
      <c r="B1355" t="s">
        <v>5368</v>
      </c>
      <c r="C1355">
        <v>1196</v>
      </c>
      <c r="D1355">
        <f>SUMIFS(Horas!R:R,Horas!E:E,A1356)</f>
        <v>0</v>
      </c>
    </row>
    <row r="1356" spans="1:4">
      <c r="A1356" t="s">
        <v>3058</v>
      </c>
      <c r="B1356" t="s">
        <v>3059</v>
      </c>
      <c r="C1356">
        <v>574</v>
      </c>
      <c r="D1356">
        <f>SUMIFS(Horas!R:R,Horas!E:E,A1357)</f>
        <v>0</v>
      </c>
    </row>
    <row r="1357" spans="1:4">
      <c r="A1357" t="s">
        <v>5361</v>
      </c>
      <c r="B1357" t="s">
        <v>5362</v>
      </c>
      <c r="C1357">
        <v>1192</v>
      </c>
      <c r="D1357">
        <f>SUMIFS(Horas!R:R,Horas!E:E,A1358)</f>
        <v>0</v>
      </c>
    </row>
    <row r="1358" spans="1:4">
      <c r="A1358" t="s">
        <v>3821</v>
      </c>
      <c r="B1358" t="s">
        <v>3822</v>
      </c>
      <c r="C1358">
        <v>1005</v>
      </c>
      <c r="D1358">
        <f>SUMIFS(Horas!R:R,Horas!E:E,A1359)</f>
        <v>0</v>
      </c>
    </row>
    <row r="1359" spans="1:4">
      <c r="A1359" t="s">
        <v>4826</v>
      </c>
      <c r="B1359" t="s">
        <v>4827</v>
      </c>
      <c r="C1359">
        <v>1107</v>
      </c>
      <c r="D1359">
        <f>SUMIFS(Horas!R:R,Horas!E:E,A1360)</f>
        <v>0</v>
      </c>
    </row>
    <row r="1360" spans="1:4">
      <c r="A1360" t="s">
        <v>2170</v>
      </c>
      <c r="B1360" t="s">
        <v>2171</v>
      </c>
      <c r="C1360">
        <v>28</v>
      </c>
      <c r="D1360">
        <f>SUMIFS(Horas!R:R,Horas!E:E,A1361)</f>
        <v>0</v>
      </c>
    </row>
    <row r="1361" spans="1:4">
      <c r="A1361" t="s">
        <v>5365</v>
      </c>
      <c r="B1361" t="s">
        <v>5366</v>
      </c>
      <c r="C1361">
        <v>1195</v>
      </c>
      <c r="D1361">
        <f>SUMIFS(Horas!R:R,Horas!E:E,A1362)</f>
        <v>0</v>
      </c>
    </row>
    <row r="1362" spans="1:4">
      <c r="A1362" t="s">
        <v>3064</v>
      </c>
      <c r="B1362" t="s">
        <v>3065</v>
      </c>
      <c r="C1362">
        <v>577</v>
      </c>
      <c r="D1362">
        <f>SUMIFS(Horas!R:R,Horas!E:E,A1363)</f>
        <v>0</v>
      </c>
    </row>
    <row r="1363" spans="1:4">
      <c r="A1363" t="s">
        <v>5359</v>
      </c>
      <c r="B1363" t="s">
        <v>5360</v>
      </c>
      <c r="C1363">
        <v>1191</v>
      </c>
      <c r="D1363">
        <f>SUMIFS(Horas!R:R,Horas!E:E,A1364)</f>
        <v>0</v>
      </c>
    </row>
    <row r="1364" spans="1:4">
      <c r="A1364" t="s">
        <v>3827</v>
      </c>
      <c r="B1364" t="s">
        <v>3828</v>
      </c>
      <c r="C1364">
        <v>1008</v>
      </c>
      <c r="D1364">
        <f>SUMIFS(Horas!R:R,Horas!E:E,A1365)</f>
        <v>0</v>
      </c>
    </row>
    <row r="1365" spans="1:4">
      <c r="A1365" t="s">
        <v>4830</v>
      </c>
      <c r="B1365" t="s">
        <v>4831</v>
      </c>
      <c r="C1365">
        <v>1109</v>
      </c>
      <c r="D1365">
        <f>SUMIFS(Horas!R:R,Horas!E:E,A1366)</f>
        <v>0</v>
      </c>
    </row>
    <row r="1366" spans="1:4">
      <c r="A1366" t="s">
        <v>2143</v>
      </c>
      <c r="B1366" t="s">
        <v>2144</v>
      </c>
      <c r="C1366">
        <v>82</v>
      </c>
      <c r="D1366">
        <f>SUMIFS(Horas!R:R,Horas!E:E,A1367)</f>
        <v>0</v>
      </c>
    </row>
    <row r="1367" spans="1:4">
      <c r="A1367" t="s">
        <v>386</v>
      </c>
      <c r="B1367" t="s">
        <v>2152</v>
      </c>
      <c r="C1367">
        <v>97</v>
      </c>
      <c r="D1367">
        <f>SUMIFS(Horas!R:R,Horas!E:E,A1368)</f>
        <v>0</v>
      </c>
    </row>
    <row r="1368" spans="1:4">
      <c r="A1368" t="s">
        <v>2188</v>
      </c>
      <c r="B1368" t="s">
        <v>2189</v>
      </c>
      <c r="C1368">
        <v>116</v>
      </c>
      <c r="D1368">
        <f>SUMIFS(Horas!R:R,Horas!E:E,A1369)</f>
        <v>0</v>
      </c>
    </row>
    <row r="1369" spans="1:4">
      <c r="A1369" t="s">
        <v>2184</v>
      </c>
      <c r="B1369" t="s">
        <v>2185</v>
      </c>
      <c r="C1369">
        <v>118</v>
      </c>
      <c r="D1369">
        <f>SUMIFS(Horas!R:R,Horas!E:E,A1370)</f>
        <v>0</v>
      </c>
    </row>
    <row r="1370" spans="1:4">
      <c r="A1370" t="s">
        <v>3481</v>
      </c>
      <c r="B1370" t="s">
        <v>3482</v>
      </c>
      <c r="C1370">
        <v>811</v>
      </c>
      <c r="D1370">
        <f>SUMIFS(Horas!R:R,Horas!E:E,A1371)</f>
        <v>0</v>
      </c>
    </row>
    <row r="1371" spans="1:4">
      <c r="A1371" t="s">
        <v>559</v>
      </c>
      <c r="B1371" t="s">
        <v>2142</v>
      </c>
      <c r="C1371">
        <v>80</v>
      </c>
      <c r="D1371">
        <f>SUMIFS(Horas!R:R,Horas!E:E,A1372)</f>
        <v>0</v>
      </c>
    </row>
    <row r="1372" spans="1:4">
      <c r="A1372" t="s">
        <v>2216</v>
      </c>
      <c r="B1372" t="s">
        <v>2217</v>
      </c>
      <c r="C1372">
        <v>112</v>
      </c>
      <c r="D1372">
        <f>SUMIFS(Horas!R:R,Horas!E:E,A1373)</f>
        <v>0</v>
      </c>
    </row>
    <row r="1373" spans="1:4">
      <c r="A1373" t="s">
        <v>3342</v>
      </c>
      <c r="B1373" t="s">
        <v>3343</v>
      </c>
      <c r="C1373">
        <v>735</v>
      </c>
      <c r="D1373">
        <f>SUMIFS(Horas!R:R,Horas!E:E,A1374)</f>
        <v>0</v>
      </c>
    </row>
    <row r="1374" spans="1:4">
      <c r="A1374" t="s">
        <v>2382</v>
      </c>
      <c r="B1374" t="s">
        <v>2383</v>
      </c>
      <c r="C1374">
        <v>8</v>
      </c>
      <c r="D1374">
        <f>SUMIFS(Horas!R:R,Horas!E:E,A1375)</f>
        <v>0</v>
      </c>
    </row>
    <row r="1375" spans="1:4">
      <c r="A1375" t="s">
        <v>2384</v>
      </c>
      <c r="B1375" t="s">
        <v>2385</v>
      </c>
      <c r="C1375">
        <v>32</v>
      </c>
      <c r="D1375">
        <f>SUMIFS(Horas!R:R,Horas!E:E,A1376)</f>
        <v>0</v>
      </c>
    </row>
    <row r="1376" spans="1:4">
      <c r="A1376" t="s">
        <v>2196</v>
      </c>
      <c r="B1376" t="s">
        <v>2197</v>
      </c>
      <c r="C1376">
        <v>14</v>
      </c>
      <c r="D1376">
        <f>SUMIFS(Horas!R:R,Horas!E:E,A1377)</f>
        <v>0</v>
      </c>
    </row>
    <row r="1377" spans="1:4">
      <c r="A1377" t="s">
        <v>2106</v>
      </c>
      <c r="B1377" t="s">
        <v>2107</v>
      </c>
      <c r="C1377">
        <v>29</v>
      </c>
      <c r="D1377">
        <f>SUMIFS(Horas!R:R,Horas!E:E,A1378)</f>
        <v>0</v>
      </c>
    </row>
    <row r="1378" spans="1:4">
      <c r="A1378" t="s">
        <v>2401</v>
      </c>
      <c r="B1378" t="s">
        <v>2402</v>
      </c>
      <c r="C1378">
        <v>33</v>
      </c>
      <c r="D1378">
        <f>SUMIFS(Horas!R:R,Horas!E:E,A1379)</f>
        <v>0</v>
      </c>
    </row>
    <row r="1379" spans="1:4">
      <c r="A1379" t="s">
        <v>2405</v>
      </c>
      <c r="B1379" t="s">
        <v>2406</v>
      </c>
      <c r="C1379">
        <v>7</v>
      </c>
      <c r="D1379">
        <f>SUMIFS(Horas!R:R,Horas!E:E,A1380)</f>
        <v>0</v>
      </c>
    </row>
    <row r="1380" spans="1:4">
      <c r="A1380" t="s">
        <v>2273</v>
      </c>
      <c r="B1380" t="s">
        <v>2274</v>
      </c>
      <c r="C1380">
        <v>166</v>
      </c>
      <c r="D1380">
        <f>SUMIFS(Horas!R:R,Horas!E:E,A1381)</f>
        <v>0</v>
      </c>
    </row>
    <row r="1381" spans="1:4">
      <c r="A1381" t="s">
        <v>2275</v>
      </c>
      <c r="B1381" t="s">
        <v>2276</v>
      </c>
      <c r="C1381">
        <v>171</v>
      </c>
      <c r="D1381">
        <f>SUMIFS(Horas!R:R,Horas!E:E,A1382)</f>
        <v>0</v>
      </c>
    </row>
    <row r="1382" spans="1:4">
      <c r="A1382" t="s">
        <v>3134</v>
      </c>
      <c r="B1382" t="s">
        <v>3135</v>
      </c>
      <c r="C1382">
        <v>620</v>
      </c>
      <c r="D1382">
        <f>SUMIFS(Horas!R:R,Horas!E:E,A1383)</f>
        <v>0</v>
      </c>
    </row>
    <row r="1383" spans="1:4">
      <c r="A1383" t="s">
        <v>2476</v>
      </c>
      <c r="B1383" t="s">
        <v>2477</v>
      </c>
      <c r="C1383">
        <v>246</v>
      </c>
      <c r="D1383">
        <f>SUMIFS(Horas!R:R,Horas!E:E,A1384)</f>
        <v>0</v>
      </c>
    </row>
    <row r="1384" spans="1:4">
      <c r="A1384" t="s">
        <v>3433</v>
      </c>
      <c r="B1384" t="s">
        <v>3434</v>
      </c>
      <c r="C1384">
        <v>787</v>
      </c>
      <c r="D1384">
        <f>SUMIFS(Horas!R:R,Horas!E:E,A1385)</f>
        <v>0</v>
      </c>
    </row>
    <row r="1385" spans="1:4">
      <c r="A1385" t="s">
        <v>3379</v>
      </c>
      <c r="B1385" t="s">
        <v>3380</v>
      </c>
      <c r="C1385">
        <v>757</v>
      </c>
      <c r="D1385">
        <f>SUMIFS(Horas!R:R,Horas!E:E,A1386)</f>
        <v>0</v>
      </c>
    </row>
    <row r="1386" spans="1:4">
      <c r="A1386" t="s">
        <v>2161</v>
      </c>
      <c r="B1386" t="s">
        <v>2161</v>
      </c>
      <c r="C1386">
        <v>108</v>
      </c>
      <c r="D1386">
        <f>SUMIFS(Horas!R:R,Horas!E:E,A1387)</f>
        <v>0</v>
      </c>
    </row>
    <row r="1387" spans="1:4">
      <c r="A1387" t="s">
        <v>6296</v>
      </c>
      <c r="B1387" t="s">
        <v>6296</v>
      </c>
      <c r="C1387">
        <v>1408</v>
      </c>
      <c r="D1387">
        <f>SUMIFS(Horas!R:R,Horas!E:E,A1388)</f>
        <v>0</v>
      </c>
    </row>
    <row r="1388" spans="1:4">
      <c r="A1388" t="s">
        <v>2174</v>
      </c>
      <c r="B1388" t="s">
        <v>2175</v>
      </c>
      <c r="C1388">
        <v>120</v>
      </c>
      <c r="D1388">
        <f>SUMIFS(Horas!R:R,Horas!E:E,A1389)</f>
        <v>0</v>
      </c>
    </row>
    <row r="1389" spans="1:4">
      <c r="A1389" t="s">
        <v>2186</v>
      </c>
      <c r="B1389" t="s">
        <v>2187</v>
      </c>
      <c r="C1389">
        <v>128</v>
      </c>
      <c r="D1389">
        <f>SUMIFS(Horas!R:R,Horas!E:E,A1390)</f>
        <v>0</v>
      </c>
    </row>
    <row r="1390" spans="1:4">
      <c r="A1390" t="s">
        <v>2380</v>
      </c>
      <c r="B1390" t="s">
        <v>2381</v>
      </c>
      <c r="C1390">
        <v>13</v>
      </c>
      <c r="D1390">
        <f>SUMIFS(Horas!R:R,Horas!E:E,A1391)</f>
        <v>0</v>
      </c>
    </row>
    <row r="1391" spans="1:4">
      <c r="A1391" t="s">
        <v>2374</v>
      </c>
      <c r="B1391" t="s">
        <v>2375</v>
      </c>
      <c r="C1391">
        <v>21</v>
      </c>
      <c r="D1391">
        <f>SUMIFS(Horas!R:R,Horas!E:E,A1392)</f>
        <v>0</v>
      </c>
    </row>
    <row r="1392" spans="1:4">
      <c r="A1392" t="s">
        <v>3536</v>
      </c>
      <c r="B1392" t="s">
        <v>3537</v>
      </c>
      <c r="C1392">
        <v>842</v>
      </c>
      <c r="D1392">
        <f>SUMIFS(Horas!R:R,Horas!E:E,A1393)</f>
        <v>0</v>
      </c>
    </row>
    <row r="1393" spans="1:4">
      <c r="A1393" t="s">
        <v>2376</v>
      </c>
      <c r="B1393" t="s">
        <v>2377</v>
      </c>
      <c r="C1393">
        <v>111</v>
      </c>
      <c r="D1393">
        <f>SUMIFS(Horas!R:R,Horas!E:E,A1394)</f>
        <v>0</v>
      </c>
    </row>
    <row r="1394" spans="1:4">
      <c r="A1394" t="s">
        <v>2344</v>
      </c>
      <c r="B1394" t="s">
        <v>2345</v>
      </c>
      <c r="C1394">
        <v>194</v>
      </c>
      <c r="D1394">
        <f>SUMIFS(Horas!R:R,Horas!E:E,A1395)</f>
        <v>0</v>
      </c>
    </row>
    <row r="1395" spans="1:4">
      <c r="A1395" t="s">
        <v>2409</v>
      </c>
      <c r="B1395" t="s">
        <v>2410</v>
      </c>
      <c r="C1395">
        <v>30</v>
      </c>
      <c r="D1395">
        <f>SUMIFS(Horas!R:R,Horas!E:E,A1396)</f>
        <v>0</v>
      </c>
    </row>
    <row r="1396" spans="1:4">
      <c r="A1396" t="s">
        <v>2114</v>
      </c>
      <c r="B1396" t="s">
        <v>2115</v>
      </c>
      <c r="C1396">
        <v>46</v>
      </c>
      <c r="D1396">
        <f>SUMIFS(Horas!R:R,Horas!E:E,A1397)</f>
        <v>0</v>
      </c>
    </row>
    <row r="1397" spans="1:4">
      <c r="A1397" t="s">
        <v>2444</v>
      </c>
      <c r="B1397" t="s">
        <v>2445</v>
      </c>
      <c r="C1397">
        <v>227</v>
      </c>
      <c r="D1397">
        <f>SUMIFS(Horas!R:R,Horas!E:E,A1398)</f>
        <v>0</v>
      </c>
    </row>
    <row r="1398" spans="1:4">
      <c r="A1398" t="s">
        <v>2190</v>
      </c>
      <c r="B1398" t="s">
        <v>2191</v>
      </c>
      <c r="C1398">
        <v>131</v>
      </c>
      <c r="D1398">
        <f>SUMIFS(Horas!R:R,Horas!E:E,A1399)</f>
        <v>0</v>
      </c>
    </row>
    <row r="1399" spans="1:4">
      <c r="A1399" t="s">
        <v>2311</v>
      </c>
      <c r="B1399" t="s">
        <v>2312</v>
      </c>
      <c r="C1399">
        <v>162</v>
      </c>
      <c r="D1399">
        <f>SUMIFS(Horas!R:R,Horas!E:E,A1400)</f>
        <v>0</v>
      </c>
    </row>
    <row r="1400" spans="1:4">
      <c r="A1400" t="s">
        <v>75</v>
      </c>
      <c r="B1400" t="s">
        <v>2153</v>
      </c>
      <c r="C1400">
        <v>100</v>
      </c>
      <c r="D1400">
        <f>SUMIFS(Horas!R:R,Horas!E:E,A1401)</f>
        <v>0</v>
      </c>
    </row>
    <row r="1401" spans="1:4">
      <c r="A1401" t="s">
        <v>2200</v>
      </c>
      <c r="B1401" t="s">
        <v>2201</v>
      </c>
      <c r="C1401">
        <v>132</v>
      </c>
      <c r="D1401">
        <f>SUMIFS(Horas!R:R,Horas!E:E,A1402)</f>
        <v>0</v>
      </c>
    </row>
    <row r="1402" spans="1:4">
      <c r="A1402" t="s">
        <v>6466</v>
      </c>
      <c r="B1402" t="s">
        <v>6467</v>
      </c>
      <c r="C1402">
        <v>1438</v>
      </c>
      <c r="D1402">
        <f>SUMIFS(Horas!R:R,Horas!E:E,A1403)</f>
        <v>0</v>
      </c>
    </row>
    <row r="1403" spans="1:4">
      <c r="A1403" t="s">
        <v>579</v>
      </c>
      <c r="B1403" t="s">
        <v>2390</v>
      </c>
      <c r="C1403">
        <v>133</v>
      </c>
      <c r="D1403">
        <f>SUMIFS(Horas!R:R,Horas!E:E,A1404)</f>
        <v>0</v>
      </c>
    </row>
    <row r="1404" spans="1:4">
      <c r="A1404" t="s">
        <v>2279</v>
      </c>
      <c r="B1404" t="s">
        <v>2280</v>
      </c>
      <c r="C1404">
        <v>96</v>
      </c>
      <c r="D1404">
        <f>SUMIFS(Horas!R:R,Horas!E:E,A1405)</f>
        <v>0</v>
      </c>
    </row>
    <row r="1405" spans="1:4">
      <c r="A1405" t="s">
        <v>2218</v>
      </c>
      <c r="B1405" t="s">
        <v>2219</v>
      </c>
      <c r="C1405">
        <v>136</v>
      </c>
      <c r="D1405">
        <f>SUMIFS(Horas!R:R,Horas!E:E,A1406)</f>
        <v>0</v>
      </c>
    </row>
    <row r="1406" spans="1:4">
      <c r="A1406" t="s">
        <v>575</v>
      </c>
      <c r="B1406" t="s">
        <v>2431</v>
      </c>
      <c r="C1406">
        <v>217</v>
      </c>
      <c r="D1406">
        <f>SUMIFS(Horas!R:R,Horas!E:E,A1407)</f>
        <v>0</v>
      </c>
    </row>
    <row r="1407" spans="1:4">
      <c r="A1407" t="s">
        <v>2220</v>
      </c>
      <c r="B1407" t="s">
        <v>2221</v>
      </c>
      <c r="C1407">
        <v>137</v>
      </c>
      <c r="D1407">
        <f>SUMIFS(Horas!R:R,Horas!E:E,A1408)</f>
        <v>0</v>
      </c>
    </row>
    <row r="1408" spans="1:4">
      <c r="A1408" t="s">
        <v>2214</v>
      </c>
      <c r="B1408" t="s">
        <v>2215</v>
      </c>
      <c r="C1408">
        <v>134</v>
      </c>
      <c r="D1408">
        <f>SUMIFS(Horas!R:R,Horas!E:E,A1409)</f>
        <v>0</v>
      </c>
    </row>
    <row r="1409" spans="1:4">
      <c r="A1409" t="s">
        <v>2151</v>
      </c>
      <c r="B1409" t="s">
        <v>561</v>
      </c>
      <c r="C1409">
        <v>90</v>
      </c>
      <c r="D1409">
        <f>SUMIFS(Horas!R:R,Horas!E:E,A1410)</f>
        <v>0</v>
      </c>
    </row>
    <row r="1410" spans="1:4">
      <c r="A1410" t="s">
        <v>2166</v>
      </c>
      <c r="B1410" t="s">
        <v>2167</v>
      </c>
      <c r="C1410">
        <v>113</v>
      </c>
      <c r="D1410">
        <f>SUMIFS(Horas!R:R,Horas!E:E,A1411)</f>
        <v>0</v>
      </c>
    </row>
    <row r="1411" spans="1:4">
      <c r="A1411" t="s">
        <v>3632</v>
      </c>
      <c r="B1411" t="s">
        <v>3633</v>
      </c>
      <c r="C1411">
        <v>894</v>
      </c>
      <c r="D1411">
        <f>SUMIFS(Horas!R:R,Horas!E:E,A1412)</f>
        <v>0</v>
      </c>
    </row>
    <row r="1412" spans="1:4">
      <c r="A1412" t="s">
        <v>4063</v>
      </c>
      <c r="B1412" t="s">
        <v>4064</v>
      </c>
      <c r="C1412">
        <v>1050</v>
      </c>
      <c r="D1412">
        <f>SUMIFS(Horas!R:R,Horas!E:E,A1413)</f>
        <v>0</v>
      </c>
    </row>
    <row r="1413" spans="1:4">
      <c r="A1413" t="s">
        <v>4854</v>
      </c>
      <c r="B1413" t="s">
        <v>4855</v>
      </c>
      <c r="C1413">
        <v>1123</v>
      </c>
      <c r="D1413">
        <f>SUMIFS(Horas!R:R,Horas!E:E,A1414)</f>
        <v>0</v>
      </c>
    </row>
    <row r="1414" spans="1:4">
      <c r="A1414" t="s">
        <v>5400</v>
      </c>
      <c r="B1414" t="s">
        <v>5401</v>
      </c>
      <c r="C1414">
        <v>1217</v>
      </c>
      <c r="D1414">
        <f>SUMIFS(Horas!R:R,Horas!E:E,A1415)</f>
        <v>0</v>
      </c>
    </row>
    <row r="1415" spans="1:4">
      <c r="A1415" t="s">
        <v>5874</v>
      </c>
      <c r="B1415" t="s">
        <v>5875</v>
      </c>
      <c r="C1415">
        <v>1331</v>
      </c>
      <c r="D1415">
        <f>SUMIFS(Horas!R:R,Horas!E:E,A1416)</f>
        <v>0</v>
      </c>
    </row>
    <row r="1416" spans="1:4">
      <c r="A1416" t="s">
        <v>6434</v>
      </c>
      <c r="B1416" t="s">
        <v>6435</v>
      </c>
      <c r="C1416">
        <v>1453</v>
      </c>
      <c r="D1416">
        <f>SUMIFS(Horas!R:R,Horas!E:E,A1417)</f>
        <v>0</v>
      </c>
    </row>
    <row r="1417" spans="1:4">
      <c r="A1417" t="s">
        <v>6728</v>
      </c>
      <c r="B1417" t="s">
        <v>6729</v>
      </c>
      <c r="C1417">
        <v>1525</v>
      </c>
      <c r="D1417">
        <f>SUMIFS(Horas!R:R,Horas!E:E,A1418)</f>
        <v>0</v>
      </c>
    </row>
    <row r="1418" spans="1:4">
      <c r="A1418" t="s">
        <v>7336</v>
      </c>
      <c r="B1418" t="s">
        <v>7337</v>
      </c>
      <c r="C1418">
        <v>1623</v>
      </c>
      <c r="D1418">
        <f>SUMIFS(Horas!R:R,Horas!E:E,A1419)</f>
        <v>0</v>
      </c>
    </row>
    <row r="1419" spans="1:4">
      <c r="A1419" t="s">
        <v>5767</v>
      </c>
      <c r="B1419" t="s">
        <v>4883</v>
      </c>
      <c r="C1419">
        <v>1143</v>
      </c>
      <c r="D1419">
        <f>SUMIFS(Horas!R:R,Horas!E:E,A1420)</f>
        <v>0</v>
      </c>
    </row>
    <row r="1420" spans="1:4">
      <c r="A1420" t="s">
        <v>3944</v>
      </c>
      <c r="B1420" t="s">
        <v>3945</v>
      </c>
      <c r="C1420">
        <v>1028</v>
      </c>
      <c r="D1420">
        <f>SUMIFS(Horas!R:R,Horas!E:E,A1421)</f>
        <v>0</v>
      </c>
    </row>
    <row r="1421" spans="1:4">
      <c r="A1421" t="s">
        <v>3946</v>
      </c>
      <c r="B1421" t="s">
        <v>3947</v>
      </c>
      <c r="C1421">
        <v>1029</v>
      </c>
      <c r="D1421">
        <f>SUMIFS(Horas!R:R,Horas!E:E,A1422)</f>
        <v>0</v>
      </c>
    </row>
    <row r="1422" spans="1:4">
      <c r="A1422" t="s">
        <v>3387</v>
      </c>
      <c r="B1422" t="s">
        <v>3388</v>
      </c>
      <c r="C1422">
        <v>761</v>
      </c>
      <c r="D1422">
        <f>SUMIFS(Horas!R:R,Horas!E:E,A1423)</f>
        <v>0</v>
      </c>
    </row>
    <row r="1423" spans="1:4">
      <c r="A1423" t="s">
        <v>2364</v>
      </c>
      <c r="B1423" t="s">
        <v>2365</v>
      </c>
      <c r="C1423">
        <v>12</v>
      </c>
      <c r="D1423">
        <f>SUMIFS(Horas!R:R,Horas!E:E,A1424)</f>
        <v>0</v>
      </c>
    </row>
    <row r="1424" spans="1:4">
      <c r="A1424" t="s">
        <v>2162</v>
      </c>
      <c r="B1424" t="s">
        <v>2163</v>
      </c>
      <c r="C1424">
        <v>109</v>
      </c>
      <c r="D1424">
        <f>SUMIFS(Horas!R:R,Horas!E:E,A1425)</f>
        <v>0</v>
      </c>
    </row>
    <row r="1425" spans="1:4">
      <c r="A1425" t="s">
        <v>2366</v>
      </c>
      <c r="B1425" t="s">
        <v>2367</v>
      </c>
      <c r="C1425">
        <v>31</v>
      </c>
      <c r="D1425">
        <f>SUMIFS(Horas!R:R,Horas!E:E,A1426)</f>
        <v>0</v>
      </c>
    </row>
    <row r="1426" spans="1:4">
      <c r="A1426" t="s">
        <v>2127</v>
      </c>
      <c r="B1426" t="s">
        <v>2128</v>
      </c>
      <c r="C1426">
        <v>64</v>
      </c>
      <c r="D1426">
        <f>SUMIFS(Horas!R:R,Horas!E:E,A1427)</f>
        <v>0</v>
      </c>
    </row>
    <row r="1427" spans="1:4">
      <c r="A1427" t="s">
        <v>3008</v>
      </c>
      <c r="B1427" t="s">
        <v>3009</v>
      </c>
      <c r="C1427">
        <v>546</v>
      </c>
      <c r="D1427">
        <f>SUMIFS(Horas!R:R,Horas!E:E,A1428)</f>
        <v>0</v>
      </c>
    </row>
    <row r="1428" spans="1:4">
      <c r="A1428" t="s">
        <v>2154</v>
      </c>
      <c r="B1428" t="s">
        <v>2136</v>
      </c>
      <c r="C1428">
        <v>102</v>
      </c>
      <c r="D1428">
        <f>SUMIFS(Horas!R:R,Horas!E:E,A1429)</f>
        <v>0</v>
      </c>
    </row>
    <row r="1429" spans="1:4">
      <c r="A1429" t="s">
        <v>2378</v>
      </c>
      <c r="B1429" t="s">
        <v>2379</v>
      </c>
      <c r="C1429">
        <v>9</v>
      </c>
      <c r="D1429">
        <f>SUMIFS(Horas!R:R,Horas!E:E,A1430)</f>
        <v>0</v>
      </c>
    </row>
    <row r="1430" spans="1:4">
      <c r="A1430" t="s">
        <v>2138</v>
      </c>
      <c r="B1430" t="s">
        <v>2139</v>
      </c>
      <c r="C1430">
        <v>76</v>
      </c>
      <c r="D1430">
        <f>SUMIFS(Horas!R:R,Horas!E:E,A1431)</f>
        <v>0</v>
      </c>
    </row>
    <row r="1431" spans="1:4">
      <c r="A1431" t="s">
        <v>5931</v>
      </c>
      <c r="B1431" t="s">
        <v>5932</v>
      </c>
      <c r="C1431">
        <v>1362</v>
      </c>
      <c r="D1431">
        <f>SUMIFS(Horas!R:R,Horas!E:E,A1432)</f>
        <v>0</v>
      </c>
    </row>
    <row r="1432" spans="1:4">
      <c r="A1432" t="s">
        <v>6027</v>
      </c>
      <c r="B1432" t="s">
        <v>5932</v>
      </c>
      <c r="C1432">
        <v>1368</v>
      </c>
      <c r="D1432">
        <f>SUMIFS(Horas!R:R,Horas!E:E,A1433)</f>
        <v>0</v>
      </c>
    </row>
    <row r="1433" spans="1:4">
      <c r="A1433" t="s">
        <v>6062</v>
      </c>
      <c r="B1433" t="s">
        <v>6074</v>
      </c>
      <c r="C1433">
        <v>1420</v>
      </c>
      <c r="D1433">
        <f>SUMIFS(Horas!R:R,Horas!E:E,A1434)</f>
        <v>0</v>
      </c>
    </row>
    <row r="1434" spans="1:4">
      <c r="A1434" t="s">
        <v>6063</v>
      </c>
      <c r="B1434" t="s">
        <v>6074</v>
      </c>
      <c r="C1434">
        <v>1429</v>
      </c>
      <c r="D1434">
        <f>SUMIFS(Horas!R:R,Horas!E:E,A1435)</f>
        <v>0</v>
      </c>
    </row>
    <row r="1435" spans="1:4">
      <c r="A1435" t="s">
        <v>6064</v>
      </c>
      <c r="B1435" t="s">
        <v>6074</v>
      </c>
      <c r="C1435">
        <v>1434</v>
      </c>
      <c r="D1435">
        <f>SUMIFS(Horas!R:R,Horas!E:E,A1436)</f>
        <v>0</v>
      </c>
    </row>
    <row r="1436" spans="1:4">
      <c r="A1436" t="s">
        <v>5971</v>
      </c>
      <c r="B1436" t="s">
        <v>5932</v>
      </c>
      <c r="C1436">
        <v>1376</v>
      </c>
      <c r="D1436">
        <f>SUMIFS(Horas!R:R,Horas!E:E,A1437)</f>
        <v>0</v>
      </c>
    </row>
    <row r="1437" spans="1:4">
      <c r="A1437" t="s">
        <v>5972</v>
      </c>
      <c r="B1437" t="s">
        <v>5932</v>
      </c>
      <c r="C1437">
        <v>1382</v>
      </c>
      <c r="D1437">
        <f>SUMIFS(Horas!R:R,Horas!E:E,A1438)</f>
        <v>0</v>
      </c>
    </row>
    <row r="1438" spans="1:4">
      <c r="A1438" t="s">
        <v>5970</v>
      </c>
      <c r="B1438" t="s">
        <v>5932</v>
      </c>
      <c r="C1438">
        <v>1389</v>
      </c>
      <c r="D1438">
        <f>SUMIFS(Horas!R:R,Horas!E:E,A1439)</f>
        <v>0</v>
      </c>
    </row>
    <row r="1439" spans="1:4">
      <c r="A1439" t="s">
        <v>6055</v>
      </c>
      <c r="B1439" t="s">
        <v>5932</v>
      </c>
      <c r="C1439">
        <v>1391</v>
      </c>
      <c r="D1439">
        <f>SUMIFS(Horas!R:R,Horas!E:E,A1440)</f>
        <v>0</v>
      </c>
    </row>
    <row r="1440" spans="1:4">
      <c r="A1440" t="s">
        <v>6059</v>
      </c>
      <c r="B1440" t="s">
        <v>6074</v>
      </c>
      <c r="C1440">
        <v>1397</v>
      </c>
      <c r="D1440">
        <f>SUMIFS(Horas!R:R,Horas!E:E,A1441)</f>
        <v>0</v>
      </c>
    </row>
    <row r="1441" spans="1:4">
      <c r="A1441" t="s">
        <v>6060</v>
      </c>
      <c r="B1441" t="s">
        <v>6074</v>
      </c>
      <c r="C1441">
        <v>1410</v>
      </c>
      <c r="D1441">
        <f>SUMIFS(Horas!R:R,Horas!E:E,A1442)</f>
        <v>0</v>
      </c>
    </row>
    <row r="1442" spans="1:4">
      <c r="A1442" t="s">
        <v>6061</v>
      </c>
      <c r="B1442" t="s">
        <v>6074</v>
      </c>
      <c r="C1442">
        <v>1413</v>
      </c>
      <c r="D1442">
        <f>SUMIFS(Horas!R:R,Horas!E:E,A1443)</f>
        <v>0</v>
      </c>
    </row>
    <row r="1443" spans="1:4">
      <c r="A1443" t="s">
        <v>6436</v>
      </c>
      <c r="B1443" t="s">
        <v>6437</v>
      </c>
      <c r="C1443">
        <v>1484</v>
      </c>
      <c r="D1443">
        <f>SUMIFS(Horas!R:R,Horas!E:E,A1444)</f>
        <v>0</v>
      </c>
    </row>
    <row r="1444" spans="1:4">
      <c r="A1444" t="s">
        <v>6517</v>
      </c>
      <c r="B1444" t="s">
        <v>6508</v>
      </c>
      <c r="C1444">
        <v>1517</v>
      </c>
      <c r="D1444">
        <f>SUMIFS(Horas!R:R,Horas!E:E,A1445)</f>
        <v>0</v>
      </c>
    </row>
    <row r="1445" spans="1:4">
      <c r="A1445" t="s">
        <v>6518</v>
      </c>
      <c r="B1445" t="s">
        <v>6508</v>
      </c>
      <c r="C1445">
        <v>1521</v>
      </c>
      <c r="D1445">
        <f>SUMIFS(Horas!R:R,Horas!E:E,A1446)</f>
        <v>0</v>
      </c>
    </row>
    <row r="1446" spans="1:4">
      <c r="A1446" t="s">
        <v>6519</v>
      </c>
      <c r="B1446" t="s">
        <v>6508</v>
      </c>
      <c r="C1446">
        <v>1522</v>
      </c>
      <c r="D1446">
        <f>SUMIFS(Horas!R:R,Horas!E:E,A1447)</f>
        <v>0</v>
      </c>
    </row>
    <row r="1447" spans="1:4">
      <c r="A1447" t="s">
        <v>6507</v>
      </c>
      <c r="B1447" t="s">
        <v>6508</v>
      </c>
      <c r="C1447">
        <v>1488</v>
      </c>
      <c r="D1447">
        <f>SUMIFS(Horas!R:R,Horas!E:E,A1448)</f>
        <v>0</v>
      </c>
    </row>
    <row r="1448" spans="1:4">
      <c r="A1448" t="s">
        <v>6510</v>
      </c>
      <c r="B1448" t="s">
        <v>6508</v>
      </c>
      <c r="C1448">
        <v>1490</v>
      </c>
      <c r="D1448">
        <f>SUMIFS(Horas!R:R,Horas!E:E,A1449)</f>
        <v>0</v>
      </c>
    </row>
    <row r="1449" spans="1:4">
      <c r="A1449" t="s">
        <v>6511</v>
      </c>
      <c r="B1449" t="s">
        <v>6508</v>
      </c>
      <c r="C1449">
        <v>1499</v>
      </c>
      <c r="D1449">
        <f>SUMIFS(Horas!R:R,Horas!E:E,A1450)</f>
        <v>0</v>
      </c>
    </row>
    <row r="1450" spans="1:4">
      <c r="A1450" t="s">
        <v>6512</v>
      </c>
      <c r="B1450" t="s">
        <v>6508</v>
      </c>
      <c r="C1450">
        <v>1503</v>
      </c>
      <c r="D1450">
        <f>SUMIFS(Horas!R:R,Horas!E:E,A1451)</f>
        <v>0</v>
      </c>
    </row>
    <row r="1451" spans="1:4">
      <c r="A1451" t="s">
        <v>6513</v>
      </c>
      <c r="B1451" t="s">
        <v>6508</v>
      </c>
      <c r="C1451">
        <v>1505</v>
      </c>
      <c r="D1451">
        <f>SUMIFS(Horas!R:R,Horas!E:E,A1452)</f>
        <v>0</v>
      </c>
    </row>
    <row r="1452" spans="1:4">
      <c r="A1452" t="s">
        <v>6514</v>
      </c>
      <c r="B1452" t="s">
        <v>6508</v>
      </c>
      <c r="C1452">
        <v>1509</v>
      </c>
      <c r="D1452">
        <f>SUMIFS(Horas!R:R,Horas!E:E,A1453)</f>
        <v>0</v>
      </c>
    </row>
    <row r="1453" spans="1:4">
      <c r="A1453" t="s">
        <v>6515</v>
      </c>
      <c r="B1453" t="s">
        <v>6508</v>
      </c>
      <c r="C1453">
        <v>1511</v>
      </c>
      <c r="D1453">
        <f>SUMIFS(Horas!R:R,Horas!E:E,A1454)</f>
        <v>0</v>
      </c>
    </row>
    <row r="1454" spans="1:4">
      <c r="A1454" t="s">
        <v>6516</v>
      </c>
      <c r="B1454" t="s">
        <v>6508</v>
      </c>
      <c r="C1454">
        <v>1516</v>
      </c>
      <c r="D1454">
        <f>SUMIFS(Horas!R:R,Horas!E:E,A1455)</f>
        <v>0</v>
      </c>
    </row>
    <row r="1455" spans="1:4">
      <c r="A1455" t="s">
        <v>6733</v>
      </c>
      <c r="B1455" t="s">
        <v>6508</v>
      </c>
      <c r="C1455">
        <v>1534</v>
      </c>
      <c r="D1455">
        <f>SUMIFS(Horas!R:R,Horas!E:E,A1456)</f>
        <v>0</v>
      </c>
    </row>
    <row r="1456" spans="1:4">
      <c r="A1456" t="s">
        <v>6742</v>
      </c>
      <c r="B1456" t="s">
        <v>6508</v>
      </c>
      <c r="C1456">
        <v>1603</v>
      </c>
      <c r="D1456">
        <f>SUMIFS(Horas!R:R,Horas!E:E,A1457)</f>
        <v>0</v>
      </c>
    </row>
    <row r="1457" spans="1:4">
      <c r="A1457" t="s">
        <v>6743</v>
      </c>
      <c r="B1457" t="s">
        <v>6508</v>
      </c>
      <c r="C1457">
        <v>1609</v>
      </c>
      <c r="D1457">
        <f>SUMIFS(Horas!R:R,Horas!E:E,A1458)</f>
        <v>0</v>
      </c>
    </row>
    <row r="1458" spans="1:4">
      <c r="A1458" t="s">
        <v>6744</v>
      </c>
      <c r="B1458" t="s">
        <v>6508</v>
      </c>
      <c r="C1458">
        <v>1613</v>
      </c>
      <c r="D1458">
        <f>SUMIFS(Horas!R:R,Horas!E:E,A1459)</f>
        <v>0</v>
      </c>
    </row>
    <row r="1459" spans="1:4">
      <c r="A1459" t="s">
        <v>6734</v>
      </c>
      <c r="B1459" t="s">
        <v>6508</v>
      </c>
      <c r="C1459">
        <v>1547</v>
      </c>
      <c r="D1459">
        <f>SUMIFS(Horas!R:R,Horas!E:E,A1460)</f>
        <v>0</v>
      </c>
    </row>
    <row r="1460" spans="1:4">
      <c r="A1460" t="s">
        <v>6735</v>
      </c>
      <c r="B1460" t="s">
        <v>6508</v>
      </c>
      <c r="C1460">
        <v>1554</v>
      </c>
      <c r="D1460">
        <f>SUMIFS(Horas!R:R,Horas!E:E,A1461)</f>
        <v>0</v>
      </c>
    </row>
    <row r="1461" spans="1:4">
      <c r="A1461" t="s">
        <v>6736</v>
      </c>
      <c r="B1461" t="s">
        <v>6508</v>
      </c>
      <c r="C1461">
        <v>1560</v>
      </c>
      <c r="D1461">
        <f>SUMIFS(Horas!R:R,Horas!E:E,A1462)</f>
        <v>0</v>
      </c>
    </row>
    <row r="1462" spans="1:4">
      <c r="A1462" t="s">
        <v>6737</v>
      </c>
      <c r="B1462" t="s">
        <v>6508</v>
      </c>
      <c r="C1462">
        <v>1562</v>
      </c>
      <c r="D1462">
        <f>SUMIFS(Horas!R:R,Horas!E:E,A1463)</f>
        <v>0</v>
      </c>
    </row>
    <row r="1463" spans="1:4">
      <c r="A1463" t="s">
        <v>6738</v>
      </c>
      <c r="B1463" t="s">
        <v>6508</v>
      </c>
      <c r="C1463">
        <v>1573</v>
      </c>
      <c r="D1463">
        <f>SUMIFS(Horas!R:R,Horas!E:E,A1464)</f>
        <v>0</v>
      </c>
    </row>
    <row r="1464" spans="1:4">
      <c r="A1464" t="s">
        <v>6739</v>
      </c>
      <c r="B1464" t="s">
        <v>6508</v>
      </c>
      <c r="C1464">
        <v>1577</v>
      </c>
      <c r="D1464">
        <f>SUMIFS(Horas!R:R,Horas!E:E,A1465)</f>
        <v>0</v>
      </c>
    </row>
    <row r="1465" spans="1:4">
      <c r="A1465" t="s">
        <v>6740</v>
      </c>
      <c r="B1465" t="s">
        <v>6508</v>
      </c>
      <c r="C1465">
        <v>1581</v>
      </c>
      <c r="D1465">
        <f>SUMIFS(Horas!R:R,Horas!E:E,A1466)</f>
        <v>0</v>
      </c>
    </row>
    <row r="1466" spans="1:4">
      <c r="A1466" t="s">
        <v>6741</v>
      </c>
      <c r="B1466" t="s">
        <v>6508</v>
      </c>
      <c r="C1466">
        <v>1585</v>
      </c>
      <c r="D1466">
        <f>SUMIFS(Horas!R:R,Horas!E:E,A1467)</f>
        <v>0</v>
      </c>
    </row>
    <row r="1467" spans="1:4">
      <c r="A1467" t="s">
        <v>7116</v>
      </c>
      <c r="B1467" t="s">
        <v>7117</v>
      </c>
      <c r="C1467">
        <v>1030</v>
      </c>
      <c r="D1467">
        <f>SUMIFS(Horas!R:R,Horas!E:E,A1468)</f>
        <v>0</v>
      </c>
    </row>
    <row r="1468" spans="1:4">
      <c r="A1468" t="s">
        <v>7121</v>
      </c>
      <c r="B1468" t="s">
        <v>7122</v>
      </c>
      <c r="C1468">
        <v>1242</v>
      </c>
      <c r="D1468">
        <f>SUMIFS(Horas!R:R,Horas!E:E,A1469)</f>
        <v>0</v>
      </c>
    </row>
    <row r="1469" spans="1:4">
      <c r="A1469" t="s">
        <v>7115</v>
      </c>
      <c r="B1469" t="s">
        <v>7115</v>
      </c>
      <c r="C1469">
        <v>247</v>
      </c>
      <c r="D1469">
        <f>SUMIFS(Horas!R:R,Horas!E:E,A1470)</f>
        <v>0</v>
      </c>
    </row>
    <row r="1470" spans="1:4">
      <c r="A1470" t="s">
        <v>7339</v>
      </c>
      <c r="B1470" t="s">
        <v>6508</v>
      </c>
      <c r="C1470">
        <v>1625</v>
      </c>
      <c r="D1470">
        <f>SUMIFS(Horas!R:R,Horas!E:E,A1471)</f>
        <v>0</v>
      </c>
    </row>
    <row r="1471" spans="1:4">
      <c r="A1471" t="s">
        <v>7402</v>
      </c>
      <c r="B1471" t="s">
        <v>6508</v>
      </c>
      <c r="C1471">
        <v>1656</v>
      </c>
      <c r="D1471">
        <f>SUMIFS(Horas!R:R,Horas!E:E,A1472)</f>
        <v>0</v>
      </c>
    </row>
    <row r="1472" spans="1:4">
      <c r="A1472" t="s">
        <v>3295</v>
      </c>
      <c r="B1472" t="s">
        <v>3296</v>
      </c>
      <c r="C1472">
        <v>710</v>
      </c>
      <c r="D1472">
        <f>SUMIFS(Horas!R:R,Horas!E:E,A1473)</f>
        <v>0</v>
      </c>
    </row>
    <row r="1473" spans="1:4">
      <c r="A1473" t="s">
        <v>2286</v>
      </c>
      <c r="B1473" t="s">
        <v>2287</v>
      </c>
      <c r="C1473">
        <v>146</v>
      </c>
      <c r="D1473">
        <f>SUMIFS(Horas!R:R,Horas!E:E,A1474)</f>
        <v>0</v>
      </c>
    </row>
    <row r="1474" spans="1:4">
      <c r="A1474" t="s">
        <v>2253</v>
      </c>
      <c r="B1474" t="s">
        <v>2254</v>
      </c>
      <c r="C1474">
        <v>158</v>
      </c>
      <c r="D1474">
        <f>SUMIFS(Horas!R:R,Horas!E:E,A1475)</f>
        <v>0</v>
      </c>
    </row>
    <row r="1475" spans="1:4">
      <c r="A1475" t="s">
        <v>2267</v>
      </c>
      <c r="B1475" t="s">
        <v>2268</v>
      </c>
      <c r="C1475">
        <v>167</v>
      </c>
      <c r="D1475">
        <f>SUMIFS(Horas!R:R,Horas!E:E,A1476)</f>
        <v>0</v>
      </c>
    </row>
    <row r="1476" spans="1:4">
      <c r="A1476" t="s">
        <v>2284</v>
      </c>
      <c r="B1476" t="s">
        <v>2285</v>
      </c>
      <c r="C1476">
        <v>168</v>
      </c>
      <c r="D1476">
        <f>SUMIFS(Horas!R:R,Horas!E:E,A1477)</f>
        <v>0</v>
      </c>
    </row>
    <row r="1477" spans="1:4">
      <c r="A1477" t="s">
        <v>2269</v>
      </c>
      <c r="B1477" t="s">
        <v>2270</v>
      </c>
      <c r="C1477">
        <v>169</v>
      </c>
      <c r="D1477">
        <f>SUMIFS(Horas!R:R,Horas!E:E,A1478)</f>
        <v>0</v>
      </c>
    </row>
    <row r="1478" spans="1:4">
      <c r="A1478" t="s">
        <v>3383</v>
      </c>
      <c r="B1478" t="s">
        <v>3384</v>
      </c>
      <c r="C1478">
        <v>759</v>
      </c>
      <c r="D1478">
        <f>SUMIFS(Horas!R:R,Horas!E:E,A1479)</f>
        <v>0</v>
      </c>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9EF1F3-7554-4FD9-98DD-63536FB4A370}">
  <sheetPr codeName="Hoja3"/>
  <dimension ref="A1:C118"/>
  <sheetViews>
    <sheetView topLeftCell="A71" workbookViewId="0">
      <selection activeCell="B87" sqref="B87"/>
    </sheetView>
  </sheetViews>
  <sheetFormatPr defaultColWidth="11.5703125" defaultRowHeight="15"/>
  <cols>
    <col min="1" max="1" width="10.85546875" bestFit="1" customWidth="1"/>
    <col min="2" max="2" width="18.140625" bestFit="1" customWidth="1"/>
    <col min="3" max="3" width="27" bestFit="1" customWidth="1"/>
  </cols>
  <sheetData>
    <row r="1" spans="1:3">
      <c r="A1" t="s">
        <v>21</v>
      </c>
    </row>
    <row r="2" spans="1:3">
      <c r="A2" t="s">
        <v>23</v>
      </c>
    </row>
    <row r="4" spans="1:3">
      <c r="A4" t="s">
        <v>286</v>
      </c>
      <c r="B4" t="s">
        <v>287</v>
      </c>
      <c r="C4" t="s">
        <v>2049</v>
      </c>
    </row>
    <row r="5" spans="1:3">
      <c r="A5" t="s">
        <v>288</v>
      </c>
      <c r="B5" t="s">
        <v>289</v>
      </c>
      <c r="C5" t="str">
        <f t="shared" ref="C5:C36" si="0">_xlfn.TEXTJOIN(" - ",TRUE,A5:B5)</f>
        <v>01 - SPRINT-SSIF</v>
      </c>
    </row>
    <row r="6" spans="1:3">
      <c r="A6" t="s">
        <v>290</v>
      </c>
      <c r="B6" t="s">
        <v>291</v>
      </c>
      <c r="C6" t="str">
        <f t="shared" si="0"/>
        <v>1S - REQ.Mov. CCSS</v>
      </c>
    </row>
    <row r="7" spans="1:3">
      <c r="A7" t="s">
        <v>292</v>
      </c>
      <c r="B7" t="s">
        <v>293</v>
      </c>
      <c r="C7" t="str">
        <f t="shared" si="0"/>
        <v>AA - Area SOIN</v>
      </c>
    </row>
    <row r="8" spans="1:3">
      <c r="A8" t="s">
        <v>6239</v>
      </c>
      <c r="B8" t="s">
        <v>6240</v>
      </c>
      <c r="C8" t="str">
        <f t="shared" si="0"/>
        <v>AB - CONSULTORIA</v>
      </c>
    </row>
    <row r="9" spans="1:3">
      <c r="A9" t="s">
        <v>6241</v>
      </c>
      <c r="B9" t="s">
        <v>6242</v>
      </c>
      <c r="C9" t="str">
        <f t="shared" si="0"/>
        <v>AC - PLANT SAPIENS</v>
      </c>
    </row>
    <row r="10" spans="1:3">
      <c r="A10" t="s">
        <v>6243</v>
      </c>
      <c r="B10" t="s">
        <v>6244</v>
      </c>
      <c r="C10" t="str">
        <f t="shared" si="0"/>
        <v>AD - Capacitaciones</v>
      </c>
    </row>
    <row r="11" spans="1:3">
      <c r="A11" t="s">
        <v>6245</v>
      </c>
      <c r="B11" t="s">
        <v>6246</v>
      </c>
      <c r="C11" t="str">
        <f t="shared" si="0"/>
        <v>AE - ALIADO ESTRATEG</v>
      </c>
    </row>
    <row r="12" spans="1:3">
      <c r="A12" t="s">
        <v>6247</v>
      </c>
      <c r="B12" t="s">
        <v>6248</v>
      </c>
      <c r="C12" t="str">
        <f t="shared" si="0"/>
        <v>AF - Sist Leg-BNCR</v>
      </c>
    </row>
    <row r="13" spans="1:3">
      <c r="A13" t="s">
        <v>294</v>
      </c>
      <c r="B13" t="s">
        <v>295</v>
      </c>
      <c r="C13" t="str">
        <f t="shared" si="0"/>
        <v>AN - Area de Negocio</v>
      </c>
    </row>
    <row r="14" spans="1:3">
      <c r="A14" t="s">
        <v>296</v>
      </c>
      <c r="B14" t="s">
        <v>297</v>
      </c>
      <c r="C14" t="str">
        <f t="shared" si="0"/>
        <v>B2 - Boleta NCP2</v>
      </c>
    </row>
    <row r="15" spans="1:3">
      <c r="A15" t="s">
        <v>5146</v>
      </c>
      <c r="B15" t="s">
        <v>5147</v>
      </c>
      <c r="C15" t="str">
        <f t="shared" si="0"/>
        <v>B3 - Boleta NCP3</v>
      </c>
    </row>
    <row r="16" spans="1:3">
      <c r="A16" t="s">
        <v>5585</v>
      </c>
      <c r="B16" t="s">
        <v>5586</v>
      </c>
      <c r="C16" t="str">
        <f t="shared" si="0"/>
        <v>BA - Boleta NCA</v>
      </c>
    </row>
    <row r="17" spans="1:3">
      <c r="A17" t="s">
        <v>6096</v>
      </c>
      <c r="B17" t="s">
        <v>6249</v>
      </c>
      <c r="C17" t="str">
        <f t="shared" si="0"/>
        <v>BC - Boleta CI</v>
      </c>
    </row>
    <row r="18" spans="1:3">
      <c r="A18" t="s">
        <v>203</v>
      </c>
      <c r="B18" t="s">
        <v>7415</v>
      </c>
      <c r="C18" t="str">
        <f t="shared" si="0"/>
        <v>BI - RQ BUS INTEROP</v>
      </c>
    </row>
    <row r="19" spans="1:3">
      <c r="A19" t="s">
        <v>298</v>
      </c>
      <c r="B19" t="s">
        <v>299</v>
      </c>
      <c r="C19" t="str">
        <f t="shared" si="0"/>
        <v>BN - Boleta NCP1</v>
      </c>
    </row>
    <row r="20" spans="1:3">
      <c r="A20" t="s">
        <v>300</v>
      </c>
      <c r="B20" t="s">
        <v>301</v>
      </c>
      <c r="C20" t="str">
        <f t="shared" si="0"/>
        <v>BT - Boleta Trabajo</v>
      </c>
    </row>
    <row r="21" spans="1:3">
      <c r="A21" t="s">
        <v>4138</v>
      </c>
      <c r="B21" t="s">
        <v>7026</v>
      </c>
      <c r="C21" t="str">
        <f t="shared" si="0"/>
        <v>CA - RQ TDCar</v>
      </c>
    </row>
    <row r="22" spans="1:3">
      <c r="A22" t="s">
        <v>3980</v>
      </c>
      <c r="B22" t="s">
        <v>3981</v>
      </c>
      <c r="C22" t="str">
        <f t="shared" si="0"/>
        <v>CB - CLIENTES BI</v>
      </c>
    </row>
    <row r="23" spans="1:3">
      <c r="A23" t="s">
        <v>302</v>
      </c>
      <c r="B23" t="s">
        <v>303</v>
      </c>
      <c r="C23" t="str">
        <f t="shared" si="0"/>
        <v>CE - CLTE-ERP</v>
      </c>
    </row>
    <row r="24" spans="1:3">
      <c r="A24" t="s">
        <v>304</v>
      </c>
      <c r="B24" t="s">
        <v>305</v>
      </c>
      <c r="C24" t="str">
        <f t="shared" si="0"/>
        <v>CI - CLIENTE  I/S</v>
      </c>
    </row>
    <row r="25" spans="1:3">
      <c r="A25" t="s">
        <v>306</v>
      </c>
      <c r="B25" t="s">
        <v>307</v>
      </c>
      <c r="C25" t="str">
        <f t="shared" si="0"/>
        <v>CL - Nombre del clie</v>
      </c>
    </row>
    <row r="26" spans="1:3">
      <c r="A26" t="s">
        <v>7027</v>
      </c>
      <c r="B26" t="s">
        <v>7028</v>
      </c>
      <c r="C26" t="str">
        <f t="shared" si="0"/>
        <v>CM - RQ CrearEmpresa</v>
      </c>
    </row>
    <row r="27" spans="1:3">
      <c r="A27" t="s">
        <v>308</v>
      </c>
      <c r="B27" t="s">
        <v>309</v>
      </c>
      <c r="C27" t="str">
        <f t="shared" si="0"/>
        <v>CP - PROSPECTACION</v>
      </c>
    </row>
    <row r="28" spans="1:3">
      <c r="A28" t="s">
        <v>310</v>
      </c>
      <c r="B28" t="s">
        <v>311</v>
      </c>
      <c r="C28" t="str">
        <f t="shared" si="0"/>
        <v>CS - CTE-SOPORTE</v>
      </c>
    </row>
    <row r="29" spans="1:3">
      <c r="A29" t="s">
        <v>312</v>
      </c>
      <c r="B29" t="s">
        <v>313</v>
      </c>
      <c r="C29" t="str">
        <f t="shared" si="0"/>
        <v>CT -  CLT-INTEROP</v>
      </c>
    </row>
    <row r="30" spans="1:3">
      <c r="A30" t="s">
        <v>6250</v>
      </c>
      <c r="B30" t="s">
        <v>6251</v>
      </c>
      <c r="C30" t="str">
        <f t="shared" si="0"/>
        <v>CU - CLT. CUST SUCC</v>
      </c>
    </row>
    <row r="31" spans="1:3">
      <c r="A31" t="s">
        <v>314</v>
      </c>
      <c r="B31" t="s">
        <v>315</v>
      </c>
      <c r="C31" t="str">
        <f t="shared" si="0"/>
        <v>CV - Para Venta</v>
      </c>
    </row>
    <row r="32" spans="1:3">
      <c r="A32" t="s">
        <v>6252</v>
      </c>
      <c r="B32" t="s">
        <v>6253</v>
      </c>
      <c r="C32" t="str">
        <f t="shared" si="0"/>
        <v>CW - COMPE SWAT</v>
      </c>
    </row>
    <row r="33" spans="1:3">
      <c r="A33" t="s">
        <v>6058</v>
      </c>
      <c r="B33" t="s">
        <v>6254</v>
      </c>
      <c r="C33" t="str">
        <f t="shared" si="0"/>
        <v>CX - TPO CAPEX</v>
      </c>
    </row>
    <row r="34" spans="1:3">
      <c r="A34" t="s">
        <v>316</v>
      </c>
      <c r="B34" t="s">
        <v>317</v>
      </c>
      <c r="C34" t="str">
        <f t="shared" si="0"/>
        <v>DE - DESARROLLO</v>
      </c>
    </row>
    <row r="35" spans="1:3">
      <c r="A35" t="s">
        <v>318</v>
      </c>
      <c r="B35" t="s">
        <v>5148</v>
      </c>
      <c r="C35" t="str">
        <f t="shared" si="0"/>
        <v>DG - TIPO TAREA DC</v>
      </c>
    </row>
    <row r="36" spans="1:3">
      <c r="A36" t="s">
        <v>6255</v>
      </c>
      <c r="B36" t="s">
        <v>6256</v>
      </c>
      <c r="C36" t="str">
        <f t="shared" si="0"/>
        <v>DT - Doc Transicion</v>
      </c>
    </row>
    <row r="37" spans="1:3">
      <c r="A37" t="s">
        <v>319</v>
      </c>
      <c r="B37" t="s">
        <v>320</v>
      </c>
      <c r="C37" t="str">
        <f t="shared" ref="C37:C68" si="1">_xlfn.TEXTJOIN(" - ",TRUE,A37:B37)</f>
        <v>EF - SPRINT FARMACIA</v>
      </c>
    </row>
    <row r="38" spans="1:3">
      <c r="A38" t="s">
        <v>6257</v>
      </c>
      <c r="B38" t="s">
        <v>6258</v>
      </c>
      <c r="C38" t="str">
        <f t="shared" si="1"/>
        <v>EP - Esc.pruebas</v>
      </c>
    </row>
    <row r="39" spans="1:3">
      <c r="A39" t="s">
        <v>6780</v>
      </c>
      <c r="B39" t="s">
        <v>6781</v>
      </c>
      <c r="C39" t="str">
        <f t="shared" si="1"/>
        <v>EQ - EQUIPOS BNCR</v>
      </c>
    </row>
    <row r="40" spans="1:3">
      <c r="A40" t="s">
        <v>5587</v>
      </c>
      <c r="B40" t="s">
        <v>5588</v>
      </c>
      <c r="C40" t="str">
        <f t="shared" si="1"/>
        <v>ES - ESTUDIO</v>
      </c>
    </row>
    <row r="41" spans="1:3">
      <c r="A41" t="s">
        <v>321</v>
      </c>
      <c r="B41" t="s">
        <v>322</v>
      </c>
      <c r="C41" t="str">
        <f t="shared" si="1"/>
        <v>ET - ENTREGABLE</v>
      </c>
    </row>
    <row r="42" spans="1:3">
      <c r="A42" t="s">
        <v>323</v>
      </c>
      <c r="B42" t="s">
        <v>324</v>
      </c>
      <c r="C42" t="str">
        <f t="shared" si="1"/>
        <v>FC - FACTURABLE</v>
      </c>
    </row>
    <row r="43" spans="1:3">
      <c r="A43" t="s">
        <v>325</v>
      </c>
      <c r="B43" t="s">
        <v>326</v>
      </c>
      <c r="C43" t="str">
        <f t="shared" si="1"/>
        <v>FO - Folio Ticket</v>
      </c>
    </row>
    <row r="44" spans="1:3">
      <c r="A44" t="s">
        <v>6259</v>
      </c>
      <c r="B44" t="s">
        <v>6260</v>
      </c>
      <c r="C44" t="str">
        <f t="shared" si="1"/>
        <v>GR - GRADUACIÓN</v>
      </c>
    </row>
    <row r="45" spans="1:3">
      <c r="A45" t="s">
        <v>327</v>
      </c>
      <c r="B45" t="s">
        <v>5589</v>
      </c>
      <c r="C45" t="str">
        <f t="shared" si="1"/>
        <v>HI - Horas Infra-ICE</v>
      </c>
    </row>
    <row r="46" spans="1:3">
      <c r="A46" t="s">
        <v>6701</v>
      </c>
      <c r="B46" t="s">
        <v>6702</v>
      </c>
      <c r="C46" t="str">
        <f t="shared" si="1"/>
        <v>HU - HistoriaUsuario</v>
      </c>
    </row>
    <row r="47" spans="1:3">
      <c r="A47" t="s">
        <v>3982</v>
      </c>
      <c r="B47" t="s">
        <v>3983</v>
      </c>
      <c r="C47" t="str">
        <f t="shared" si="1"/>
        <v>I1 - SPRINT CEMP</v>
      </c>
    </row>
    <row r="48" spans="1:3">
      <c r="A48" t="s">
        <v>3984</v>
      </c>
      <c r="B48" t="s">
        <v>3985</v>
      </c>
      <c r="C48" t="str">
        <f t="shared" si="1"/>
        <v>I2 - SPRINT PTI</v>
      </c>
    </row>
    <row r="49" spans="1:3">
      <c r="A49" t="s">
        <v>3986</v>
      </c>
      <c r="B49" t="s">
        <v>3987</v>
      </c>
      <c r="C49" t="str">
        <f t="shared" si="1"/>
        <v>I3 - SPRINT FACTO</v>
      </c>
    </row>
    <row r="50" spans="1:3">
      <c r="A50" t="s">
        <v>328</v>
      </c>
      <c r="B50" t="s">
        <v>329</v>
      </c>
      <c r="C50" t="str">
        <f t="shared" si="1"/>
        <v>IC - ICE-OT</v>
      </c>
    </row>
    <row r="51" spans="1:3">
      <c r="A51" t="s">
        <v>330</v>
      </c>
      <c r="B51" t="s">
        <v>331</v>
      </c>
      <c r="C51" t="str">
        <f t="shared" si="1"/>
        <v>ID - TPO-INC-PR-RL</v>
      </c>
    </row>
    <row r="52" spans="1:3">
      <c r="A52" t="s">
        <v>332</v>
      </c>
      <c r="B52" t="s">
        <v>229</v>
      </c>
      <c r="C52" t="str">
        <f t="shared" si="1"/>
        <v>IE - Infraestructura</v>
      </c>
    </row>
    <row r="53" spans="1:3">
      <c r="A53" t="s">
        <v>333</v>
      </c>
      <c r="B53" t="s">
        <v>5149</v>
      </c>
      <c r="C53" t="str">
        <f t="shared" si="1"/>
        <v>IN - INCIDENT MGMT.</v>
      </c>
    </row>
    <row r="54" spans="1:3">
      <c r="A54" t="s">
        <v>334</v>
      </c>
      <c r="B54" t="s">
        <v>335</v>
      </c>
      <c r="C54" t="str">
        <f t="shared" si="1"/>
        <v>IP - INCAPACIDAD</v>
      </c>
    </row>
    <row r="55" spans="1:3">
      <c r="A55" t="s">
        <v>336</v>
      </c>
      <c r="B55" t="s">
        <v>337</v>
      </c>
      <c r="C55" t="str">
        <f t="shared" si="1"/>
        <v>IS - Incidencia-SIF</v>
      </c>
    </row>
    <row r="56" spans="1:3">
      <c r="A56" t="s">
        <v>6575</v>
      </c>
      <c r="B56" t="s">
        <v>6285</v>
      </c>
      <c r="C56" t="str">
        <f t="shared" si="1"/>
        <v>IT - INTEGRACIONES</v>
      </c>
    </row>
    <row r="57" spans="1:3">
      <c r="A57" t="s">
        <v>338</v>
      </c>
      <c r="B57" t="s">
        <v>339</v>
      </c>
      <c r="C57" t="str">
        <f t="shared" si="1"/>
        <v>JI - #  JIRA</v>
      </c>
    </row>
    <row r="58" spans="1:3">
      <c r="A58" t="s">
        <v>340</v>
      </c>
      <c r="B58" t="s">
        <v>6261</v>
      </c>
      <c r="C58" t="str">
        <f t="shared" si="1"/>
        <v>LV - LICENCIAS VARIA</v>
      </c>
    </row>
    <row r="59" spans="1:3">
      <c r="A59" t="s">
        <v>7029</v>
      </c>
      <c r="B59" t="s">
        <v>7030</v>
      </c>
      <c r="C59" t="str">
        <f t="shared" si="1"/>
        <v>MC - RQ MEJ.CON-SWAT</v>
      </c>
    </row>
    <row r="60" spans="1:3">
      <c r="A60" t="s">
        <v>6576</v>
      </c>
      <c r="B60" t="s">
        <v>6577</v>
      </c>
      <c r="C60" t="str">
        <f t="shared" si="1"/>
        <v>MN - MIGRACIÓN NUBE</v>
      </c>
    </row>
    <row r="61" spans="1:3">
      <c r="A61" t="s">
        <v>7031</v>
      </c>
      <c r="B61" t="s">
        <v>7032</v>
      </c>
      <c r="C61" t="str">
        <f t="shared" si="1"/>
        <v>Mi - RQ DGME</v>
      </c>
    </row>
    <row r="62" spans="1:3">
      <c r="A62" t="s">
        <v>341</v>
      </c>
      <c r="B62" t="s">
        <v>342</v>
      </c>
      <c r="C62" t="str">
        <f t="shared" si="1"/>
        <v>NL - NO LABORABLE</v>
      </c>
    </row>
    <row r="63" spans="1:3">
      <c r="A63" t="s">
        <v>5590</v>
      </c>
      <c r="B63" t="s">
        <v>5591</v>
      </c>
      <c r="C63" t="str">
        <f t="shared" si="1"/>
        <v>NO - TD-N.OPORT</v>
      </c>
    </row>
    <row r="64" spans="1:3">
      <c r="A64" t="s">
        <v>5150</v>
      </c>
      <c r="B64" t="s">
        <v>5151</v>
      </c>
      <c r="C64" t="str">
        <f t="shared" si="1"/>
        <v>O5 - OB5-QA</v>
      </c>
    </row>
    <row r="65" spans="1:3">
      <c r="A65" t="s">
        <v>5152</v>
      </c>
      <c r="B65" t="s">
        <v>5153</v>
      </c>
      <c r="C65" t="str">
        <f t="shared" si="1"/>
        <v>OQ - OBJ-QA</v>
      </c>
    </row>
    <row r="66" spans="1:3">
      <c r="A66" t="s">
        <v>6262</v>
      </c>
      <c r="B66" t="s">
        <v>6263</v>
      </c>
      <c r="C66" t="str">
        <f t="shared" si="1"/>
        <v>OS - OPORT SWAT</v>
      </c>
    </row>
    <row r="67" spans="1:3">
      <c r="A67" t="s">
        <v>6073</v>
      </c>
      <c r="B67" t="s">
        <v>6264</v>
      </c>
      <c r="C67" t="str">
        <f t="shared" si="1"/>
        <v>OX - TPO OPEX</v>
      </c>
    </row>
    <row r="68" spans="1:3">
      <c r="A68" t="s">
        <v>7033</v>
      </c>
      <c r="B68" t="s">
        <v>7034</v>
      </c>
      <c r="C68" t="str">
        <f t="shared" si="1"/>
        <v>PC - RQ PORTAL</v>
      </c>
    </row>
    <row r="69" spans="1:3">
      <c r="A69" t="s">
        <v>343</v>
      </c>
      <c r="B69" t="s">
        <v>344</v>
      </c>
      <c r="C69" t="str">
        <f t="shared" ref="C69:C100" si="2">_xlfn.TEXTJOIN(" - ",TRUE,A69:B69)</f>
        <v>PR - Proyectos de BI</v>
      </c>
    </row>
    <row r="70" spans="1:3">
      <c r="A70" t="s">
        <v>345</v>
      </c>
      <c r="B70" t="s">
        <v>346</v>
      </c>
      <c r="C70" t="str">
        <f t="shared" si="2"/>
        <v>PS - Proyectos SOIN</v>
      </c>
    </row>
    <row r="71" spans="1:3">
      <c r="A71" t="s">
        <v>347</v>
      </c>
      <c r="B71" t="s">
        <v>348</v>
      </c>
      <c r="C71" t="str">
        <f t="shared" si="2"/>
        <v>PV - PROVEEDOR</v>
      </c>
    </row>
    <row r="72" spans="1:3">
      <c r="A72" t="s">
        <v>6782</v>
      </c>
      <c r="B72" t="s">
        <v>6783</v>
      </c>
      <c r="C72" t="str">
        <f t="shared" si="2"/>
        <v>R1 - RM LIB</v>
      </c>
    </row>
    <row r="73" spans="1:3">
      <c r="A73" t="s">
        <v>6784</v>
      </c>
      <c r="B73" t="s">
        <v>6785</v>
      </c>
      <c r="C73" t="str">
        <f t="shared" si="2"/>
        <v>R2 - RM INF</v>
      </c>
    </row>
    <row r="74" spans="1:3">
      <c r="A74" t="s">
        <v>6786</v>
      </c>
      <c r="B74" t="s">
        <v>6787</v>
      </c>
      <c r="C74" t="str">
        <f t="shared" si="2"/>
        <v>R3 - RM BDS</v>
      </c>
    </row>
    <row r="75" spans="1:3">
      <c r="A75" t="s">
        <v>6788</v>
      </c>
      <c r="B75" t="s">
        <v>6789</v>
      </c>
      <c r="C75" t="str">
        <f t="shared" si="2"/>
        <v>R4 - RM SEG</v>
      </c>
    </row>
    <row r="76" spans="1:3">
      <c r="A76" t="s">
        <v>6790</v>
      </c>
      <c r="B76" t="s">
        <v>6791</v>
      </c>
      <c r="C76" t="str">
        <f t="shared" si="2"/>
        <v>R5 - RM AUT</v>
      </c>
    </row>
    <row r="77" spans="1:3">
      <c r="A77" t="s">
        <v>6792</v>
      </c>
      <c r="B77" t="s">
        <v>6793</v>
      </c>
      <c r="C77" t="str">
        <f t="shared" si="2"/>
        <v>R6 - RM INC</v>
      </c>
    </row>
    <row r="78" spans="1:3">
      <c r="A78" t="s">
        <v>6794</v>
      </c>
      <c r="B78" t="s">
        <v>6795</v>
      </c>
      <c r="C78" t="str">
        <f t="shared" si="2"/>
        <v>R7 - RM SOP</v>
      </c>
    </row>
    <row r="79" spans="1:3">
      <c r="A79" t="s">
        <v>6796</v>
      </c>
      <c r="B79" t="s">
        <v>6797</v>
      </c>
      <c r="C79" t="str">
        <f t="shared" si="2"/>
        <v>R8 - RM DOC</v>
      </c>
    </row>
    <row r="80" spans="1:3">
      <c r="A80" t="s">
        <v>7035</v>
      </c>
      <c r="B80" t="s">
        <v>7036</v>
      </c>
      <c r="C80" t="str">
        <f t="shared" si="2"/>
        <v>RA - RQ INTEL ARTIF</v>
      </c>
    </row>
    <row r="81" spans="1:3">
      <c r="A81" t="s">
        <v>7416</v>
      </c>
      <c r="B81" t="s">
        <v>7417</v>
      </c>
      <c r="C81" t="str">
        <f t="shared" si="2"/>
        <v>RC - RQ DICOMIZER</v>
      </c>
    </row>
    <row r="82" spans="1:3">
      <c r="A82" t="s">
        <v>5154</v>
      </c>
      <c r="B82" t="s">
        <v>4908</v>
      </c>
      <c r="C82" t="str">
        <f t="shared" si="2"/>
        <v>RD - REDIMED</v>
      </c>
    </row>
    <row r="83" spans="1:3">
      <c r="A83" t="s">
        <v>7037</v>
      </c>
      <c r="B83" t="s">
        <v>7038</v>
      </c>
      <c r="C83" t="str">
        <f t="shared" si="2"/>
        <v>RE - RQ ERP MSJ</v>
      </c>
    </row>
    <row r="84" spans="1:3">
      <c r="A84" t="s">
        <v>349</v>
      </c>
      <c r="B84" t="s">
        <v>350</v>
      </c>
      <c r="C84" t="str">
        <f t="shared" si="2"/>
        <v>RF - RFC</v>
      </c>
    </row>
    <row r="85" spans="1:3">
      <c r="A85" t="s">
        <v>7039</v>
      </c>
      <c r="B85" t="s">
        <v>7040</v>
      </c>
      <c r="C85" t="str">
        <f t="shared" si="2"/>
        <v>RI - RQ  ERP KEY/INS</v>
      </c>
    </row>
    <row r="86" spans="1:3">
      <c r="A86" t="s">
        <v>351</v>
      </c>
      <c r="B86" t="s">
        <v>352</v>
      </c>
      <c r="C86" t="str">
        <f t="shared" si="2"/>
        <v>RL - Release</v>
      </c>
    </row>
    <row r="87" spans="1:3">
      <c r="A87" t="s">
        <v>6578</v>
      </c>
      <c r="B87" t="s">
        <v>6579</v>
      </c>
      <c r="C87" t="str">
        <f t="shared" si="2"/>
        <v>RM - Sop Var RM</v>
      </c>
    </row>
    <row r="88" spans="1:3">
      <c r="A88" t="s">
        <v>7041</v>
      </c>
      <c r="B88" t="s">
        <v>7042</v>
      </c>
      <c r="C88" t="str">
        <f t="shared" si="2"/>
        <v>RN - RQ INSPECCIONES</v>
      </c>
    </row>
    <row r="89" spans="1:3">
      <c r="A89" t="s">
        <v>353</v>
      </c>
      <c r="B89" t="s">
        <v>354</v>
      </c>
      <c r="C89" t="str">
        <f t="shared" si="2"/>
        <v>RP - REPROCESO</v>
      </c>
    </row>
    <row r="90" spans="1:3">
      <c r="A90" t="s">
        <v>355</v>
      </c>
      <c r="B90" t="s">
        <v>356</v>
      </c>
      <c r="C90" t="str">
        <f t="shared" si="2"/>
        <v>RQ - Requerimiento</v>
      </c>
    </row>
    <row r="91" spans="1:3">
      <c r="A91" t="s">
        <v>7043</v>
      </c>
      <c r="B91" t="s">
        <v>7044</v>
      </c>
      <c r="C91" t="str">
        <f t="shared" si="2"/>
        <v>RR - RQ Receta Digit</v>
      </c>
    </row>
    <row r="92" spans="1:3">
      <c r="A92" t="s">
        <v>6265</v>
      </c>
      <c r="B92" t="s">
        <v>6266</v>
      </c>
      <c r="C92" t="str">
        <f t="shared" si="2"/>
        <v>RT - R.Focalizadas</v>
      </c>
    </row>
    <row r="93" spans="1:3">
      <c r="A93" t="s">
        <v>7045</v>
      </c>
      <c r="B93" t="s">
        <v>7046</v>
      </c>
      <c r="C93" t="str">
        <f t="shared" si="2"/>
        <v>RW - RQ WHITE LABEL</v>
      </c>
    </row>
    <row r="94" spans="1:3">
      <c r="A94" t="s">
        <v>357</v>
      </c>
      <c r="B94" t="s">
        <v>358</v>
      </c>
      <c r="C94" t="str">
        <f t="shared" si="2"/>
        <v>S2 - SPRINT REC.DIG</v>
      </c>
    </row>
    <row r="95" spans="1:3">
      <c r="A95" t="s">
        <v>359</v>
      </c>
      <c r="B95" t="s">
        <v>360</v>
      </c>
      <c r="C95" t="str">
        <f t="shared" si="2"/>
        <v>S3 - SPRINT TAPP</v>
      </c>
    </row>
    <row r="96" spans="1:3">
      <c r="A96" t="s">
        <v>361</v>
      </c>
      <c r="B96" t="s">
        <v>362</v>
      </c>
      <c r="C96" t="str">
        <f t="shared" si="2"/>
        <v>S4 - SPRINT TEDX</v>
      </c>
    </row>
    <row r="97" spans="1:3">
      <c r="A97" t="s">
        <v>3903</v>
      </c>
      <c r="B97" t="s">
        <v>3904</v>
      </c>
      <c r="C97" t="str">
        <f t="shared" si="2"/>
        <v>S5 - SPRINT DISTRICT</v>
      </c>
    </row>
    <row r="98" spans="1:3">
      <c r="A98" t="s">
        <v>3988</v>
      </c>
      <c r="B98" t="s">
        <v>5155</v>
      </c>
      <c r="C98" t="str">
        <f t="shared" si="2"/>
        <v>S6 - TramiteYa</v>
      </c>
    </row>
    <row r="99" spans="1:3">
      <c r="A99" t="s">
        <v>4081</v>
      </c>
      <c r="B99" t="s">
        <v>4082</v>
      </c>
      <c r="C99" t="str">
        <f t="shared" si="2"/>
        <v>S7 - SPRINT FITO</v>
      </c>
    </row>
    <row r="100" spans="1:3">
      <c r="A100" t="s">
        <v>363</v>
      </c>
      <c r="B100" t="s">
        <v>364</v>
      </c>
      <c r="C100" t="str">
        <f t="shared" si="2"/>
        <v>SA - SPRINT CITAS</v>
      </c>
    </row>
    <row r="101" spans="1:3">
      <c r="A101" t="s">
        <v>6267</v>
      </c>
      <c r="B101" t="s">
        <v>6268</v>
      </c>
      <c r="C101" t="str">
        <f t="shared" ref="C101:C118" si="3">_xlfn.TEXTJOIN(" - ",TRUE,A101:B101)</f>
        <v>SC - SCRUM</v>
      </c>
    </row>
    <row r="102" spans="1:3">
      <c r="A102" t="s">
        <v>365</v>
      </c>
      <c r="B102" t="s">
        <v>366</v>
      </c>
      <c r="C102" t="str">
        <f t="shared" si="3"/>
        <v>SE - Severidad</v>
      </c>
    </row>
    <row r="103" spans="1:3">
      <c r="A103" t="s">
        <v>367</v>
      </c>
      <c r="B103" t="s">
        <v>368</v>
      </c>
      <c r="C103" t="str">
        <f t="shared" si="3"/>
        <v>SL - SPRINT-TSA</v>
      </c>
    </row>
    <row r="104" spans="1:3">
      <c r="A104" t="s">
        <v>369</v>
      </c>
      <c r="B104" t="s">
        <v>370</v>
      </c>
      <c r="C104" t="str">
        <f t="shared" si="3"/>
        <v>SP - SPRINT</v>
      </c>
    </row>
    <row r="105" spans="1:3">
      <c r="A105" t="s">
        <v>371</v>
      </c>
      <c r="B105" t="s">
        <v>5156</v>
      </c>
      <c r="C105" t="str">
        <f t="shared" si="3"/>
        <v>SS - REQ. FULFILMEN:</v>
      </c>
    </row>
    <row r="106" spans="1:3">
      <c r="A106" t="s">
        <v>6269</v>
      </c>
      <c r="B106" t="s">
        <v>6270</v>
      </c>
      <c r="C106" t="str">
        <f t="shared" si="3"/>
        <v>SW - PROYECTOS SWAT</v>
      </c>
    </row>
    <row r="107" spans="1:3">
      <c r="A107" t="s">
        <v>372</v>
      </c>
      <c r="B107" t="s">
        <v>373</v>
      </c>
      <c r="C107" t="str">
        <f t="shared" si="3"/>
        <v>TC - Plan TC</v>
      </c>
    </row>
    <row r="108" spans="1:3">
      <c r="A108" t="s">
        <v>5516</v>
      </c>
      <c r="B108" t="s">
        <v>5592</v>
      </c>
      <c r="C108" t="str">
        <f t="shared" si="3"/>
        <v>TD - CTES-TD</v>
      </c>
    </row>
    <row r="109" spans="1:3">
      <c r="A109" t="s">
        <v>6271</v>
      </c>
      <c r="B109" t="s">
        <v>6272</v>
      </c>
      <c r="C109" t="str">
        <f t="shared" si="3"/>
        <v>TF - TIPO FACTURA</v>
      </c>
    </row>
    <row r="110" spans="1:3">
      <c r="A110" t="s">
        <v>374</v>
      </c>
      <c r="B110" t="s">
        <v>375</v>
      </c>
      <c r="C110" t="str">
        <f t="shared" si="3"/>
        <v>TK -  No. Ticket</v>
      </c>
    </row>
    <row r="111" spans="1:3">
      <c r="A111" t="s">
        <v>376</v>
      </c>
      <c r="B111" t="s">
        <v>377</v>
      </c>
      <c r="C111" t="str">
        <f t="shared" si="3"/>
        <v>TO - TPO de TC</v>
      </c>
    </row>
    <row r="112" spans="1:3">
      <c r="A112" t="s">
        <v>378</v>
      </c>
      <c r="B112" t="s">
        <v>379</v>
      </c>
      <c r="C112" t="str">
        <f t="shared" si="3"/>
        <v>TP - TPO</v>
      </c>
    </row>
    <row r="113" spans="1:3">
      <c r="A113" t="s">
        <v>5693</v>
      </c>
      <c r="B113" t="s">
        <v>5694</v>
      </c>
      <c r="C113" t="str">
        <f t="shared" si="3"/>
        <v>TR - TRANSVERSAL</v>
      </c>
    </row>
    <row r="114" spans="1:3">
      <c r="A114" t="s">
        <v>7047</v>
      </c>
      <c r="B114" t="s">
        <v>7048</v>
      </c>
      <c r="C114" t="str">
        <f t="shared" si="3"/>
        <v>TY - RQ Tramitologia</v>
      </c>
    </row>
    <row r="115" spans="1:3">
      <c r="A115" t="s">
        <v>380</v>
      </c>
      <c r="B115" t="s">
        <v>381</v>
      </c>
      <c r="C115" t="str">
        <f t="shared" si="3"/>
        <v>VT - CLIENTE VTA</v>
      </c>
    </row>
    <row r="116" spans="1:3">
      <c r="A116" t="s">
        <v>5593</v>
      </c>
      <c r="B116" t="s">
        <v>5594</v>
      </c>
      <c r="C116" t="str">
        <f t="shared" si="3"/>
        <v>WL - WHITE LABEL</v>
      </c>
    </row>
    <row r="117" spans="1:3">
      <c r="A117" t="s">
        <v>7418</v>
      </c>
      <c r="B117" t="s">
        <v>7419</v>
      </c>
      <c r="C117" t="str">
        <f t="shared" si="3"/>
        <v>WS - RQ SWSOIN</v>
      </c>
    </row>
    <row r="118" spans="1:3">
      <c r="A118" t="s">
        <v>3905</v>
      </c>
      <c r="B118" t="s">
        <v>3906</v>
      </c>
      <c r="C118" t="str">
        <f t="shared" si="3"/>
        <v>cc - CAPACITACIÓN</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DA326-1EF8-4C46-898D-4A28C75A6E05}">
  <sheetPr codeName="Hoja6"/>
  <dimension ref="A1:D289"/>
  <sheetViews>
    <sheetView workbookViewId="0"/>
  </sheetViews>
  <sheetFormatPr defaultColWidth="11.5703125" defaultRowHeight="15"/>
  <cols>
    <col min="1" max="1" width="26.140625" bestFit="1" customWidth="1"/>
    <col min="2" max="2" width="81.140625" bestFit="1" customWidth="1"/>
    <col min="3" max="3" width="15" bestFit="1" customWidth="1"/>
    <col min="4" max="4" width="15.5703125" bestFit="1" customWidth="1"/>
  </cols>
  <sheetData>
    <row r="1" spans="1:4">
      <c r="A1" t="s">
        <v>20</v>
      </c>
    </row>
    <row r="2" spans="1:4">
      <c r="A2" t="s">
        <v>24</v>
      </c>
    </row>
    <row r="4" spans="1:4">
      <c r="A4" t="s">
        <v>382</v>
      </c>
      <c r="B4" t="s">
        <v>383</v>
      </c>
      <c r="C4" t="s">
        <v>384</v>
      </c>
      <c r="D4" t="s">
        <v>385</v>
      </c>
    </row>
    <row r="5" spans="1:4">
      <c r="A5" t="s">
        <v>7435</v>
      </c>
      <c r="B5" t="s">
        <v>7436</v>
      </c>
      <c r="C5" s="4">
        <v>45747</v>
      </c>
      <c r="D5" s="4">
        <v>46111</v>
      </c>
    </row>
    <row r="6" spans="1:4">
      <c r="A6" t="s">
        <v>5165</v>
      </c>
      <c r="B6" t="s">
        <v>5166</v>
      </c>
      <c r="C6" s="4">
        <v>42675</v>
      </c>
      <c r="D6" s="4">
        <v>44135</v>
      </c>
    </row>
    <row r="7" spans="1:4">
      <c r="A7" t="s">
        <v>4970</v>
      </c>
      <c r="B7" t="s">
        <v>4971</v>
      </c>
      <c r="C7" s="4">
        <v>43748</v>
      </c>
      <c r="D7" s="4">
        <v>44113</v>
      </c>
    </row>
    <row r="8" spans="1:4">
      <c r="A8" t="s">
        <v>5183</v>
      </c>
      <c r="B8" t="s">
        <v>4820</v>
      </c>
      <c r="C8" s="4">
        <v>44025</v>
      </c>
      <c r="D8" s="4">
        <v>44389</v>
      </c>
    </row>
    <row r="9" spans="1:4">
      <c r="A9" t="s">
        <v>5160</v>
      </c>
      <c r="B9" t="s">
        <v>5161</v>
      </c>
      <c r="C9" s="4">
        <v>43731</v>
      </c>
      <c r="D9" s="4">
        <v>45191</v>
      </c>
    </row>
    <row r="10" spans="1:4">
      <c r="A10" t="s">
        <v>5599</v>
      </c>
      <c r="B10" t="s">
        <v>5180</v>
      </c>
      <c r="C10" s="4">
        <v>43475</v>
      </c>
      <c r="D10" s="4">
        <v>44850</v>
      </c>
    </row>
    <row r="11" spans="1:4">
      <c r="A11" t="s">
        <v>5190</v>
      </c>
      <c r="B11" t="s">
        <v>5191</v>
      </c>
      <c r="C11" s="4">
        <v>44084</v>
      </c>
      <c r="D11" s="4">
        <v>44418</v>
      </c>
    </row>
    <row r="12" spans="1:4">
      <c r="A12" t="s">
        <v>5192</v>
      </c>
      <c r="B12" t="s">
        <v>5193</v>
      </c>
      <c r="C12" s="4">
        <v>43901</v>
      </c>
      <c r="D12" s="4">
        <v>44288</v>
      </c>
    </row>
    <row r="13" spans="1:4">
      <c r="A13" t="s">
        <v>5178</v>
      </c>
      <c r="B13" t="s">
        <v>5179</v>
      </c>
      <c r="C13" s="4">
        <v>43958</v>
      </c>
      <c r="D13" s="4">
        <v>44080</v>
      </c>
    </row>
    <row r="14" spans="1:4">
      <c r="A14" t="s">
        <v>3990</v>
      </c>
      <c r="B14" t="s">
        <v>3991</v>
      </c>
      <c r="C14" s="4">
        <v>43581</v>
      </c>
      <c r="D14" s="4">
        <v>43946</v>
      </c>
    </row>
    <row r="15" spans="1:4">
      <c r="A15" t="s">
        <v>422</v>
      </c>
      <c r="B15" t="s">
        <v>423</v>
      </c>
      <c r="C15" s="4">
        <v>42156</v>
      </c>
      <c r="D15" s="4"/>
    </row>
    <row r="16" spans="1:4">
      <c r="A16" t="s">
        <v>410</v>
      </c>
      <c r="B16" t="s">
        <v>411</v>
      </c>
      <c r="C16" s="4">
        <v>41737</v>
      </c>
      <c r="D16" s="4">
        <v>45200</v>
      </c>
    </row>
    <row r="17" spans="1:4">
      <c r="A17" t="s">
        <v>442</v>
      </c>
      <c r="B17" t="s">
        <v>443</v>
      </c>
      <c r="C17" s="4">
        <v>41275</v>
      </c>
      <c r="D17" s="4">
        <v>43465</v>
      </c>
    </row>
    <row r="18" spans="1:4">
      <c r="A18" t="s">
        <v>414</v>
      </c>
      <c r="B18" t="s">
        <v>415</v>
      </c>
      <c r="C18" s="4">
        <v>42076</v>
      </c>
      <c r="D18" s="4">
        <v>42416</v>
      </c>
    </row>
    <row r="19" spans="1:4">
      <c r="A19" t="s">
        <v>393</v>
      </c>
      <c r="B19" t="s">
        <v>394</v>
      </c>
      <c r="C19" s="4">
        <v>41568</v>
      </c>
      <c r="D19" s="4">
        <v>41932</v>
      </c>
    </row>
    <row r="20" spans="1:4">
      <c r="A20" t="s">
        <v>395</v>
      </c>
      <c r="B20" t="s">
        <v>396</v>
      </c>
      <c r="C20" s="4">
        <v>41576</v>
      </c>
      <c r="D20" s="4">
        <v>45200</v>
      </c>
    </row>
    <row r="21" spans="1:4">
      <c r="A21" t="s">
        <v>424</v>
      </c>
      <c r="B21" t="s">
        <v>425</v>
      </c>
      <c r="C21" s="4">
        <v>42156</v>
      </c>
      <c r="D21" s="4"/>
    </row>
    <row r="22" spans="1:4">
      <c r="A22" t="s">
        <v>408</v>
      </c>
      <c r="B22" t="s">
        <v>409</v>
      </c>
      <c r="C22" s="4">
        <v>42017</v>
      </c>
      <c r="D22" s="4"/>
    </row>
    <row r="23" spans="1:4">
      <c r="A23" t="s">
        <v>436</v>
      </c>
      <c r="B23" t="s">
        <v>437</v>
      </c>
      <c r="C23" s="4">
        <v>42010</v>
      </c>
      <c r="D23" s="4">
        <v>44561</v>
      </c>
    </row>
    <row r="24" spans="1:4">
      <c r="A24" t="s">
        <v>428</v>
      </c>
      <c r="B24" t="s">
        <v>429</v>
      </c>
      <c r="C24" s="4">
        <v>42186</v>
      </c>
      <c r="D24" s="4"/>
    </row>
    <row r="25" spans="1:4">
      <c r="A25" t="s">
        <v>426</v>
      </c>
      <c r="B25" t="s">
        <v>427</v>
      </c>
      <c r="C25" s="4">
        <v>42051</v>
      </c>
      <c r="D25" s="4">
        <v>42416</v>
      </c>
    </row>
    <row r="26" spans="1:4">
      <c r="A26" t="s">
        <v>420</v>
      </c>
      <c r="B26" t="s">
        <v>421</v>
      </c>
      <c r="C26" s="4">
        <v>42156</v>
      </c>
      <c r="D26" s="4"/>
    </row>
    <row r="27" spans="1:4">
      <c r="A27" t="s">
        <v>432</v>
      </c>
      <c r="B27" t="s">
        <v>433</v>
      </c>
      <c r="C27" s="4">
        <v>42401</v>
      </c>
      <c r="D27" s="4"/>
    </row>
    <row r="28" spans="1:4">
      <c r="A28" t="s">
        <v>4084</v>
      </c>
      <c r="B28" t="s">
        <v>4085</v>
      </c>
      <c r="C28" s="4">
        <v>42583</v>
      </c>
      <c r="D28" s="4"/>
    </row>
    <row r="29" spans="1:4">
      <c r="A29" t="s">
        <v>444</v>
      </c>
      <c r="B29" t="s">
        <v>445</v>
      </c>
      <c r="C29" s="4">
        <v>42705</v>
      </c>
      <c r="D29" s="4">
        <v>44726</v>
      </c>
    </row>
    <row r="30" spans="1:4">
      <c r="A30" t="s">
        <v>5163</v>
      </c>
      <c r="B30" t="s">
        <v>5164</v>
      </c>
      <c r="C30" s="4">
        <v>43875</v>
      </c>
      <c r="D30" s="4">
        <v>44240</v>
      </c>
    </row>
    <row r="31" spans="1:4">
      <c r="A31" t="s">
        <v>446</v>
      </c>
      <c r="B31" t="s">
        <v>447</v>
      </c>
      <c r="C31" s="4">
        <v>42688</v>
      </c>
      <c r="D31" s="4">
        <v>44579</v>
      </c>
    </row>
    <row r="32" spans="1:4">
      <c r="A32" t="s">
        <v>508</v>
      </c>
      <c r="B32" t="s">
        <v>509</v>
      </c>
      <c r="C32" s="4">
        <v>42955</v>
      </c>
      <c r="D32" s="4">
        <v>43654</v>
      </c>
    </row>
    <row r="33" spans="1:4">
      <c r="A33" t="s">
        <v>499</v>
      </c>
      <c r="B33" t="s">
        <v>500</v>
      </c>
      <c r="C33" s="4">
        <v>43077</v>
      </c>
      <c r="D33" s="4">
        <v>43806</v>
      </c>
    </row>
    <row r="34" spans="1:4">
      <c r="A34" t="s">
        <v>5597</v>
      </c>
      <c r="B34" t="s">
        <v>4774</v>
      </c>
      <c r="C34" s="4">
        <v>43878</v>
      </c>
      <c r="D34" s="4">
        <v>44420</v>
      </c>
    </row>
    <row r="35" spans="1:4">
      <c r="A35" t="s">
        <v>497</v>
      </c>
      <c r="B35" t="s">
        <v>498</v>
      </c>
      <c r="C35" s="4">
        <v>43068</v>
      </c>
      <c r="D35" s="4"/>
    </row>
    <row r="36" spans="1:4">
      <c r="A36" t="s">
        <v>6316</v>
      </c>
      <c r="B36" t="s">
        <v>5610</v>
      </c>
      <c r="C36" s="4">
        <v>44368</v>
      </c>
      <c r="D36" s="4">
        <v>45140</v>
      </c>
    </row>
    <row r="37" spans="1:4">
      <c r="A37" t="s">
        <v>5601</v>
      </c>
      <c r="B37" t="s">
        <v>5184</v>
      </c>
      <c r="C37" s="4">
        <v>44095</v>
      </c>
      <c r="D37" s="4">
        <v>44832</v>
      </c>
    </row>
    <row r="38" spans="1:4">
      <c r="A38" t="s">
        <v>5601</v>
      </c>
      <c r="B38" t="s">
        <v>6322</v>
      </c>
      <c r="C38" s="4">
        <v>43342</v>
      </c>
      <c r="D38" s="4">
        <v>44830</v>
      </c>
    </row>
    <row r="39" spans="1:4">
      <c r="A39" t="s">
        <v>6320</v>
      </c>
      <c r="B39" t="s">
        <v>6321</v>
      </c>
      <c r="C39" s="4">
        <v>43647</v>
      </c>
      <c r="D39" s="4">
        <v>45046</v>
      </c>
    </row>
    <row r="40" spans="1:4">
      <c r="A40" t="s">
        <v>5624</v>
      </c>
      <c r="B40" t="s">
        <v>5625</v>
      </c>
      <c r="C40" s="4">
        <v>43934</v>
      </c>
      <c r="D40" s="4">
        <v>46112</v>
      </c>
    </row>
    <row r="41" spans="1:4">
      <c r="A41" t="s">
        <v>5595</v>
      </c>
      <c r="B41" t="s">
        <v>5162</v>
      </c>
      <c r="C41" s="4">
        <v>43670</v>
      </c>
      <c r="D41" s="4">
        <v>44817</v>
      </c>
    </row>
    <row r="42" spans="1:4">
      <c r="A42" t="s">
        <v>5173</v>
      </c>
      <c r="B42" t="s">
        <v>5174</v>
      </c>
      <c r="C42" s="4">
        <v>43816</v>
      </c>
      <c r="D42" s="4">
        <v>44181</v>
      </c>
    </row>
    <row r="43" spans="1:4">
      <c r="A43" t="s">
        <v>5059</v>
      </c>
      <c r="B43" t="s">
        <v>5060</v>
      </c>
      <c r="C43" s="4">
        <v>43818</v>
      </c>
      <c r="D43" s="4">
        <v>44548</v>
      </c>
    </row>
    <row r="44" spans="1:4">
      <c r="A44" t="s">
        <v>5596</v>
      </c>
      <c r="B44" t="s">
        <v>6313</v>
      </c>
      <c r="C44" s="4">
        <v>43767</v>
      </c>
      <c r="D44" s="4">
        <v>45253</v>
      </c>
    </row>
    <row r="45" spans="1:4">
      <c r="A45" t="s">
        <v>5598</v>
      </c>
      <c r="B45" t="s">
        <v>5177</v>
      </c>
      <c r="C45" s="4">
        <v>43475</v>
      </c>
      <c r="D45" s="4">
        <v>45233</v>
      </c>
    </row>
    <row r="46" spans="1:4">
      <c r="A46" t="s">
        <v>3992</v>
      </c>
      <c r="B46" t="s">
        <v>3993</v>
      </c>
      <c r="C46" s="4">
        <v>43655</v>
      </c>
      <c r="D46" s="4"/>
    </row>
    <row r="47" spans="1:4">
      <c r="A47" t="s">
        <v>5639</v>
      </c>
      <c r="B47" t="s">
        <v>5640</v>
      </c>
      <c r="C47" s="4">
        <v>43959</v>
      </c>
      <c r="D47" s="4">
        <v>45053</v>
      </c>
    </row>
    <row r="48" spans="1:4">
      <c r="A48" t="s">
        <v>5158</v>
      </c>
      <c r="B48" t="s">
        <v>5159</v>
      </c>
      <c r="C48" s="4">
        <v>43578</v>
      </c>
      <c r="D48" s="4">
        <v>44176</v>
      </c>
    </row>
    <row r="49" spans="1:4">
      <c r="A49" t="s">
        <v>5627</v>
      </c>
      <c r="B49" t="s">
        <v>5628</v>
      </c>
      <c r="C49" s="4">
        <v>44403</v>
      </c>
      <c r="D49" s="4">
        <v>45132</v>
      </c>
    </row>
    <row r="50" spans="1:4">
      <c r="A50" t="s">
        <v>5186</v>
      </c>
      <c r="B50" t="s">
        <v>5187</v>
      </c>
      <c r="C50" s="4">
        <v>44033</v>
      </c>
      <c r="D50" s="4">
        <v>45481</v>
      </c>
    </row>
    <row r="51" spans="1:4">
      <c r="A51" t="s">
        <v>5602</v>
      </c>
      <c r="B51" t="s">
        <v>4956</v>
      </c>
      <c r="C51" s="4">
        <v>44064</v>
      </c>
      <c r="D51" s="4">
        <v>45524</v>
      </c>
    </row>
    <row r="52" spans="1:4">
      <c r="A52" t="s">
        <v>5608</v>
      </c>
      <c r="B52" t="s">
        <v>5609</v>
      </c>
      <c r="C52" s="4">
        <v>44151</v>
      </c>
      <c r="D52" s="4">
        <v>45611</v>
      </c>
    </row>
    <row r="53" spans="1:4">
      <c r="A53" t="s">
        <v>5203</v>
      </c>
      <c r="B53" t="s">
        <v>5204</v>
      </c>
      <c r="C53" s="4">
        <v>43816</v>
      </c>
      <c r="D53" s="4">
        <v>44561</v>
      </c>
    </row>
    <row r="54" spans="1:4">
      <c r="A54" t="s">
        <v>5620</v>
      </c>
      <c r="B54" t="s">
        <v>5621</v>
      </c>
      <c r="C54" s="4">
        <v>44131</v>
      </c>
      <c r="D54" s="4">
        <v>45619</v>
      </c>
    </row>
    <row r="55" spans="1:4">
      <c r="A55" t="s">
        <v>5205</v>
      </c>
      <c r="B55" t="s">
        <v>5206</v>
      </c>
      <c r="C55" s="4">
        <v>44176</v>
      </c>
      <c r="D55" s="4">
        <v>44985</v>
      </c>
    </row>
    <row r="56" spans="1:4">
      <c r="A56" t="s">
        <v>6581</v>
      </c>
      <c r="B56" t="s">
        <v>6314</v>
      </c>
      <c r="C56" s="4">
        <v>44281</v>
      </c>
      <c r="D56" s="4">
        <v>45802</v>
      </c>
    </row>
    <row r="57" spans="1:4">
      <c r="A57" t="s">
        <v>5604</v>
      </c>
      <c r="B57" t="s">
        <v>4960</v>
      </c>
      <c r="C57" s="4">
        <v>44273</v>
      </c>
      <c r="D57" s="4">
        <v>46098</v>
      </c>
    </row>
    <row r="58" spans="1:4">
      <c r="A58" t="s">
        <v>5622</v>
      </c>
      <c r="B58" t="s">
        <v>5623</v>
      </c>
      <c r="C58" s="4">
        <v>44551</v>
      </c>
      <c r="D58" s="4">
        <v>44915</v>
      </c>
    </row>
    <row r="59" spans="1:4">
      <c r="A59" t="s">
        <v>5613</v>
      </c>
      <c r="B59" t="s">
        <v>5383</v>
      </c>
      <c r="C59" s="4">
        <v>44425</v>
      </c>
      <c r="D59" s="4">
        <v>44788</v>
      </c>
    </row>
    <row r="60" spans="1:4">
      <c r="A60" t="s">
        <v>5618</v>
      </c>
      <c r="B60" t="s">
        <v>5619</v>
      </c>
      <c r="C60" s="4">
        <v>44533</v>
      </c>
      <c r="D60" s="4">
        <v>44926</v>
      </c>
    </row>
    <row r="61" spans="1:4">
      <c r="A61" t="s">
        <v>5635</v>
      </c>
      <c r="B61" t="s">
        <v>5636</v>
      </c>
      <c r="C61" s="4">
        <v>44399</v>
      </c>
      <c r="D61" s="4">
        <v>45979</v>
      </c>
    </row>
    <row r="62" spans="1:4">
      <c r="A62" t="s">
        <v>6323</v>
      </c>
      <c r="B62" t="s">
        <v>6324</v>
      </c>
      <c r="C62" s="4">
        <v>44812</v>
      </c>
      <c r="D62" s="4">
        <v>45176</v>
      </c>
    </row>
    <row r="63" spans="1:4">
      <c r="A63" t="s">
        <v>5629</v>
      </c>
      <c r="B63" t="s">
        <v>5630</v>
      </c>
      <c r="C63" s="4">
        <v>44537</v>
      </c>
      <c r="D63" s="4">
        <v>45997</v>
      </c>
    </row>
    <row r="64" spans="1:4">
      <c r="A64" t="s">
        <v>5643</v>
      </c>
      <c r="B64" t="s">
        <v>5644</v>
      </c>
      <c r="C64" s="4">
        <v>44623</v>
      </c>
      <c r="D64" s="4">
        <v>44987</v>
      </c>
    </row>
    <row r="65" spans="1:4">
      <c r="A65" t="s">
        <v>6318</v>
      </c>
      <c r="B65" t="s">
        <v>6319</v>
      </c>
      <c r="C65" s="4">
        <v>44687</v>
      </c>
      <c r="D65" s="4">
        <v>46513</v>
      </c>
    </row>
    <row r="66" spans="1:4">
      <c r="A66" t="s">
        <v>5637</v>
      </c>
      <c r="B66" t="s">
        <v>6582</v>
      </c>
      <c r="C66" s="4">
        <v>44474</v>
      </c>
      <c r="D66" s="4">
        <v>45936</v>
      </c>
    </row>
    <row r="67" spans="1:4">
      <c r="A67" t="s">
        <v>5697</v>
      </c>
      <c r="B67" t="s">
        <v>5698</v>
      </c>
      <c r="C67" s="4">
        <v>44682</v>
      </c>
      <c r="D67" s="4">
        <v>45076</v>
      </c>
    </row>
    <row r="68" spans="1:4">
      <c r="A68" t="s">
        <v>6343</v>
      </c>
      <c r="B68" t="s">
        <v>6344</v>
      </c>
      <c r="C68" s="4">
        <v>44922</v>
      </c>
      <c r="D68" s="4">
        <v>45103</v>
      </c>
    </row>
    <row r="69" spans="1:4">
      <c r="A69" t="s">
        <v>6333</v>
      </c>
      <c r="B69" t="s">
        <v>6334</v>
      </c>
      <c r="C69" s="4">
        <v>44887</v>
      </c>
      <c r="D69" s="4">
        <v>46342</v>
      </c>
    </row>
    <row r="70" spans="1:4">
      <c r="A70" t="s">
        <v>6335</v>
      </c>
      <c r="B70" t="s">
        <v>6336</v>
      </c>
      <c r="C70" s="4">
        <v>44927</v>
      </c>
      <c r="D70" s="4">
        <v>45291</v>
      </c>
    </row>
    <row r="71" spans="1:4">
      <c r="A71" t="s">
        <v>6341</v>
      </c>
      <c r="B71" t="s">
        <v>6342</v>
      </c>
      <c r="C71" s="4">
        <v>44923</v>
      </c>
      <c r="D71" s="4">
        <v>47114</v>
      </c>
    </row>
    <row r="72" spans="1:4">
      <c r="A72" t="s">
        <v>6327</v>
      </c>
      <c r="B72" t="s">
        <v>6328</v>
      </c>
      <c r="C72" s="4">
        <v>44825</v>
      </c>
      <c r="D72" s="4">
        <v>45561</v>
      </c>
    </row>
    <row r="73" spans="1:4">
      <c r="A73" t="s">
        <v>6605</v>
      </c>
      <c r="B73" t="s">
        <v>6606</v>
      </c>
      <c r="C73" s="4">
        <v>44971</v>
      </c>
      <c r="D73" s="4">
        <v>47141</v>
      </c>
    </row>
    <row r="74" spans="1:4">
      <c r="A74" t="s">
        <v>6353</v>
      </c>
      <c r="B74" t="s">
        <v>6354</v>
      </c>
      <c r="C74" s="4">
        <v>44928</v>
      </c>
      <c r="D74" s="4">
        <v>45291</v>
      </c>
    </row>
    <row r="75" spans="1:4">
      <c r="A75" t="s">
        <v>6351</v>
      </c>
      <c r="B75" t="s">
        <v>6352</v>
      </c>
      <c r="C75" s="4">
        <v>44986</v>
      </c>
      <c r="D75" s="4">
        <v>46475</v>
      </c>
    </row>
    <row r="76" spans="1:4">
      <c r="A76" t="s">
        <v>6325</v>
      </c>
      <c r="B76" t="s">
        <v>6326</v>
      </c>
      <c r="C76" s="4">
        <v>45212</v>
      </c>
      <c r="D76" s="4">
        <v>45942</v>
      </c>
    </row>
    <row r="77" spans="1:4">
      <c r="A77" t="s">
        <v>6586</v>
      </c>
      <c r="B77" t="s">
        <v>6587</v>
      </c>
      <c r="C77" s="4">
        <v>45231</v>
      </c>
      <c r="D77" s="4">
        <v>46476</v>
      </c>
    </row>
    <row r="78" spans="1:4">
      <c r="A78" t="s">
        <v>6358</v>
      </c>
      <c r="B78" t="s">
        <v>6359</v>
      </c>
      <c r="C78" s="4">
        <v>45035</v>
      </c>
      <c r="D78" s="4">
        <v>45402</v>
      </c>
    </row>
    <row r="79" spans="1:4">
      <c r="A79" t="s">
        <v>6718</v>
      </c>
      <c r="B79" t="s">
        <v>6719</v>
      </c>
      <c r="C79" s="4">
        <v>45183</v>
      </c>
      <c r="D79" s="4">
        <v>45984</v>
      </c>
    </row>
    <row r="80" spans="1:4">
      <c r="A80" t="s">
        <v>6364</v>
      </c>
      <c r="B80" t="s">
        <v>6583</v>
      </c>
      <c r="C80" s="4">
        <v>45173</v>
      </c>
      <c r="D80" s="4">
        <v>45538</v>
      </c>
    </row>
    <row r="81" spans="1:4">
      <c r="A81" t="s">
        <v>6713</v>
      </c>
      <c r="B81" t="s">
        <v>6714</v>
      </c>
      <c r="C81" s="4">
        <v>45531</v>
      </c>
      <c r="D81" s="4">
        <v>46991</v>
      </c>
    </row>
    <row r="82" spans="1:4">
      <c r="A82" t="s">
        <v>6613</v>
      </c>
      <c r="B82" t="s">
        <v>6614</v>
      </c>
      <c r="C82" s="4">
        <v>45663</v>
      </c>
      <c r="D82" s="4">
        <v>46616</v>
      </c>
    </row>
    <row r="83" spans="1:4">
      <c r="A83" t="s">
        <v>6360</v>
      </c>
      <c r="B83" t="s">
        <v>6361</v>
      </c>
      <c r="C83" s="4">
        <v>45035</v>
      </c>
      <c r="D83" s="4">
        <v>46144</v>
      </c>
    </row>
    <row r="84" spans="1:4">
      <c r="A84" t="s">
        <v>6584</v>
      </c>
      <c r="B84" t="s">
        <v>6585</v>
      </c>
      <c r="C84" s="4">
        <v>45161</v>
      </c>
      <c r="D84" s="4">
        <v>46143</v>
      </c>
    </row>
    <row r="85" spans="1:4">
      <c r="A85" t="s">
        <v>6590</v>
      </c>
      <c r="B85" t="s">
        <v>6591</v>
      </c>
      <c r="C85" s="4">
        <v>45266</v>
      </c>
      <c r="D85" s="4">
        <v>46361</v>
      </c>
    </row>
    <row r="86" spans="1:4">
      <c r="A86" t="s">
        <v>6588</v>
      </c>
      <c r="B86" t="s">
        <v>6589</v>
      </c>
      <c r="C86" s="4">
        <v>45234</v>
      </c>
      <c r="D86" s="4">
        <v>45599</v>
      </c>
    </row>
    <row r="87" spans="1:4">
      <c r="A87" t="s">
        <v>6596</v>
      </c>
      <c r="B87" t="s">
        <v>6597</v>
      </c>
      <c r="C87" s="4">
        <v>45982</v>
      </c>
      <c r="D87" s="4">
        <v>46346</v>
      </c>
    </row>
    <row r="88" spans="1:4">
      <c r="A88" t="s">
        <v>6607</v>
      </c>
      <c r="B88" t="s">
        <v>6608</v>
      </c>
      <c r="C88" s="4">
        <v>45367</v>
      </c>
      <c r="D88" s="4">
        <v>45731</v>
      </c>
    </row>
    <row r="89" spans="1:4">
      <c r="A89" t="s">
        <v>6715</v>
      </c>
      <c r="B89" t="s">
        <v>4956</v>
      </c>
      <c r="C89" s="4">
        <v>45551</v>
      </c>
      <c r="D89" s="4">
        <v>47011</v>
      </c>
    </row>
    <row r="90" spans="1:4">
      <c r="A90" t="s">
        <v>6716</v>
      </c>
      <c r="B90" t="s">
        <v>6717</v>
      </c>
      <c r="C90" s="4">
        <v>45498</v>
      </c>
      <c r="D90" s="4">
        <v>45862</v>
      </c>
    </row>
    <row r="91" spans="1:4">
      <c r="A91" t="s">
        <v>6800</v>
      </c>
      <c r="B91" t="s">
        <v>6801</v>
      </c>
      <c r="C91" s="4">
        <v>45491</v>
      </c>
      <c r="D91" s="4">
        <v>46220</v>
      </c>
    </row>
    <row r="92" spans="1:4">
      <c r="A92" t="s">
        <v>6806</v>
      </c>
      <c r="B92" t="s">
        <v>5609</v>
      </c>
      <c r="C92" s="4">
        <v>45613</v>
      </c>
      <c r="D92" s="4">
        <v>45977</v>
      </c>
    </row>
    <row r="93" spans="1:4">
      <c r="A93" t="s">
        <v>6807</v>
      </c>
      <c r="B93" t="s">
        <v>6808</v>
      </c>
      <c r="C93" s="4">
        <v>45497</v>
      </c>
      <c r="D93" s="4">
        <v>45861</v>
      </c>
    </row>
    <row r="94" spans="1:4">
      <c r="A94" t="s">
        <v>6802</v>
      </c>
      <c r="B94" t="s">
        <v>6803</v>
      </c>
      <c r="C94" s="4">
        <v>45607</v>
      </c>
      <c r="D94" s="4">
        <v>45971</v>
      </c>
    </row>
    <row r="95" spans="1:4">
      <c r="A95" t="s">
        <v>6711</v>
      </c>
      <c r="B95" t="s">
        <v>6712</v>
      </c>
      <c r="C95" s="4">
        <v>45494</v>
      </c>
      <c r="D95" s="4">
        <v>46223</v>
      </c>
    </row>
    <row r="96" spans="1:4">
      <c r="A96" t="s">
        <v>7051</v>
      </c>
      <c r="B96" t="s">
        <v>7052</v>
      </c>
      <c r="C96" s="4">
        <v>45679</v>
      </c>
      <c r="D96" s="4">
        <v>47139</v>
      </c>
    </row>
    <row r="97" spans="1:4">
      <c r="A97" t="s">
        <v>6804</v>
      </c>
      <c r="B97" t="s">
        <v>6805</v>
      </c>
      <c r="C97" s="4">
        <v>45553</v>
      </c>
      <c r="D97" s="4">
        <v>45917</v>
      </c>
    </row>
    <row r="98" spans="1:4">
      <c r="A98" t="s">
        <v>7062</v>
      </c>
      <c r="B98" t="s">
        <v>7063</v>
      </c>
      <c r="C98" s="4">
        <v>45750</v>
      </c>
      <c r="D98" s="4">
        <v>46845</v>
      </c>
    </row>
    <row r="99" spans="1:4">
      <c r="A99" t="s">
        <v>6798</v>
      </c>
      <c r="B99" t="s">
        <v>6799</v>
      </c>
      <c r="C99" s="4">
        <v>45691</v>
      </c>
      <c r="D99" s="4">
        <v>46420</v>
      </c>
    </row>
    <row r="100" spans="1:4">
      <c r="A100" t="s">
        <v>7078</v>
      </c>
      <c r="B100" t="s">
        <v>7079</v>
      </c>
      <c r="C100" s="4">
        <v>45975</v>
      </c>
      <c r="D100" s="4">
        <v>46339</v>
      </c>
    </row>
    <row r="101" spans="1:4">
      <c r="A101" t="s">
        <v>7056</v>
      </c>
      <c r="B101" t="s">
        <v>7057</v>
      </c>
      <c r="C101" s="4">
        <v>45860</v>
      </c>
      <c r="D101" s="4">
        <v>46224</v>
      </c>
    </row>
    <row r="102" spans="1:4">
      <c r="A102" t="s">
        <v>7068</v>
      </c>
      <c r="B102" t="s">
        <v>7069</v>
      </c>
      <c r="C102" s="4">
        <v>45867</v>
      </c>
      <c r="D102" s="4">
        <v>46022</v>
      </c>
    </row>
    <row r="103" spans="1:4">
      <c r="A103" t="s">
        <v>7482</v>
      </c>
      <c r="B103" t="s">
        <v>7483</v>
      </c>
      <c r="C103" s="4">
        <v>45975</v>
      </c>
      <c r="D103" s="4">
        <v>46400</v>
      </c>
    </row>
    <row r="104" spans="1:4">
      <c r="A104" t="s">
        <v>7072</v>
      </c>
      <c r="B104" t="s">
        <v>7073</v>
      </c>
      <c r="C104" s="4">
        <v>45908</v>
      </c>
      <c r="D104" s="4">
        <v>47003</v>
      </c>
    </row>
    <row r="105" spans="1:4">
      <c r="A105" t="s">
        <v>7070</v>
      </c>
      <c r="B105" t="s">
        <v>7071</v>
      </c>
      <c r="C105" s="4">
        <v>45800</v>
      </c>
      <c r="D105" s="4">
        <v>46348</v>
      </c>
    </row>
    <row r="106" spans="1:4">
      <c r="A106" t="s">
        <v>518</v>
      </c>
      <c r="B106" t="s">
        <v>519</v>
      </c>
      <c r="C106" s="4">
        <v>43374</v>
      </c>
      <c r="D106" s="4"/>
    </row>
    <row r="107" spans="1:4">
      <c r="A107" t="s">
        <v>530</v>
      </c>
      <c r="B107" t="s">
        <v>531</v>
      </c>
      <c r="C107" s="4">
        <v>43082</v>
      </c>
      <c r="D107" s="4">
        <v>44177</v>
      </c>
    </row>
    <row r="108" spans="1:4">
      <c r="A108" t="s">
        <v>3994</v>
      </c>
      <c r="B108" t="s">
        <v>3995</v>
      </c>
      <c r="C108" s="4">
        <v>43678</v>
      </c>
      <c r="D108" s="4"/>
    </row>
    <row r="109" spans="1:4">
      <c r="A109" t="s">
        <v>5194</v>
      </c>
      <c r="B109" t="s">
        <v>5195</v>
      </c>
      <c r="C109" s="4">
        <v>44229</v>
      </c>
      <c r="D109" s="4">
        <v>45138</v>
      </c>
    </row>
    <row r="110" spans="1:4">
      <c r="A110" t="s">
        <v>434</v>
      </c>
      <c r="B110" t="s">
        <v>435</v>
      </c>
      <c r="C110" s="4">
        <v>42401</v>
      </c>
      <c r="D110" s="4"/>
    </row>
    <row r="111" spans="1:4">
      <c r="A111" t="s">
        <v>416</v>
      </c>
      <c r="B111" t="s">
        <v>417</v>
      </c>
      <c r="C111" s="4">
        <v>42142</v>
      </c>
      <c r="D111" s="4"/>
    </row>
    <row r="112" spans="1:4">
      <c r="A112" t="s">
        <v>5626</v>
      </c>
      <c r="B112" t="s">
        <v>5574</v>
      </c>
      <c r="C112" s="4">
        <v>44562</v>
      </c>
      <c r="D112" s="4">
        <v>44926</v>
      </c>
    </row>
    <row r="113" spans="1:4">
      <c r="A113" t="s">
        <v>5198</v>
      </c>
      <c r="B113" t="s">
        <v>5199</v>
      </c>
      <c r="C113" s="4">
        <v>44197</v>
      </c>
      <c r="D113" s="4">
        <v>44561</v>
      </c>
    </row>
    <row r="114" spans="1:4">
      <c r="A114" t="s">
        <v>5167</v>
      </c>
      <c r="B114" t="s">
        <v>5168</v>
      </c>
      <c r="C114" s="4">
        <v>43791</v>
      </c>
      <c r="D114" s="4">
        <v>44926</v>
      </c>
    </row>
    <row r="115" spans="1:4">
      <c r="A115" t="s">
        <v>520</v>
      </c>
      <c r="B115" t="s">
        <v>521</v>
      </c>
      <c r="C115" s="4">
        <v>43101</v>
      </c>
      <c r="D115" s="4">
        <v>43465</v>
      </c>
    </row>
    <row r="116" spans="1:4">
      <c r="A116" t="s">
        <v>7053</v>
      </c>
      <c r="B116" t="s">
        <v>7426</v>
      </c>
      <c r="C116" s="4">
        <v>45712</v>
      </c>
      <c r="D116" s="4">
        <v>51501</v>
      </c>
    </row>
    <row r="117" spans="1:4">
      <c r="A117" t="s">
        <v>4937</v>
      </c>
      <c r="B117" t="s">
        <v>4938</v>
      </c>
      <c r="C117" s="4">
        <v>44307</v>
      </c>
      <c r="D117" s="4">
        <v>47016</v>
      </c>
    </row>
    <row r="118" spans="1:4">
      <c r="A118" t="s">
        <v>397</v>
      </c>
      <c r="B118" t="s">
        <v>398</v>
      </c>
      <c r="C118" s="4">
        <v>41951</v>
      </c>
      <c r="D118" s="4">
        <v>44927</v>
      </c>
    </row>
    <row r="119" spans="1:4">
      <c r="A119" t="s">
        <v>541</v>
      </c>
      <c r="B119" t="s">
        <v>542</v>
      </c>
      <c r="C119" s="4">
        <v>42377</v>
      </c>
      <c r="D119" s="4">
        <v>44789</v>
      </c>
    </row>
    <row r="120" spans="1:4">
      <c r="A120" t="s">
        <v>6355</v>
      </c>
      <c r="B120" t="s">
        <v>6356</v>
      </c>
      <c r="C120" s="4">
        <v>45002</v>
      </c>
      <c r="D120" s="4">
        <v>45367</v>
      </c>
    </row>
    <row r="121" spans="1:4">
      <c r="A121" t="s">
        <v>406</v>
      </c>
      <c r="B121" t="s">
        <v>407</v>
      </c>
      <c r="C121" s="4">
        <v>42186</v>
      </c>
      <c r="D121" s="4">
        <v>45200</v>
      </c>
    </row>
    <row r="122" spans="1:4">
      <c r="A122" t="s">
        <v>7437</v>
      </c>
      <c r="B122" t="s">
        <v>7438</v>
      </c>
      <c r="C122" s="4">
        <v>45786</v>
      </c>
      <c r="D122" s="4">
        <v>46478</v>
      </c>
    </row>
    <row r="123" spans="1:4">
      <c r="A123" t="s">
        <v>453</v>
      </c>
      <c r="B123" t="s">
        <v>454</v>
      </c>
      <c r="C123" s="4">
        <v>41061</v>
      </c>
      <c r="D123" s="4"/>
    </row>
    <row r="124" spans="1:4">
      <c r="A124" t="s">
        <v>455</v>
      </c>
      <c r="B124" t="s">
        <v>454</v>
      </c>
      <c r="C124" s="4">
        <v>41061</v>
      </c>
      <c r="D124" s="4"/>
    </row>
    <row r="125" spans="1:4">
      <c r="A125" t="s">
        <v>456</v>
      </c>
      <c r="B125" t="s">
        <v>457</v>
      </c>
      <c r="C125" s="4">
        <v>41061</v>
      </c>
      <c r="D125" s="4"/>
    </row>
    <row r="126" spans="1:4">
      <c r="A126" t="s">
        <v>458</v>
      </c>
      <c r="B126" t="s">
        <v>457</v>
      </c>
      <c r="C126" s="4">
        <v>41061</v>
      </c>
      <c r="D126" s="4"/>
    </row>
    <row r="127" spans="1:4">
      <c r="A127" t="s">
        <v>459</v>
      </c>
      <c r="B127" t="s">
        <v>460</v>
      </c>
      <c r="C127" s="4">
        <v>41061</v>
      </c>
      <c r="D127" s="4"/>
    </row>
    <row r="128" spans="1:4">
      <c r="A128" t="s">
        <v>461</v>
      </c>
      <c r="B128" t="s">
        <v>460</v>
      </c>
      <c r="C128" s="4">
        <v>41061</v>
      </c>
      <c r="D128" s="4"/>
    </row>
    <row r="129" spans="1:4">
      <c r="A129" t="s">
        <v>490</v>
      </c>
      <c r="B129" t="s">
        <v>491</v>
      </c>
      <c r="C129" s="4">
        <v>41061</v>
      </c>
      <c r="D129" s="4"/>
    </row>
    <row r="130" spans="1:4">
      <c r="A130" t="s">
        <v>462</v>
      </c>
      <c r="B130" t="s">
        <v>463</v>
      </c>
      <c r="C130" s="4">
        <v>40914</v>
      </c>
      <c r="D130" s="4">
        <v>44561</v>
      </c>
    </row>
    <row r="131" spans="1:4">
      <c r="A131" t="s">
        <v>464</v>
      </c>
      <c r="B131" t="s">
        <v>465</v>
      </c>
      <c r="C131" s="4">
        <v>40914</v>
      </c>
      <c r="D131" s="4">
        <v>44561</v>
      </c>
    </row>
    <row r="132" spans="1:4">
      <c r="A132" t="s">
        <v>466</v>
      </c>
      <c r="B132" t="s">
        <v>467</v>
      </c>
      <c r="C132" s="4">
        <v>40914</v>
      </c>
      <c r="D132" s="4">
        <v>44561</v>
      </c>
    </row>
    <row r="133" spans="1:4">
      <c r="A133" t="s">
        <v>468</v>
      </c>
      <c r="B133" t="s">
        <v>469</v>
      </c>
      <c r="C133" s="4">
        <v>40914</v>
      </c>
      <c r="D133" s="4">
        <v>44561</v>
      </c>
    </row>
    <row r="134" spans="1:4">
      <c r="A134" t="s">
        <v>501</v>
      </c>
      <c r="B134" t="s">
        <v>502</v>
      </c>
      <c r="C134" s="4">
        <v>40940</v>
      </c>
      <c r="D134" s="4"/>
    </row>
    <row r="135" spans="1:4">
      <c r="A135" t="s">
        <v>5633</v>
      </c>
      <c r="B135" t="s">
        <v>5634</v>
      </c>
      <c r="C135" s="4">
        <v>43770</v>
      </c>
      <c r="D135" s="4">
        <v>44561</v>
      </c>
    </row>
    <row r="136" spans="1:4">
      <c r="A136" t="s">
        <v>526</v>
      </c>
      <c r="B136" t="s">
        <v>527</v>
      </c>
      <c r="C136" s="4">
        <v>43497</v>
      </c>
      <c r="D136" s="4"/>
    </row>
    <row r="137" spans="1:4">
      <c r="A137" t="s">
        <v>470</v>
      </c>
      <c r="B137" t="s">
        <v>471</v>
      </c>
      <c r="C137" s="4">
        <v>41061</v>
      </c>
      <c r="D137" s="4"/>
    </row>
    <row r="138" spans="1:4">
      <c r="A138" t="s">
        <v>472</v>
      </c>
      <c r="B138" t="s">
        <v>473</v>
      </c>
      <c r="C138" s="4">
        <v>41061</v>
      </c>
      <c r="D138" s="4"/>
    </row>
    <row r="139" spans="1:4">
      <c r="A139" t="s">
        <v>474</v>
      </c>
      <c r="B139" t="s">
        <v>475</v>
      </c>
      <c r="C139" s="4">
        <v>41061</v>
      </c>
      <c r="D139" s="4"/>
    </row>
    <row r="140" spans="1:4">
      <c r="A140" t="s">
        <v>476</v>
      </c>
      <c r="B140" t="s">
        <v>475</v>
      </c>
      <c r="C140" s="4">
        <v>41061</v>
      </c>
      <c r="D140" s="4"/>
    </row>
    <row r="141" spans="1:4">
      <c r="A141" t="s">
        <v>477</v>
      </c>
      <c r="B141" t="s">
        <v>478</v>
      </c>
      <c r="C141" s="4">
        <v>41061</v>
      </c>
      <c r="D141" s="4"/>
    </row>
    <row r="142" spans="1:4">
      <c r="A142" t="s">
        <v>479</v>
      </c>
      <c r="B142" t="s">
        <v>480</v>
      </c>
      <c r="C142" s="4">
        <v>41061</v>
      </c>
      <c r="D142" s="4"/>
    </row>
    <row r="143" spans="1:4">
      <c r="A143" t="s">
        <v>481</v>
      </c>
      <c r="B143" t="s">
        <v>482</v>
      </c>
      <c r="C143" s="4">
        <v>41061</v>
      </c>
      <c r="D143" s="4"/>
    </row>
    <row r="144" spans="1:4">
      <c r="A144" t="s">
        <v>492</v>
      </c>
      <c r="B144" t="s">
        <v>493</v>
      </c>
      <c r="C144" s="4">
        <v>41061</v>
      </c>
      <c r="D144" s="4"/>
    </row>
    <row r="145" spans="1:4">
      <c r="A145" t="s">
        <v>494</v>
      </c>
      <c r="B145" t="s">
        <v>493</v>
      </c>
      <c r="C145" s="4">
        <v>41061</v>
      </c>
      <c r="D145" s="4"/>
    </row>
    <row r="146" spans="1:4">
      <c r="A146" t="s">
        <v>483</v>
      </c>
      <c r="B146" t="s">
        <v>484</v>
      </c>
      <c r="C146" s="4">
        <v>40914</v>
      </c>
      <c r="D146" s="4"/>
    </row>
    <row r="147" spans="1:4">
      <c r="A147" t="s">
        <v>485</v>
      </c>
      <c r="B147" t="s">
        <v>484</v>
      </c>
      <c r="C147" s="4">
        <v>41061</v>
      </c>
      <c r="D147" s="4"/>
    </row>
    <row r="148" spans="1:4">
      <c r="A148" t="s">
        <v>486</v>
      </c>
      <c r="B148" t="s">
        <v>487</v>
      </c>
      <c r="C148" s="4">
        <v>41061</v>
      </c>
      <c r="D148" s="4"/>
    </row>
    <row r="149" spans="1:4">
      <c r="A149" t="s">
        <v>488</v>
      </c>
      <c r="B149" t="s">
        <v>489</v>
      </c>
      <c r="C149" s="4">
        <v>41061</v>
      </c>
      <c r="D149" s="4"/>
    </row>
    <row r="150" spans="1:4">
      <c r="A150" t="s">
        <v>7439</v>
      </c>
      <c r="B150" t="s">
        <v>7440</v>
      </c>
      <c r="C150" s="4">
        <v>45670</v>
      </c>
      <c r="D150" s="4">
        <v>46356</v>
      </c>
    </row>
    <row r="151" spans="1:4">
      <c r="A151" t="s">
        <v>7074</v>
      </c>
      <c r="B151" t="s">
        <v>7075</v>
      </c>
      <c r="C151" s="4">
        <v>45908</v>
      </c>
      <c r="D151" s="4">
        <v>46637</v>
      </c>
    </row>
    <row r="152" spans="1:4">
      <c r="A152" t="s">
        <v>7429</v>
      </c>
      <c r="B152" t="s">
        <v>7075</v>
      </c>
      <c r="C152" s="4">
        <v>45908</v>
      </c>
      <c r="D152" s="4">
        <v>46637</v>
      </c>
    </row>
    <row r="153" spans="1:4">
      <c r="A153" t="s">
        <v>7076</v>
      </c>
      <c r="B153" t="s">
        <v>7077</v>
      </c>
      <c r="C153" s="4">
        <v>45908</v>
      </c>
      <c r="D153" s="4">
        <v>46637</v>
      </c>
    </row>
    <row r="154" spans="1:4">
      <c r="A154" t="s">
        <v>7430</v>
      </c>
      <c r="B154" t="s">
        <v>7077</v>
      </c>
      <c r="C154" s="4">
        <v>45908</v>
      </c>
      <c r="D154" s="4">
        <v>46637</v>
      </c>
    </row>
    <row r="155" spans="1:4">
      <c r="A155" t="s">
        <v>506</v>
      </c>
      <c r="B155" t="s">
        <v>507</v>
      </c>
      <c r="C155" s="4">
        <v>42464</v>
      </c>
      <c r="D155" s="4">
        <v>43929</v>
      </c>
    </row>
    <row r="156" spans="1:4">
      <c r="A156" t="s">
        <v>495</v>
      </c>
      <c r="B156" t="s">
        <v>496</v>
      </c>
      <c r="C156" s="4">
        <v>42297</v>
      </c>
      <c r="D156" s="4">
        <v>43027</v>
      </c>
    </row>
    <row r="157" spans="1:4">
      <c r="A157" t="s">
        <v>534</v>
      </c>
      <c r="B157" t="s">
        <v>535</v>
      </c>
      <c r="C157" s="4">
        <v>43028</v>
      </c>
      <c r="D157" s="4">
        <v>43392</v>
      </c>
    </row>
    <row r="158" spans="1:4">
      <c r="A158" t="s">
        <v>7472</v>
      </c>
      <c r="B158" t="s">
        <v>7473</v>
      </c>
      <c r="C158" s="4">
        <v>44355</v>
      </c>
      <c r="D158" s="4">
        <v>46180</v>
      </c>
    </row>
    <row r="159" spans="1:4">
      <c r="A159" t="s">
        <v>536</v>
      </c>
      <c r="B159" t="s">
        <v>537</v>
      </c>
      <c r="C159" s="4">
        <v>43283</v>
      </c>
      <c r="D159" s="4">
        <v>43647</v>
      </c>
    </row>
    <row r="160" spans="1:4">
      <c r="A160" t="s">
        <v>5181</v>
      </c>
      <c r="B160" t="s">
        <v>5182</v>
      </c>
      <c r="C160" s="4">
        <v>44040</v>
      </c>
      <c r="D160" s="4">
        <v>44256</v>
      </c>
    </row>
    <row r="161" spans="1:4">
      <c r="A161" t="s">
        <v>7431</v>
      </c>
      <c r="B161" t="s">
        <v>7432</v>
      </c>
      <c r="C161" s="4">
        <v>45742</v>
      </c>
      <c r="D161" s="4">
        <v>46138</v>
      </c>
    </row>
    <row r="162" spans="1:4">
      <c r="A162" t="s">
        <v>7064</v>
      </c>
      <c r="B162" t="s">
        <v>7065</v>
      </c>
      <c r="C162" s="4">
        <v>45622</v>
      </c>
      <c r="D162" s="4">
        <v>45743</v>
      </c>
    </row>
    <row r="163" spans="1:4">
      <c r="A163" t="s">
        <v>5600</v>
      </c>
      <c r="B163" t="s">
        <v>4934</v>
      </c>
      <c r="C163" s="4">
        <v>43983</v>
      </c>
      <c r="D163" s="4">
        <v>44738</v>
      </c>
    </row>
    <row r="164" spans="1:4">
      <c r="A164" t="s">
        <v>5605</v>
      </c>
      <c r="B164" t="s">
        <v>5606</v>
      </c>
      <c r="C164" s="4">
        <v>44263</v>
      </c>
      <c r="D164" s="4">
        <v>44993</v>
      </c>
    </row>
    <row r="165" spans="1:4">
      <c r="A165" t="s">
        <v>7420</v>
      </c>
      <c r="B165" t="s">
        <v>540</v>
      </c>
      <c r="C165" s="4">
        <v>43536</v>
      </c>
      <c r="D165" s="4">
        <v>46006</v>
      </c>
    </row>
    <row r="166" spans="1:4">
      <c r="A166" t="s">
        <v>5200</v>
      </c>
      <c r="B166" t="s">
        <v>5195</v>
      </c>
      <c r="C166" s="4">
        <v>44178</v>
      </c>
      <c r="D166" s="4">
        <v>46005</v>
      </c>
    </row>
    <row r="167" spans="1:4">
      <c r="A167" t="s">
        <v>6329</v>
      </c>
      <c r="B167" t="s">
        <v>6330</v>
      </c>
      <c r="C167" s="4">
        <v>44930</v>
      </c>
      <c r="D167" s="4">
        <v>45295</v>
      </c>
    </row>
    <row r="168" spans="1:4">
      <c r="A168" t="s">
        <v>7425</v>
      </c>
      <c r="B168" t="s">
        <v>6809</v>
      </c>
      <c r="C168" s="4">
        <v>45597</v>
      </c>
      <c r="D168" s="4">
        <v>46327</v>
      </c>
    </row>
    <row r="169" spans="1:4">
      <c r="A169" t="s">
        <v>4958</v>
      </c>
      <c r="B169" t="s">
        <v>4959</v>
      </c>
      <c r="C169" s="4">
        <v>44289</v>
      </c>
      <c r="D169" s="4">
        <v>44564</v>
      </c>
    </row>
    <row r="170" spans="1:4">
      <c r="A170" t="s">
        <v>6598</v>
      </c>
      <c r="B170" t="s">
        <v>6599</v>
      </c>
      <c r="C170" s="4">
        <v>45113</v>
      </c>
      <c r="D170" s="4">
        <v>45296</v>
      </c>
    </row>
    <row r="171" spans="1:4">
      <c r="A171" t="s">
        <v>7484</v>
      </c>
      <c r="B171" t="s">
        <v>7485</v>
      </c>
      <c r="C171" s="4">
        <v>45963</v>
      </c>
      <c r="D171" s="4">
        <v>46327</v>
      </c>
    </row>
    <row r="172" spans="1:4">
      <c r="A172" t="s">
        <v>6357</v>
      </c>
      <c r="B172" t="s">
        <v>6703</v>
      </c>
      <c r="C172" s="4">
        <v>45016</v>
      </c>
      <c r="D172" s="4">
        <v>46112</v>
      </c>
    </row>
    <row r="173" spans="1:4">
      <c r="A173" t="s">
        <v>6317</v>
      </c>
      <c r="B173" t="s">
        <v>5638</v>
      </c>
      <c r="C173" s="4">
        <v>44565</v>
      </c>
      <c r="D173" s="4">
        <v>44930</v>
      </c>
    </row>
    <row r="174" spans="1:4">
      <c r="A174" t="s">
        <v>6611</v>
      </c>
      <c r="B174" t="s">
        <v>6612</v>
      </c>
      <c r="C174" s="4">
        <v>45161</v>
      </c>
      <c r="D174" s="4">
        <v>45806</v>
      </c>
    </row>
    <row r="175" spans="1:4">
      <c r="A175" t="s">
        <v>5631</v>
      </c>
      <c r="B175" t="s">
        <v>5632</v>
      </c>
      <c r="C175" s="4">
        <v>43515</v>
      </c>
      <c r="D175" s="4">
        <v>44729</v>
      </c>
    </row>
    <row r="176" spans="1:4">
      <c r="A176" t="s">
        <v>4972</v>
      </c>
      <c r="B176" t="s">
        <v>4973</v>
      </c>
      <c r="C176" s="4">
        <v>43466</v>
      </c>
      <c r="D176" s="4">
        <v>44615</v>
      </c>
    </row>
    <row r="177" spans="1:4">
      <c r="A177" t="s">
        <v>514</v>
      </c>
      <c r="B177" t="s">
        <v>515</v>
      </c>
      <c r="C177" s="4">
        <v>43300</v>
      </c>
      <c r="D177" s="4">
        <v>45689</v>
      </c>
    </row>
    <row r="178" spans="1:4">
      <c r="A178" t="s">
        <v>440</v>
      </c>
      <c r="B178" t="s">
        <v>441</v>
      </c>
      <c r="C178" s="4">
        <v>42649</v>
      </c>
      <c r="D178" s="4">
        <v>44380</v>
      </c>
    </row>
    <row r="179" spans="1:4">
      <c r="A179" t="s">
        <v>528</v>
      </c>
      <c r="B179" t="s">
        <v>529</v>
      </c>
      <c r="C179" s="4">
        <v>43467</v>
      </c>
      <c r="D179" s="4">
        <v>44013</v>
      </c>
    </row>
    <row r="180" spans="1:4">
      <c r="A180" t="s">
        <v>503</v>
      </c>
      <c r="B180" t="s">
        <v>504</v>
      </c>
      <c r="C180" s="4">
        <v>42890</v>
      </c>
      <c r="D180" s="4">
        <v>45800</v>
      </c>
    </row>
    <row r="181" spans="1:4">
      <c r="A181" t="s">
        <v>4974</v>
      </c>
      <c r="B181" t="s">
        <v>4975</v>
      </c>
      <c r="C181" s="4">
        <v>43672</v>
      </c>
      <c r="D181" s="4">
        <v>46593</v>
      </c>
    </row>
    <row r="182" spans="1:4">
      <c r="A182" t="s">
        <v>5695</v>
      </c>
      <c r="B182" t="s">
        <v>5696</v>
      </c>
      <c r="C182" s="4">
        <v>44693</v>
      </c>
      <c r="D182" s="4">
        <v>46518</v>
      </c>
    </row>
    <row r="183" spans="1:4">
      <c r="A183" t="s">
        <v>7058</v>
      </c>
      <c r="B183" t="s">
        <v>7059</v>
      </c>
      <c r="C183" s="4">
        <v>45724</v>
      </c>
      <c r="D183" s="4">
        <v>45907</v>
      </c>
    </row>
    <row r="184" spans="1:4">
      <c r="A184" t="s">
        <v>539</v>
      </c>
      <c r="B184" t="s">
        <v>4990</v>
      </c>
      <c r="C184" s="4">
        <v>42845</v>
      </c>
      <c r="D184" s="4">
        <v>44722</v>
      </c>
    </row>
    <row r="185" spans="1:4">
      <c r="A185" t="s">
        <v>525</v>
      </c>
      <c r="B185" t="s">
        <v>441</v>
      </c>
      <c r="C185" s="4">
        <v>43466</v>
      </c>
      <c r="D185" s="4">
        <v>46029</v>
      </c>
    </row>
    <row r="186" spans="1:4">
      <c r="A186" t="s">
        <v>505</v>
      </c>
      <c r="B186" t="s">
        <v>7049</v>
      </c>
      <c r="C186" s="4">
        <v>42746</v>
      </c>
      <c r="D186" s="4">
        <v>45975</v>
      </c>
    </row>
    <row r="187" spans="1:4">
      <c r="A187" t="s">
        <v>6609</v>
      </c>
      <c r="B187" t="s">
        <v>6610</v>
      </c>
      <c r="C187" s="4">
        <v>45359</v>
      </c>
      <c r="D187" s="4">
        <v>45724</v>
      </c>
    </row>
    <row r="188" spans="1:4">
      <c r="A188" t="s">
        <v>7060</v>
      </c>
      <c r="B188" t="s">
        <v>7061</v>
      </c>
      <c r="C188" s="4">
        <v>45236</v>
      </c>
      <c r="D188" s="4">
        <v>45975</v>
      </c>
    </row>
    <row r="189" spans="1:4">
      <c r="A189" t="s">
        <v>6362</v>
      </c>
      <c r="B189" t="s">
        <v>6363</v>
      </c>
      <c r="C189" s="4">
        <v>44993</v>
      </c>
      <c r="D189" s="4">
        <v>45358</v>
      </c>
    </row>
    <row r="190" spans="1:4">
      <c r="A190" t="s">
        <v>412</v>
      </c>
      <c r="B190" t="s">
        <v>413</v>
      </c>
      <c r="C190" s="4">
        <v>42038</v>
      </c>
      <c r="D190" s="4">
        <v>45292</v>
      </c>
    </row>
    <row r="191" spans="1:4">
      <c r="A191" t="s">
        <v>7066</v>
      </c>
      <c r="B191" t="s">
        <v>7067</v>
      </c>
      <c r="C191" s="4">
        <v>45810</v>
      </c>
      <c r="D191" s="4">
        <v>47439</v>
      </c>
    </row>
    <row r="192" spans="1:4">
      <c r="A192" t="s">
        <v>7468</v>
      </c>
      <c r="B192" t="s">
        <v>7469</v>
      </c>
      <c r="C192" s="4">
        <v>45673</v>
      </c>
      <c r="D192" s="4">
        <v>46037</v>
      </c>
    </row>
    <row r="193" spans="1:4">
      <c r="A193" t="s">
        <v>516</v>
      </c>
      <c r="B193" t="s">
        <v>517</v>
      </c>
      <c r="C193" s="4">
        <v>43332</v>
      </c>
      <c r="D193" s="4">
        <v>43448</v>
      </c>
    </row>
    <row r="194" spans="1:4">
      <c r="A194" t="s">
        <v>3989</v>
      </c>
      <c r="B194" t="s">
        <v>517</v>
      </c>
      <c r="C194" s="4">
        <v>43748</v>
      </c>
      <c r="D194" s="4">
        <v>44176</v>
      </c>
    </row>
    <row r="195" spans="1:4">
      <c r="A195" t="s">
        <v>399</v>
      </c>
      <c r="B195" t="s">
        <v>400</v>
      </c>
      <c r="C195" s="4">
        <v>41950</v>
      </c>
      <c r="D195" s="4"/>
    </row>
    <row r="196" spans="1:4">
      <c r="A196" t="s">
        <v>7488</v>
      </c>
      <c r="B196" t="s">
        <v>7489</v>
      </c>
      <c r="C196" s="4">
        <v>45962</v>
      </c>
      <c r="D196" s="4">
        <v>46112</v>
      </c>
    </row>
    <row r="197" spans="1:4">
      <c r="A197" t="s">
        <v>5157</v>
      </c>
      <c r="B197" t="s">
        <v>538</v>
      </c>
      <c r="C197" s="4">
        <v>43348</v>
      </c>
      <c r="D197" s="4">
        <v>43682</v>
      </c>
    </row>
    <row r="198" spans="1:4">
      <c r="A198" t="s">
        <v>4957</v>
      </c>
      <c r="B198" t="s">
        <v>7050</v>
      </c>
      <c r="C198" s="4">
        <v>44175</v>
      </c>
      <c r="D198" s="4">
        <v>45838</v>
      </c>
    </row>
    <row r="199" spans="1:4">
      <c r="A199" t="s">
        <v>4083</v>
      </c>
      <c r="B199" t="s">
        <v>524</v>
      </c>
      <c r="C199" s="4">
        <v>43466</v>
      </c>
      <c r="D199" s="4"/>
    </row>
    <row r="200" spans="1:4">
      <c r="A200" t="s">
        <v>7441</v>
      </c>
      <c r="B200" t="s">
        <v>7440</v>
      </c>
      <c r="C200" s="4">
        <v>45726</v>
      </c>
      <c r="D200" s="4">
        <v>46053</v>
      </c>
    </row>
    <row r="201" spans="1:4">
      <c r="A201" t="s">
        <v>404</v>
      </c>
      <c r="B201" t="s">
        <v>405</v>
      </c>
      <c r="C201" s="4">
        <v>42339</v>
      </c>
      <c r="D201" s="4">
        <v>45200</v>
      </c>
    </row>
    <row r="202" spans="1:4">
      <c r="A202" t="s">
        <v>451</v>
      </c>
      <c r="B202" t="s">
        <v>452</v>
      </c>
      <c r="C202" s="4">
        <v>43074</v>
      </c>
      <c r="D202" s="4">
        <v>45200</v>
      </c>
    </row>
    <row r="203" spans="1:4">
      <c r="A203" t="s">
        <v>7454</v>
      </c>
      <c r="B203" t="s">
        <v>7455</v>
      </c>
      <c r="C203" s="4">
        <v>42430</v>
      </c>
      <c r="D203" s="4">
        <v>46081</v>
      </c>
    </row>
    <row r="204" spans="1:4">
      <c r="A204" t="s">
        <v>7456</v>
      </c>
      <c r="B204" t="s">
        <v>7457</v>
      </c>
      <c r="C204" s="4">
        <v>42795</v>
      </c>
      <c r="D204" s="4">
        <v>46081</v>
      </c>
    </row>
    <row r="205" spans="1:4">
      <c r="A205" t="s">
        <v>7460</v>
      </c>
      <c r="B205" t="s">
        <v>7461</v>
      </c>
      <c r="C205" s="4">
        <v>42629</v>
      </c>
      <c r="D205" s="4">
        <v>46280</v>
      </c>
    </row>
    <row r="206" spans="1:4">
      <c r="A206" t="s">
        <v>7458</v>
      </c>
      <c r="B206" t="s">
        <v>7459</v>
      </c>
      <c r="C206" s="4">
        <v>43466</v>
      </c>
      <c r="D206" s="4">
        <v>46295</v>
      </c>
    </row>
    <row r="207" spans="1:4">
      <c r="A207" t="s">
        <v>7462</v>
      </c>
      <c r="B207" t="s">
        <v>7463</v>
      </c>
      <c r="C207" s="4">
        <v>45945</v>
      </c>
      <c r="D207" s="4">
        <v>46309</v>
      </c>
    </row>
    <row r="208" spans="1:4">
      <c r="A208" t="s">
        <v>7423</v>
      </c>
      <c r="B208" t="s">
        <v>7424</v>
      </c>
      <c r="C208" s="4">
        <v>45017</v>
      </c>
      <c r="D208" s="4">
        <v>46022</v>
      </c>
    </row>
    <row r="209" spans="1:4">
      <c r="A209" t="s">
        <v>7446</v>
      </c>
      <c r="B209" t="s">
        <v>7447</v>
      </c>
      <c r="C209" s="4">
        <v>45658</v>
      </c>
      <c r="D209" s="4">
        <v>46022</v>
      </c>
    </row>
    <row r="210" spans="1:4">
      <c r="A210" t="s">
        <v>7486</v>
      </c>
      <c r="B210" t="s">
        <v>7487</v>
      </c>
      <c r="C210" s="4">
        <v>43040</v>
      </c>
      <c r="D210" s="4">
        <v>46326</v>
      </c>
    </row>
    <row r="211" spans="1:4">
      <c r="A211" t="s">
        <v>7442</v>
      </c>
      <c r="B211" t="s">
        <v>7443</v>
      </c>
      <c r="C211" s="4">
        <v>45938</v>
      </c>
      <c r="D211" s="4">
        <v>46302</v>
      </c>
    </row>
    <row r="212" spans="1:4">
      <c r="A212" t="s">
        <v>403</v>
      </c>
      <c r="B212" t="s">
        <v>6580</v>
      </c>
      <c r="C212" s="4">
        <v>41926</v>
      </c>
      <c r="D212" s="4">
        <v>45200</v>
      </c>
    </row>
    <row r="213" spans="1:4">
      <c r="A213" t="s">
        <v>401</v>
      </c>
      <c r="B213" t="s">
        <v>402</v>
      </c>
      <c r="C213" s="4">
        <v>41943</v>
      </c>
      <c r="D213" s="4">
        <v>45200</v>
      </c>
    </row>
    <row r="214" spans="1:4">
      <c r="A214" t="s">
        <v>390</v>
      </c>
      <c r="B214" t="s">
        <v>229</v>
      </c>
      <c r="C214" s="4">
        <v>41122</v>
      </c>
      <c r="D214" s="4"/>
    </row>
    <row r="215" spans="1:4">
      <c r="A215" t="s">
        <v>391</v>
      </c>
      <c r="B215" t="s">
        <v>392</v>
      </c>
      <c r="C215" s="4">
        <v>41471</v>
      </c>
      <c r="D215" s="4">
        <v>45200</v>
      </c>
    </row>
    <row r="216" spans="1:4">
      <c r="A216" t="s">
        <v>388</v>
      </c>
      <c r="B216" t="s">
        <v>389</v>
      </c>
      <c r="C216" s="4">
        <v>41082</v>
      </c>
      <c r="D216" s="4">
        <v>41507</v>
      </c>
    </row>
    <row r="217" spans="1:4">
      <c r="A217" t="s">
        <v>386</v>
      </c>
      <c r="B217" t="s">
        <v>387</v>
      </c>
      <c r="C217" s="4">
        <v>39986</v>
      </c>
      <c r="D217" s="4">
        <v>41081</v>
      </c>
    </row>
    <row r="218" spans="1:4">
      <c r="A218" t="s">
        <v>7448</v>
      </c>
      <c r="B218" t="s">
        <v>7449</v>
      </c>
      <c r="C218" s="4">
        <v>45469</v>
      </c>
      <c r="D218" s="4">
        <v>46198</v>
      </c>
    </row>
    <row r="219" spans="1:4">
      <c r="A219" t="s">
        <v>7450</v>
      </c>
      <c r="B219" t="s">
        <v>7451</v>
      </c>
      <c r="C219" s="4">
        <v>45566</v>
      </c>
      <c r="D219" s="4">
        <v>46112</v>
      </c>
    </row>
    <row r="220" spans="1:4">
      <c r="A220" t="s">
        <v>4968</v>
      </c>
      <c r="B220" t="s">
        <v>4969</v>
      </c>
      <c r="C220" s="4">
        <v>43892</v>
      </c>
      <c r="D220" s="4">
        <v>44985</v>
      </c>
    </row>
    <row r="221" spans="1:4">
      <c r="A221" t="s">
        <v>7444</v>
      </c>
      <c r="B221" t="s">
        <v>7445</v>
      </c>
      <c r="C221" s="4">
        <v>45904</v>
      </c>
      <c r="D221" s="4">
        <v>46113</v>
      </c>
    </row>
    <row r="222" spans="1:4">
      <c r="A222" t="s">
        <v>6603</v>
      </c>
      <c r="B222" t="s">
        <v>6604</v>
      </c>
      <c r="C222" s="4">
        <v>45292</v>
      </c>
      <c r="D222" s="4">
        <v>45657</v>
      </c>
    </row>
    <row r="223" spans="1:4">
      <c r="A223" t="s">
        <v>5201</v>
      </c>
      <c r="B223" t="s">
        <v>5202</v>
      </c>
      <c r="C223" s="4">
        <v>44197</v>
      </c>
      <c r="D223" s="4">
        <v>45291</v>
      </c>
    </row>
    <row r="224" spans="1:4">
      <c r="A224" t="s">
        <v>6315</v>
      </c>
      <c r="B224" t="s">
        <v>5607</v>
      </c>
      <c r="C224" s="4">
        <v>44362</v>
      </c>
      <c r="D224" s="4">
        <v>44727</v>
      </c>
    </row>
    <row r="225" spans="1:4">
      <c r="A225" t="s">
        <v>7474</v>
      </c>
      <c r="B225" t="s">
        <v>7475</v>
      </c>
      <c r="C225" s="4">
        <v>44541</v>
      </c>
      <c r="D225" s="4">
        <v>46366</v>
      </c>
    </row>
    <row r="226" spans="1:4">
      <c r="A226" t="s">
        <v>7476</v>
      </c>
      <c r="B226" t="s">
        <v>7477</v>
      </c>
      <c r="C226" s="4">
        <v>44602</v>
      </c>
      <c r="D226" s="4">
        <v>46427</v>
      </c>
    </row>
    <row r="227" spans="1:4">
      <c r="A227" t="s">
        <v>7427</v>
      </c>
      <c r="B227" t="s">
        <v>7428</v>
      </c>
      <c r="C227" s="4">
        <v>45830</v>
      </c>
      <c r="D227" s="4">
        <v>46194</v>
      </c>
    </row>
    <row r="228" spans="1:4">
      <c r="A228" t="s">
        <v>5645</v>
      </c>
      <c r="B228" t="s">
        <v>5646</v>
      </c>
      <c r="C228" s="4">
        <v>44197</v>
      </c>
      <c r="D228" s="4">
        <v>44926</v>
      </c>
    </row>
    <row r="229" spans="1:4">
      <c r="A229" t="s">
        <v>5175</v>
      </c>
      <c r="B229" t="s">
        <v>5176</v>
      </c>
      <c r="C229" s="4">
        <v>43586</v>
      </c>
      <c r="D229" s="4">
        <v>44196</v>
      </c>
    </row>
    <row r="230" spans="1:4">
      <c r="A230" t="s">
        <v>4935</v>
      </c>
      <c r="B230" t="s">
        <v>4936</v>
      </c>
      <c r="C230" s="4">
        <v>43831</v>
      </c>
      <c r="D230" s="4">
        <v>44242</v>
      </c>
    </row>
    <row r="231" spans="1:4">
      <c r="A231" t="s">
        <v>5188</v>
      </c>
      <c r="B231" t="s">
        <v>5189</v>
      </c>
      <c r="C231" s="4">
        <v>43831</v>
      </c>
      <c r="D231" s="4">
        <v>44196</v>
      </c>
    </row>
    <row r="232" spans="1:4">
      <c r="A232" t="s">
        <v>6347</v>
      </c>
      <c r="B232" t="s">
        <v>6348</v>
      </c>
      <c r="C232" s="4">
        <v>44927</v>
      </c>
      <c r="D232" s="4">
        <v>45291</v>
      </c>
    </row>
    <row r="233" spans="1:4">
      <c r="A233" t="s">
        <v>6349</v>
      </c>
      <c r="B233" t="s">
        <v>6350</v>
      </c>
      <c r="C233" s="4">
        <v>44927</v>
      </c>
      <c r="D233" s="4">
        <v>45291</v>
      </c>
    </row>
    <row r="234" spans="1:4">
      <c r="A234" t="s">
        <v>6345</v>
      </c>
      <c r="B234" t="s">
        <v>6346</v>
      </c>
      <c r="C234" s="4">
        <v>44927</v>
      </c>
      <c r="D234" s="4">
        <v>45291</v>
      </c>
    </row>
    <row r="235" spans="1:4">
      <c r="A235" t="s">
        <v>5196</v>
      </c>
      <c r="B235" t="s">
        <v>5197</v>
      </c>
      <c r="C235" s="4">
        <v>44197</v>
      </c>
      <c r="D235" s="4">
        <v>44561</v>
      </c>
    </row>
    <row r="236" spans="1:4">
      <c r="A236" t="s">
        <v>5647</v>
      </c>
      <c r="B236" t="s">
        <v>5648</v>
      </c>
      <c r="C236" s="4">
        <v>44562</v>
      </c>
      <c r="D236" s="4">
        <v>44926</v>
      </c>
    </row>
    <row r="237" spans="1:4">
      <c r="A237" t="s">
        <v>5171</v>
      </c>
      <c r="B237" t="s">
        <v>5172</v>
      </c>
      <c r="C237" s="4">
        <v>43762</v>
      </c>
      <c r="D237" s="4">
        <v>44127</v>
      </c>
    </row>
    <row r="238" spans="1:4">
      <c r="A238" t="s">
        <v>532</v>
      </c>
      <c r="B238" t="s">
        <v>533</v>
      </c>
      <c r="C238" s="4">
        <v>43466</v>
      </c>
      <c r="D238" s="4">
        <v>43830</v>
      </c>
    </row>
    <row r="239" spans="1:4">
      <c r="A239" t="s">
        <v>6594</v>
      </c>
      <c r="B239" t="s">
        <v>6595</v>
      </c>
      <c r="C239" s="4">
        <v>45292</v>
      </c>
      <c r="D239" s="4">
        <v>45657</v>
      </c>
    </row>
    <row r="240" spans="1:4">
      <c r="A240" t="s">
        <v>5616</v>
      </c>
      <c r="B240" t="s">
        <v>5617</v>
      </c>
      <c r="C240" s="4">
        <v>44550</v>
      </c>
      <c r="D240" s="4">
        <v>44880</v>
      </c>
    </row>
    <row r="241" spans="1:4">
      <c r="A241" t="s">
        <v>6601</v>
      </c>
      <c r="B241" t="s">
        <v>6602</v>
      </c>
      <c r="C241" s="67">
        <v>45292</v>
      </c>
      <c r="D241" s="67">
        <v>45657</v>
      </c>
    </row>
    <row r="242" spans="1:4">
      <c r="A242" t="s">
        <v>6592</v>
      </c>
      <c r="B242" t="s">
        <v>6593</v>
      </c>
      <c r="C242" s="67">
        <v>45292</v>
      </c>
      <c r="D242" s="67">
        <v>45657</v>
      </c>
    </row>
    <row r="243" spans="1:4">
      <c r="A243" t="s">
        <v>6600</v>
      </c>
      <c r="B243" t="s">
        <v>5185</v>
      </c>
      <c r="C243" s="67">
        <v>45292</v>
      </c>
      <c r="D243" s="67">
        <v>46022</v>
      </c>
    </row>
    <row r="244" spans="1:4">
      <c r="A244" t="s">
        <v>5169</v>
      </c>
      <c r="B244" t="s">
        <v>5170</v>
      </c>
      <c r="C244" s="67">
        <v>43815</v>
      </c>
      <c r="D244" s="67">
        <v>44180</v>
      </c>
    </row>
    <row r="245" spans="1:4">
      <c r="A245" t="s">
        <v>5603</v>
      </c>
      <c r="B245" t="s">
        <v>5185</v>
      </c>
      <c r="C245" s="67">
        <v>44103</v>
      </c>
      <c r="D245" s="67">
        <v>45290</v>
      </c>
    </row>
    <row r="246" spans="1:4">
      <c r="A246" t="s">
        <v>7433</v>
      </c>
      <c r="B246" t="s">
        <v>7434</v>
      </c>
      <c r="C246" s="67">
        <v>45444</v>
      </c>
      <c r="D246" s="67">
        <v>46639</v>
      </c>
    </row>
    <row r="247" spans="1:4">
      <c r="A247" t="s">
        <v>418</v>
      </c>
      <c r="B247" t="s">
        <v>419</v>
      </c>
      <c r="C247" s="67">
        <v>41082</v>
      </c>
      <c r="D247" s="67">
        <v>42391</v>
      </c>
    </row>
    <row r="248" spans="1:4">
      <c r="A248" t="s">
        <v>438</v>
      </c>
      <c r="B248" t="s">
        <v>439</v>
      </c>
      <c r="C248" s="67">
        <v>42088</v>
      </c>
      <c r="D248" s="67">
        <v>44490</v>
      </c>
    </row>
    <row r="249" spans="1:4">
      <c r="A249" t="s">
        <v>430</v>
      </c>
      <c r="B249" t="s">
        <v>431</v>
      </c>
      <c r="C249" s="67">
        <v>42392</v>
      </c>
      <c r="D249" s="67">
        <v>42816</v>
      </c>
    </row>
    <row r="250" spans="1:4">
      <c r="A250" t="s">
        <v>448</v>
      </c>
      <c r="B250" t="s">
        <v>449</v>
      </c>
      <c r="C250" s="67">
        <v>42817</v>
      </c>
      <c r="D250" s="67">
        <v>43242</v>
      </c>
    </row>
    <row r="251" spans="1:4">
      <c r="A251" t="s">
        <v>450</v>
      </c>
      <c r="B251" t="s">
        <v>449</v>
      </c>
      <c r="C251" s="67">
        <v>42817</v>
      </c>
      <c r="D251" s="67">
        <v>43242</v>
      </c>
    </row>
    <row r="252" spans="1:4">
      <c r="A252" t="s">
        <v>5641</v>
      </c>
      <c r="B252" t="s">
        <v>5642</v>
      </c>
      <c r="C252" s="67">
        <v>44595</v>
      </c>
      <c r="D252" s="67">
        <v>44775</v>
      </c>
    </row>
    <row r="253" spans="1:4">
      <c r="A253" t="s">
        <v>510</v>
      </c>
      <c r="B253" t="s">
        <v>511</v>
      </c>
      <c r="C253" s="67">
        <v>43244</v>
      </c>
      <c r="D253" s="67">
        <v>43669</v>
      </c>
    </row>
    <row r="254" spans="1:4">
      <c r="A254" t="s">
        <v>512</v>
      </c>
      <c r="B254" t="s">
        <v>513</v>
      </c>
      <c r="C254" s="67">
        <v>43244</v>
      </c>
      <c r="D254" s="67">
        <v>43669</v>
      </c>
    </row>
    <row r="255" spans="1:4">
      <c r="A255" t="s">
        <v>543</v>
      </c>
      <c r="B255" t="s">
        <v>544</v>
      </c>
      <c r="C255" s="67">
        <v>43670</v>
      </c>
      <c r="D255" s="67">
        <v>44097</v>
      </c>
    </row>
    <row r="256" spans="1:4">
      <c r="A256" t="s">
        <v>545</v>
      </c>
      <c r="B256" t="s">
        <v>546</v>
      </c>
      <c r="C256" s="67">
        <v>43670</v>
      </c>
      <c r="D256" s="67">
        <v>44097</v>
      </c>
    </row>
    <row r="257" spans="1:4">
      <c r="A257" t="s">
        <v>4962</v>
      </c>
      <c r="B257" t="s">
        <v>4963</v>
      </c>
      <c r="C257" s="67">
        <v>44067</v>
      </c>
      <c r="D257" s="67">
        <v>44462</v>
      </c>
    </row>
    <row r="258" spans="1:4">
      <c r="A258" t="s">
        <v>4964</v>
      </c>
      <c r="B258" t="s">
        <v>4965</v>
      </c>
      <c r="C258" s="67">
        <v>44067</v>
      </c>
      <c r="D258" s="67">
        <v>44462</v>
      </c>
    </row>
    <row r="259" spans="1:4">
      <c r="A259" t="s">
        <v>5611</v>
      </c>
      <c r="B259" t="s">
        <v>5612</v>
      </c>
      <c r="C259" s="67">
        <v>44470</v>
      </c>
      <c r="D259" s="67">
        <v>44895</v>
      </c>
    </row>
    <row r="260" spans="1:4">
      <c r="A260" t="s">
        <v>5403</v>
      </c>
      <c r="B260" t="s">
        <v>5404</v>
      </c>
      <c r="C260" s="67">
        <v>44470</v>
      </c>
      <c r="D260" s="67">
        <v>44895</v>
      </c>
    </row>
    <row r="261" spans="1:4">
      <c r="A261" t="s">
        <v>6339</v>
      </c>
      <c r="B261" t="s">
        <v>6340</v>
      </c>
      <c r="C261" s="67">
        <v>44896</v>
      </c>
      <c r="D261" s="67">
        <v>47848</v>
      </c>
    </row>
    <row r="262" spans="1:4">
      <c r="A262" t="s">
        <v>7054</v>
      </c>
      <c r="B262" t="s">
        <v>7055</v>
      </c>
      <c r="C262" s="67">
        <v>45748</v>
      </c>
      <c r="D262" s="67">
        <v>51501</v>
      </c>
    </row>
    <row r="263" spans="1:4">
      <c r="A263" t="s">
        <v>3996</v>
      </c>
      <c r="B263" t="s">
        <v>3997</v>
      </c>
      <c r="C263" s="67">
        <v>40909</v>
      </c>
      <c r="D263" s="67">
        <v>51501</v>
      </c>
    </row>
    <row r="264" spans="1:4">
      <c r="A264" t="s">
        <v>4014</v>
      </c>
      <c r="B264" t="s">
        <v>4015</v>
      </c>
      <c r="C264" s="67">
        <v>40909</v>
      </c>
      <c r="D264" s="67">
        <v>51501</v>
      </c>
    </row>
    <row r="265" spans="1:4">
      <c r="A265" t="s">
        <v>6331</v>
      </c>
      <c r="B265" t="s">
        <v>6332</v>
      </c>
      <c r="C265" s="67">
        <v>44886</v>
      </c>
      <c r="D265" s="67">
        <v>47848</v>
      </c>
    </row>
    <row r="266" spans="1:4">
      <c r="A266" t="s">
        <v>3998</v>
      </c>
      <c r="B266" t="s">
        <v>3999</v>
      </c>
      <c r="C266" s="67">
        <v>40909</v>
      </c>
      <c r="D266" s="67">
        <v>51501</v>
      </c>
    </row>
    <row r="267" spans="1:4">
      <c r="A267" t="s">
        <v>5001</v>
      </c>
      <c r="B267" t="s">
        <v>5002</v>
      </c>
      <c r="C267" s="67">
        <v>44075</v>
      </c>
      <c r="D267" s="67">
        <v>51501</v>
      </c>
    </row>
    <row r="268" spans="1:4">
      <c r="A268" t="s">
        <v>4000</v>
      </c>
      <c r="B268" t="s">
        <v>4001</v>
      </c>
      <c r="C268" s="67">
        <v>40909</v>
      </c>
      <c r="D268" s="67">
        <v>51501</v>
      </c>
    </row>
    <row r="269" spans="1:4">
      <c r="A269" t="s">
        <v>4002</v>
      </c>
      <c r="B269" t="s">
        <v>4003</v>
      </c>
      <c r="C269" s="67">
        <v>40909</v>
      </c>
      <c r="D269" s="67">
        <v>56979</v>
      </c>
    </row>
    <row r="270" spans="1:4">
      <c r="A270" t="s">
        <v>4004</v>
      </c>
      <c r="B270" t="s">
        <v>4005</v>
      </c>
      <c r="C270" s="67">
        <v>40909</v>
      </c>
      <c r="D270" s="67">
        <v>51501</v>
      </c>
    </row>
    <row r="271" spans="1:4">
      <c r="A271" t="s">
        <v>3919</v>
      </c>
      <c r="B271" t="s">
        <v>3920</v>
      </c>
      <c r="C271" s="67">
        <v>40909</v>
      </c>
      <c r="D271" s="67">
        <v>51501</v>
      </c>
    </row>
    <row r="272" spans="1:4">
      <c r="A272" t="s">
        <v>4006</v>
      </c>
      <c r="B272" t="s">
        <v>4007</v>
      </c>
      <c r="C272" s="67">
        <v>40909</v>
      </c>
      <c r="D272" s="67">
        <v>51501</v>
      </c>
    </row>
    <row r="273" spans="1:4">
      <c r="A273" t="s">
        <v>7490</v>
      </c>
      <c r="B273" t="s">
        <v>7491</v>
      </c>
      <c r="C273" s="67">
        <v>46023</v>
      </c>
      <c r="D273" s="67">
        <v>47484</v>
      </c>
    </row>
    <row r="274" spans="1:4">
      <c r="A274" t="s">
        <v>7421</v>
      </c>
      <c r="B274" t="s">
        <v>7422</v>
      </c>
      <c r="C274" s="67">
        <v>40909</v>
      </c>
      <c r="D274" s="67">
        <v>51501</v>
      </c>
    </row>
    <row r="275" spans="1:4">
      <c r="A275" t="s">
        <v>4008</v>
      </c>
      <c r="B275" t="s">
        <v>4009</v>
      </c>
      <c r="C275" s="67">
        <v>40909</v>
      </c>
      <c r="D275" s="67">
        <v>51501</v>
      </c>
    </row>
    <row r="276" spans="1:4">
      <c r="A276" t="s">
        <v>4010</v>
      </c>
      <c r="B276" t="s">
        <v>4011</v>
      </c>
      <c r="C276" s="67">
        <v>40909</v>
      </c>
      <c r="D276" s="67">
        <v>51501</v>
      </c>
    </row>
    <row r="277" spans="1:4">
      <c r="A277" t="s">
        <v>4016</v>
      </c>
      <c r="B277" t="s">
        <v>4017</v>
      </c>
      <c r="C277" s="67">
        <v>40909</v>
      </c>
      <c r="D277" s="67">
        <v>51501</v>
      </c>
    </row>
    <row r="278" spans="1:4">
      <c r="A278" t="s">
        <v>6337</v>
      </c>
      <c r="B278" t="s">
        <v>6338</v>
      </c>
      <c r="C278" s="67">
        <v>44916</v>
      </c>
      <c r="D278" s="67">
        <v>47848</v>
      </c>
    </row>
    <row r="279" spans="1:4">
      <c r="A279" t="s">
        <v>5614</v>
      </c>
      <c r="B279" t="s">
        <v>5615</v>
      </c>
      <c r="C279" s="67">
        <v>44531</v>
      </c>
      <c r="D279" s="67">
        <v>51500</v>
      </c>
    </row>
    <row r="280" spans="1:4">
      <c r="A280" t="s">
        <v>5481</v>
      </c>
      <c r="B280" t="s">
        <v>5482</v>
      </c>
      <c r="C280" s="67">
        <v>44453</v>
      </c>
      <c r="D280" s="67">
        <v>51501</v>
      </c>
    </row>
    <row r="281" spans="1:4">
      <c r="A281" t="s">
        <v>4012</v>
      </c>
      <c r="B281" t="s">
        <v>4013</v>
      </c>
      <c r="C281" s="67">
        <v>40909</v>
      </c>
      <c r="D281" s="67">
        <v>51501</v>
      </c>
    </row>
    <row r="282" spans="1:4">
      <c r="A282" t="s">
        <v>7452</v>
      </c>
      <c r="B282" t="s">
        <v>7453</v>
      </c>
      <c r="C282" s="67">
        <v>44888</v>
      </c>
      <c r="D282" s="67">
        <v>46348</v>
      </c>
    </row>
    <row r="283" spans="1:4">
      <c r="A283" t="s">
        <v>7466</v>
      </c>
      <c r="B283" t="s">
        <v>7467</v>
      </c>
      <c r="C283" s="67">
        <v>43146</v>
      </c>
      <c r="D283" s="67">
        <v>46067</v>
      </c>
    </row>
    <row r="284" spans="1:4">
      <c r="A284" t="s">
        <v>7480</v>
      </c>
      <c r="B284" t="s">
        <v>7481</v>
      </c>
      <c r="C284" s="67">
        <v>46042</v>
      </c>
      <c r="D284" s="67">
        <v>46406</v>
      </c>
    </row>
    <row r="285" spans="1:4">
      <c r="A285" t="s">
        <v>7464</v>
      </c>
      <c r="B285" t="s">
        <v>7465</v>
      </c>
      <c r="C285" s="67">
        <v>45689</v>
      </c>
      <c r="D285" s="67">
        <v>46053</v>
      </c>
    </row>
    <row r="286" spans="1:4">
      <c r="A286" t="s">
        <v>7470</v>
      </c>
      <c r="B286" t="s">
        <v>7471</v>
      </c>
      <c r="C286" s="67">
        <v>45728</v>
      </c>
      <c r="D286" s="67">
        <v>46092</v>
      </c>
    </row>
    <row r="287" spans="1:4">
      <c r="A287" t="s">
        <v>7478</v>
      </c>
      <c r="B287" t="s">
        <v>7479</v>
      </c>
      <c r="C287" s="67">
        <v>44789</v>
      </c>
      <c r="D287" s="67">
        <v>46614</v>
      </c>
    </row>
    <row r="288" spans="1:4">
      <c r="A288" t="s">
        <v>522</v>
      </c>
      <c r="B288" t="s">
        <v>523</v>
      </c>
      <c r="C288" s="67">
        <v>43279</v>
      </c>
      <c r="D288" s="67">
        <v>46200</v>
      </c>
    </row>
    <row r="289" spans="1:4">
      <c r="A289" t="s">
        <v>5207</v>
      </c>
      <c r="B289" t="s">
        <v>5208</v>
      </c>
      <c r="C289" s="67">
        <v>44174</v>
      </c>
      <c r="D289" s="67">
        <v>45634</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CE9C41-46F7-4B26-8E90-B419A61A7119}">
  <sheetPr codeName="Hoja7"/>
  <dimension ref="A1:B45"/>
  <sheetViews>
    <sheetView workbookViewId="0">
      <selection activeCell="A118" sqref="A118"/>
    </sheetView>
  </sheetViews>
  <sheetFormatPr defaultColWidth="11.5703125" defaultRowHeight="15"/>
  <cols>
    <col min="1" max="1" width="13.5703125" bestFit="1" customWidth="1"/>
    <col min="2" max="2" width="42.42578125" bestFit="1" customWidth="1"/>
  </cols>
  <sheetData>
    <row r="1" spans="1:2">
      <c r="A1" t="s">
        <v>19</v>
      </c>
    </row>
    <row r="2" spans="1:2">
      <c r="A2" t="s">
        <v>25</v>
      </c>
    </row>
    <row r="4" spans="1:2">
      <c r="A4" t="s">
        <v>547</v>
      </c>
      <c r="B4" t="s">
        <v>548</v>
      </c>
    </row>
    <row r="5" spans="1:2">
      <c r="A5" t="s">
        <v>4018</v>
      </c>
      <c r="B5" t="s">
        <v>4019</v>
      </c>
    </row>
    <row r="6" spans="1:2">
      <c r="A6" t="s">
        <v>4020</v>
      </c>
      <c r="B6" t="s">
        <v>4021</v>
      </c>
    </row>
    <row r="7" spans="1:2">
      <c r="A7" t="s">
        <v>4022</v>
      </c>
      <c r="B7" t="s">
        <v>7080</v>
      </c>
    </row>
    <row r="8" spans="1:2">
      <c r="A8" t="s">
        <v>4023</v>
      </c>
      <c r="B8" t="s">
        <v>4024</v>
      </c>
    </row>
    <row r="9" spans="1:2">
      <c r="A9" t="s">
        <v>4025</v>
      </c>
      <c r="B9" t="s">
        <v>4026</v>
      </c>
    </row>
    <row r="10" spans="1:2">
      <c r="A10" t="s">
        <v>3918</v>
      </c>
      <c r="B10" t="s">
        <v>3931</v>
      </c>
    </row>
    <row r="11" spans="1:2">
      <c r="A11" t="s">
        <v>4027</v>
      </c>
      <c r="B11" t="s">
        <v>4028</v>
      </c>
    </row>
    <row r="12" spans="1:2">
      <c r="A12" t="s">
        <v>556</v>
      </c>
      <c r="B12" t="s">
        <v>557</v>
      </c>
    </row>
    <row r="13" spans="1:2">
      <c r="A13" t="s">
        <v>75</v>
      </c>
      <c r="B13" t="s">
        <v>560</v>
      </c>
    </row>
    <row r="14" spans="1:2">
      <c r="A14" t="s">
        <v>562</v>
      </c>
      <c r="B14" t="s">
        <v>563</v>
      </c>
    </row>
    <row r="15" spans="1:2">
      <c r="A15" t="s">
        <v>115</v>
      </c>
      <c r="B15" t="s">
        <v>564</v>
      </c>
    </row>
    <row r="16" spans="1:2">
      <c r="A16" t="s">
        <v>565</v>
      </c>
      <c r="B16" t="s">
        <v>566</v>
      </c>
    </row>
    <row r="17" spans="1:2">
      <c r="A17" t="s">
        <v>567</v>
      </c>
      <c r="B17" t="s">
        <v>568</v>
      </c>
    </row>
    <row r="18" spans="1:2">
      <c r="A18" t="s">
        <v>569</v>
      </c>
      <c r="B18" t="s">
        <v>570</v>
      </c>
    </row>
    <row r="19" spans="1:2">
      <c r="A19" t="s">
        <v>571</v>
      </c>
      <c r="B19" t="s">
        <v>572</v>
      </c>
    </row>
    <row r="20" spans="1:2">
      <c r="A20" t="s">
        <v>573</v>
      </c>
      <c r="B20" t="s">
        <v>574</v>
      </c>
    </row>
    <row r="21" spans="1:2">
      <c r="A21" t="s">
        <v>4029</v>
      </c>
      <c r="B21" t="s">
        <v>4030</v>
      </c>
    </row>
    <row r="22" spans="1:2">
      <c r="A22" t="s">
        <v>4031</v>
      </c>
      <c r="B22" t="s">
        <v>6365</v>
      </c>
    </row>
    <row r="23" spans="1:2">
      <c r="A23" t="s">
        <v>4032</v>
      </c>
      <c r="B23" t="s">
        <v>4033</v>
      </c>
    </row>
    <row r="24" spans="1:2">
      <c r="A24" t="s">
        <v>4034</v>
      </c>
      <c r="B24" t="s">
        <v>4035</v>
      </c>
    </row>
    <row r="25" spans="1:2">
      <c r="A25" t="s">
        <v>4036</v>
      </c>
      <c r="B25" t="s">
        <v>4037</v>
      </c>
    </row>
    <row r="26" spans="1:2">
      <c r="A26" t="s">
        <v>576</v>
      </c>
      <c r="B26" t="s">
        <v>4038</v>
      </c>
    </row>
    <row r="27" spans="1:2">
      <c r="A27" t="s">
        <v>4039</v>
      </c>
      <c r="B27" t="s">
        <v>4040</v>
      </c>
    </row>
    <row r="28" spans="1:2">
      <c r="A28" t="s">
        <v>3917</v>
      </c>
      <c r="B28" t="s">
        <v>4041</v>
      </c>
    </row>
    <row r="29" spans="1:2">
      <c r="A29" t="s">
        <v>5003</v>
      </c>
      <c r="B29" t="s">
        <v>5209</v>
      </c>
    </row>
    <row r="30" spans="1:2">
      <c r="A30" t="s">
        <v>5210</v>
      </c>
      <c r="B30" t="s">
        <v>5211</v>
      </c>
    </row>
    <row r="31" spans="1:2">
      <c r="A31" t="s">
        <v>5478</v>
      </c>
      <c r="B31" t="s">
        <v>5649</v>
      </c>
    </row>
    <row r="32" spans="1:2">
      <c r="A32" t="s">
        <v>5399</v>
      </c>
      <c r="B32" t="s">
        <v>5650</v>
      </c>
    </row>
    <row r="33" spans="1:2">
      <c r="A33" t="s">
        <v>5651</v>
      </c>
      <c r="B33" t="s">
        <v>5652</v>
      </c>
    </row>
    <row r="34" spans="1:2">
      <c r="A34" t="s">
        <v>5653</v>
      </c>
      <c r="B34" t="s">
        <v>5654</v>
      </c>
    </row>
    <row r="35" spans="1:2">
      <c r="A35" t="s">
        <v>5699</v>
      </c>
      <c r="B35" t="s">
        <v>5700</v>
      </c>
    </row>
    <row r="36" spans="1:2">
      <c r="A36" t="s">
        <v>6100</v>
      </c>
      <c r="B36" t="s">
        <v>6366</v>
      </c>
    </row>
    <row r="37" spans="1:2">
      <c r="A37" t="s">
        <v>6367</v>
      </c>
      <c r="B37" t="s">
        <v>6368</v>
      </c>
    </row>
    <row r="38" spans="1:2">
      <c r="A38" t="s">
        <v>6369</v>
      </c>
      <c r="B38" t="s">
        <v>5946</v>
      </c>
    </row>
    <row r="39" spans="1:2">
      <c r="A39" t="s">
        <v>6087</v>
      </c>
      <c r="B39" t="s">
        <v>6370</v>
      </c>
    </row>
    <row r="40" spans="1:2">
      <c r="A40" t="s">
        <v>6371</v>
      </c>
      <c r="B40" t="s">
        <v>6372</v>
      </c>
    </row>
    <row r="41" spans="1:2">
      <c r="A41" t="s">
        <v>6615</v>
      </c>
      <c r="B41" t="s">
        <v>6616</v>
      </c>
    </row>
    <row r="42" spans="1:2">
      <c r="A42" t="s">
        <v>7081</v>
      </c>
      <c r="B42" t="s">
        <v>7082</v>
      </c>
    </row>
    <row r="43" spans="1:2">
      <c r="A43" t="s">
        <v>7083</v>
      </c>
      <c r="B43" t="s">
        <v>7084</v>
      </c>
    </row>
    <row r="44" spans="1:2">
      <c r="A44" t="s">
        <v>7085</v>
      </c>
      <c r="B44" t="s">
        <v>7086</v>
      </c>
    </row>
    <row r="45" spans="1:2">
      <c r="A45" t="s">
        <v>7087</v>
      </c>
      <c r="B45" t="s">
        <v>7088</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43A8A2-6385-42E7-B32A-20B69CAA8CBA}">
  <sheetPr codeName="Hoja8"/>
  <dimension ref="A1:B261"/>
  <sheetViews>
    <sheetView topLeftCell="A191" workbookViewId="0">
      <selection activeCell="D208" sqref="D208"/>
    </sheetView>
  </sheetViews>
  <sheetFormatPr defaultColWidth="11.5703125" defaultRowHeight="15"/>
  <cols>
    <col min="1" max="1" width="13.5703125" bestFit="1" customWidth="1"/>
    <col min="2" max="2" width="64.85546875" bestFit="1" customWidth="1"/>
  </cols>
  <sheetData>
    <row r="1" spans="1:2">
      <c r="A1" t="s">
        <v>18</v>
      </c>
    </row>
    <row r="2" spans="1:2">
      <c r="A2" t="s">
        <v>26</v>
      </c>
    </row>
    <row r="4" spans="1:2">
      <c r="A4" t="s">
        <v>577</v>
      </c>
      <c r="B4" t="s">
        <v>578</v>
      </c>
    </row>
    <row r="5" spans="1:2">
      <c r="A5" t="s">
        <v>579</v>
      </c>
      <c r="B5" t="s">
        <v>580</v>
      </c>
    </row>
    <row r="6" spans="1:2">
      <c r="A6" t="s">
        <v>581</v>
      </c>
      <c r="B6" t="s">
        <v>582</v>
      </c>
    </row>
    <row r="7" spans="1:2">
      <c r="A7" t="s">
        <v>583</v>
      </c>
      <c r="B7" t="s">
        <v>584</v>
      </c>
    </row>
    <row r="8" spans="1:2">
      <c r="A8" t="s">
        <v>585</v>
      </c>
      <c r="B8" t="s">
        <v>586</v>
      </c>
    </row>
    <row r="9" spans="1:2">
      <c r="A9" t="s">
        <v>587</v>
      </c>
      <c r="B9" t="s">
        <v>588</v>
      </c>
    </row>
    <row r="10" spans="1:2">
      <c r="A10" t="s">
        <v>589</v>
      </c>
      <c r="B10" t="s">
        <v>590</v>
      </c>
    </row>
    <row r="11" spans="1:2">
      <c r="A11" t="s">
        <v>591</v>
      </c>
      <c r="B11" t="s">
        <v>592</v>
      </c>
    </row>
    <row r="12" spans="1:2">
      <c r="A12" t="s">
        <v>593</v>
      </c>
      <c r="B12" t="s">
        <v>594</v>
      </c>
    </row>
    <row r="13" spans="1:2">
      <c r="A13" t="s">
        <v>595</v>
      </c>
      <c r="B13" t="s">
        <v>596</v>
      </c>
    </row>
    <row r="14" spans="1:2">
      <c r="A14" t="s">
        <v>597</v>
      </c>
      <c r="B14" t="s">
        <v>598</v>
      </c>
    </row>
    <row r="15" spans="1:2">
      <c r="A15" t="s">
        <v>599</v>
      </c>
      <c r="B15" t="s">
        <v>600</v>
      </c>
    </row>
    <row r="16" spans="1:2">
      <c r="A16" t="s">
        <v>601</v>
      </c>
      <c r="B16" t="s">
        <v>602</v>
      </c>
    </row>
    <row r="17" spans="1:2">
      <c r="A17" t="s">
        <v>603</v>
      </c>
      <c r="B17" t="s">
        <v>604</v>
      </c>
    </row>
    <row r="18" spans="1:2">
      <c r="A18" t="s">
        <v>605</v>
      </c>
      <c r="B18" t="s">
        <v>606</v>
      </c>
    </row>
    <row r="19" spans="1:2">
      <c r="A19" t="s">
        <v>607</v>
      </c>
      <c r="B19" t="s">
        <v>594</v>
      </c>
    </row>
    <row r="20" spans="1:2">
      <c r="A20" t="s">
        <v>608</v>
      </c>
      <c r="B20" t="s">
        <v>609</v>
      </c>
    </row>
    <row r="21" spans="1:2">
      <c r="A21" t="s">
        <v>610</v>
      </c>
      <c r="B21" t="s">
        <v>611</v>
      </c>
    </row>
    <row r="22" spans="1:2">
      <c r="A22" t="s">
        <v>612</v>
      </c>
      <c r="B22" t="s">
        <v>613</v>
      </c>
    </row>
    <row r="23" spans="1:2">
      <c r="A23" t="s">
        <v>614</v>
      </c>
      <c r="B23" t="s">
        <v>615</v>
      </c>
    </row>
    <row r="24" spans="1:2">
      <c r="A24" t="s">
        <v>616</v>
      </c>
      <c r="B24" t="s">
        <v>617</v>
      </c>
    </row>
    <row r="25" spans="1:2">
      <c r="A25" t="s">
        <v>618</v>
      </c>
      <c r="B25" t="s">
        <v>619</v>
      </c>
    </row>
    <row r="26" spans="1:2">
      <c r="A26" t="s">
        <v>620</v>
      </c>
      <c r="B26" t="s">
        <v>621</v>
      </c>
    </row>
    <row r="27" spans="1:2">
      <c r="A27" t="s">
        <v>622</v>
      </c>
      <c r="B27" t="s">
        <v>623</v>
      </c>
    </row>
    <row r="28" spans="1:2">
      <c r="A28" t="s">
        <v>624</v>
      </c>
      <c r="B28" t="s">
        <v>625</v>
      </c>
    </row>
    <row r="29" spans="1:2">
      <c r="A29" t="s">
        <v>626</v>
      </c>
      <c r="B29" t="s">
        <v>627</v>
      </c>
    </row>
    <row r="30" spans="1:2">
      <c r="A30" t="s">
        <v>628</v>
      </c>
      <c r="B30" t="s">
        <v>629</v>
      </c>
    </row>
    <row r="31" spans="1:2">
      <c r="A31" t="s">
        <v>630</v>
      </c>
      <c r="B31" t="s">
        <v>631</v>
      </c>
    </row>
    <row r="32" spans="1:2">
      <c r="A32" t="s">
        <v>632</v>
      </c>
      <c r="B32" t="s">
        <v>633</v>
      </c>
    </row>
    <row r="33" spans="1:2">
      <c r="A33" t="s">
        <v>634</v>
      </c>
      <c r="B33" t="s">
        <v>635</v>
      </c>
    </row>
    <row r="34" spans="1:2">
      <c r="A34" t="s">
        <v>636</v>
      </c>
      <c r="B34" t="s">
        <v>637</v>
      </c>
    </row>
    <row r="35" spans="1:2">
      <c r="A35" t="s">
        <v>638</v>
      </c>
      <c r="B35" t="s">
        <v>639</v>
      </c>
    </row>
    <row r="36" spans="1:2">
      <c r="A36" t="s">
        <v>640</v>
      </c>
      <c r="B36" t="s">
        <v>641</v>
      </c>
    </row>
    <row r="37" spans="1:2">
      <c r="A37" t="s">
        <v>642</v>
      </c>
      <c r="B37" t="s">
        <v>643</v>
      </c>
    </row>
    <row r="38" spans="1:2">
      <c r="A38" t="s">
        <v>644</v>
      </c>
      <c r="B38" t="s">
        <v>645</v>
      </c>
    </row>
    <row r="39" spans="1:2">
      <c r="A39" t="s">
        <v>646</v>
      </c>
      <c r="B39" t="s">
        <v>647</v>
      </c>
    </row>
    <row r="40" spans="1:2">
      <c r="A40" t="s">
        <v>648</v>
      </c>
      <c r="B40" t="s">
        <v>649</v>
      </c>
    </row>
    <row r="41" spans="1:2">
      <c r="A41" t="s">
        <v>650</v>
      </c>
      <c r="B41" t="s">
        <v>651</v>
      </c>
    </row>
    <row r="42" spans="1:2">
      <c r="A42" t="s">
        <v>652</v>
      </c>
      <c r="B42" t="s">
        <v>653</v>
      </c>
    </row>
    <row r="43" spans="1:2">
      <c r="A43" t="s">
        <v>654</v>
      </c>
      <c r="B43" t="s">
        <v>655</v>
      </c>
    </row>
    <row r="44" spans="1:2">
      <c r="A44" t="s">
        <v>656</v>
      </c>
      <c r="B44" t="s">
        <v>657</v>
      </c>
    </row>
    <row r="45" spans="1:2">
      <c r="A45" t="s">
        <v>658</v>
      </c>
      <c r="B45" t="s">
        <v>659</v>
      </c>
    </row>
    <row r="46" spans="1:2">
      <c r="A46" t="s">
        <v>660</v>
      </c>
      <c r="B46" t="s">
        <v>661</v>
      </c>
    </row>
    <row r="47" spans="1:2">
      <c r="A47" t="s">
        <v>662</v>
      </c>
      <c r="B47" t="s">
        <v>663</v>
      </c>
    </row>
    <row r="48" spans="1:2">
      <c r="A48" t="s">
        <v>664</v>
      </c>
      <c r="B48" t="s">
        <v>665</v>
      </c>
    </row>
    <row r="49" spans="1:2">
      <c r="A49" t="s">
        <v>666</v>
      </c>
      <c r="B49" t="s">
        <v>667</v>
      </c>
    </row>
    <row r="50" spans="1:2">
      <c r="A50" t="s">
        <v>668</v>
      </c>
      <c r="B50" t="s">
        <v>669</v>
      </c>
    </row>
    <row r="51" spans="1:2">
      <c r="A51" t="s">
        <v>670</v>
      </c>
      <c r="B51" t="s">
        <v>671</v>
      </c>
    </row>
    <row r="52" spans="1:2">
      <c r="A52" t="s">
        <v>672</v>
      </c>
      <c r="B52" t="s">
        <v>673</v>
      </c>
    </row>
    <row r="53" spans="1:2">
      <c r="A53" t="s">
        <v>674</v>
      </c>
      <c r="B53" t="s">
        <v>675</v>
      </c>
    </row>
    <row r="54" spans="1:2">
      <c r="A54" t="s">
        <v>676</v>
      </c>
      <c r="B54" t="s">
        <v>677</v>
      </c>
    </row>
    <row r="55" spans="1:2">
      <c r="A55" t="s">
        <v>678</v>
      </c>
      <c r="B55" t="s">
        <v>679</v>
      </c>
    </row>
    <row r="56" spans="1:2">
      <c r="A56" t="s">
        <v>680</v>
      </c>
      <c r="B56" t="s">
        <v>681</v>
      </c>
    </row>
    <row r="57" spans="1:2">
      <c r="A57" t="s">
        <v>682</v>
      </c>
      <c r="B57" t="s">
        <v>683</v>
      </c>
    </row>
    <row r="58" spans="1:2">
      <c r="A58" t="s">
        <v>684</v>
      </c>
      <c r="B58" t="s">
        <v>685</v>
      </c>
    </row>
    <row r="59" spans="1:2">
      <c r="A59" t="s">
        <v>686</v>
      </c>
      <c r="B59" t="s">
        <v>687</v>
      </c>
    </row>
    <row r="60" spans="1:2">
      <c r="A60" t="s">
        <v>688</v>
      </c>
      <c r="B60" t="s">
        <v>689</v>
      </c>
    </row>
    <row r="61" spans="1:2">
      <c r="A61" t="s">
        <v>690</v>
      </c>
      <c r="B61" t="s">
        <v>691</v>
      </c>
    </row>
    <row r="62" spans="1:2">
      <c r="A62" t="s">
        <v>692</v>
      </c>
      <c r="B62" t="s">
        <v>693</v>
      </c>
    </row>
    <row r="63" spans="1:2">
      <c r="A63" t="s">
        <v>694</v>
      </c>
      <c r="B63" t="s">
        <v>695</v>
      </c>
    </row>
    <row r="64" spans="1:2">
      <c r="A64" t="s">
        <v>696</v>
      </c>
      <c r="B64" t="s">
        <v>697</v>
      </c>
    </row>
    <row r="65" spans="1:2">
      <c r="A65" t="s">
        <v>113</v>
      </c>
      <c r="B65" t="s">
        <v>698</v>
      </c>
    </row>
    <row r="66" spans="1:2">
      <c r="A66" t="s">
        <v>5954</v>
      </c>
      <c r="B66" t="s">
        <v>699</v>
      </c>
    </row>
    <row r="67" spans="1:2">
      <c r="A67" t="s">
        <v>700</v>
      </c>
      <c r="B67" t="s">
        <v>701</v>
      </c>
    </row>
    <row r="68" spans="1:2">
      <c r="A68" t="s">
        <v>702</v>
      </c>
      <c r="B68" t="s">
        <v>551</v>
      </c>
    </row>
    <row r="69" spans="1:2">
      <c r="A69" t="s">
        <v>703</v>
      </c>
      <c r="B69" t="s">
        <v>704</v>
      </c>
    </row>
    <row r="70" spans="1:2">
      <c r="A70" t="s">
        <v>705</v>
      </c>
      <c r="B70" t="s">
        <v>706</v>
      </c>
    </row>
    <row r="71" spans="1:2">
      <c r="A71" t="s">
        <v>143</v>
      </c>
      <c r="B71" t="s">
        <v>707</v>
      </c>
    </row>
    <row r="72" spans="1:2">
      <c r="A72" t="s">
        <v>708</v>
      </c>
      <c r="B72" t="s">
        <v>709</v>
      </c>
    </row>
    <row r="73" spans="1:2">
      <c r="A73" t="s">
        <v>710</v>
      </c>
      <c r="B73" t="s">
        <v>711</v>
      </c>
    </row>
    <row r="74" spans="1:2">
      <c r="A74" t="s">
        <v>712</v>
      </c>
      <c r="B74" t="s">
        <v>713</v>
      </c>
    </row>
    <row r="75" spans="1:2">
      <c r="A75" t="s">
        <v>714</v>
      </c>
      <c r="B75" t="s">
        <v>715</v>
      </c>
    </row>
    <row r="76" spans="1:2">
      <c r="A76" t="s">
        <v>716</v>
      </c>
      <c r="B76" t="s">
        <v>717</v>
      </c>
    </row>
    <row r="77" spans="1:2">
      <c r="A77" t="s">
        <v>718</v>
      </c>
      <c r="B77" t="s">
        <v>719</v>
      </c>
    </row>
    <row r="78" spans="1:2">
      <c r="A78" t="s">
        <v>720</v>
      </c>
      <c r="B78" t="s">
        <v>721</v>
      </c>
    </row>
    <row r="79" spans="1:2">
      <c r="A79" t="s">
        <v>722</v>
      </c>
      <c r="B79" t="s">
        <v>723</v>
      </c>
    </row>
    <row r="80" spans="1:2">
      <c r="A80" t="s">
        <v>724</v>
      </c>
      <c r="B80" t="s">
        <v>725</v>
      </c>
    </row>
    <row r="81" spans="1:2">
      <c r="A81" t="s">
        <v>726</v>
      </c>
      <c r="B81" t="s">
        <v>727</v>
      </c>
    </row>
    <row r="82" spans="1:2">
      <c r="A82" t="s">
        <v>728</v>
      </c>
      <c r="B82" t="s">
        <v>729</v>
      </c>
    </row>
    <row r="83" spans="1:2">
      <c r="A83" t="s">
        <v>730</v>
      </c>
      <c r="B83" t="s">
        <v>731</v>
      </c>
    </row>
    <row r="84" spans="1:2">
      <c r="A84" t="s">
        <v>732</v>
      </c>
      <c r="B84" t="s">
        <v>733</v>
      </c>
    </row>
    <row r="85" spans="1:2">
      <c r="A85" t="s">
        <v>734</v>
      </c>
      <c r="B85" t="s">
        <v>735</v>
      </c>
    </row>
    <row r="86" spans="1:2">
      <c r="A86" t="s">
        <v>736</v>
      </c>
      <c r="B86" t="s">
        <v>737</v>
      </c>
    </row>
    <row r="87" spans="1:2">
      <c r="A87" t="s">
        <v>738</v>
      </c>
      <c r="B87" t="s">
        <v>681</v>
      </c>
    </row>
    <row r="88" spans="1:2">
      <c r="A88" t="s">
        <v>739</v>
      </c>
      <c r="B88" t="s">
        <v>740</v>
      </c>
    </row>
    <row r="89" spans="1:2">
      <c r="A89" t="s">
        <v>741</v>
      </c>
      <c r="B89" t="s">
        <v>742</v>
      </c>
    </row>
    <row r="90" spans="1:2">
      <c r="A90" t="s">
        <v>743</v>
      </c>
      <c r="B90" t="s">
        <v>744</v>
      </c>
    </row>
    <row r="91" spans="1:2">
      <c r="A91" t="s">
        <v>745</v>
      </c>
      <c r="B91" t="s">
        <v>746</v>
      </c>
    </row>
    <row r="92" spans="1:2">
      <c r="A92" t="s">
        <v>747</v>
      </c>
      <c r="B92" t="s">
        <v>748</v>
      </c>
    </row>
    <row r="93" spans="1:2">
      <c r="A93" t="s">
        <v>749</v>
      </c>
      <c r="B93" t="s">
        <v>750</v>
      </c>
    </row>
    <row r="94" spans="1:2">
      <c r="A94" t="s">
        <v>751</v>
      </c>
      <c r="B94" t="s">
        <v>752</v>
      </c>
    </row>
    <row r="95" spans="1:2">
      <c r="A95" t="s">
        <v>753</v>
      </c>
      <c r="B95" t="s">
        <v>6067</v>
      </c>
    </row>
    <row r="96" spans="1:2">
      <c r="A96" t="s">
        <v>754</v>
      </c>
      <c r="B96" t="s">
        <v>755</v>
      </c>
    </row>
    <row r="97" spans="1:2">
      <c r="A97" t="s">
        <v>756</v>
      </c>
      <c r="B97" t="s">
        <v>757</v>
      </c>
    </row>
    <row r="98" spans="1:2">
      <c r="A98" t="s">
        <v>758</v>
      </c>
      <c r="B98" t="s">
        <v>759</v>
      </c>
    </row>
    <row r="99" spans="1:2">
      <c r="A99" t="s">
        <v>760</v>
      </c>
      <c r="B99" t="s">
        <v>761</v>
      </c>
    </row>
    <row r="100" spans="1:2">
      <c r="A100" t="s">
        <v>762</v>
      </c>
      <c r="B100" t="s">
        <v>763</v>
      </c>
    </row>
    <row r="101" spans="1:2">
      <c r="A101" t="s">
        <v>764</v>
      </c>
      <c r="B101" t="s">
        <v>765</v>
      </c>
    </row>
    <row r="102" spans="1:2">
      <c r="A102" t="s">
        <v>766</v>
      </c>
      <c r="B102" t="s">
        <v>767</v>
      </c>
    </row>
    <row r="103" spans="1:2">
      <c r="A103" t="s">
        <v>768</v>
      </c>
      <c r="B103" t="s">
        <v>769</v>
      </c>
    </row>
    <row r="104" spans="1:2">
      <c r="A104" t="s">
        <v>770</v>
      </c>
      <c r="B104" t="s">
        <v>771</v>
      </c>
    </row>
    <row r="105" spans="1:2">
      <c r="A105" t="s">
        <v>772</v>
      </c>
      <c r="B105" t="s">
        <v>773</v>
      </c>
    </row>
    <row r="106" spans="1:2">
      <c r="A106" t="s">
        <v>774</v>
      </c>
      <c r="B106" t="s">
        <v>775</v>
      </c>
    </row>
    <row r="107" spans="1:2">
      <c r="A107" t="s">
        <v>4939</v>
      </c>
      <c r="B107" t="s">
        <v>776</v>
      </c>
    </row>
    <row r="108" spans="1:2">
      <c r="A108" t="s">
        <v>777</v>
      </c>
      <c r="B108" t="s">
        <v>778</v>
      </c>
    </row>
    <row r="109" spans="1:2">
      <c r="A109" t="s">
        <v>6373</v>
      </c>
      <c r="B109" t="s">
        <v>779</v>
      </c>
    </row>
    <row r="110" spans="1:2">
      <c r="A110" t="s">
        <v>780</v>
      </c>
      <c r="B110" t="s">
        <v>781</v>
      </c>
    </row>
    <row r="111" spans="1:2">
      <c r="A111" t="s">
        <v>782</v>
      </c>
      <c r="B111" t="s">
        <v>783</v>
      </c>
    </row>
    <row r="112" spans="1:2">
      <c r="A112" t="s">
        <v>784</v>
      </c>
      <c r="B112" t="s">
        <v>785</v>
      </c>
    </row>
    <row r="113" spans="1:2">
      <c r="A113" t="s">
        <v>786</v>
      </c>
      <c r="B113" t="s">
        <v>787</v>
      </c>
    </row>
    <row r="114" spans="1:2">
      <c r="A114" t="s">
        <v>788</v>
      </c>
      <c r="B114" t="s">
        <v>789</v>
      </c>
    </row>
    <row r="115" spans="1:2">
      <c r="A115" t="s">
        <v>790</v>
      </c>
      <c r="B115" t="s">
        <v>791</v>
      </c>
    </row>
    <row r="116" spans="1:2">
      <c r="A116" t="s">
        <v>792</v>
      </c>
      <c r="B116" t="s">
        <v>793</v>
      </c>
    </row>
    <row r="117" spans="1:2">
      <c r="A117" t="s">
        <v>794</v>
      </c>
      <c r="B117" t="s">
        <v>795</v>
      </c>
    </row>
    <row r="118" spans="1:2">
      <c r="A118" t="s">
        <v>796</v>
      </c>
      <c r="B118" t="s">
        <v>797</v>
      </c>
    </row>
    <row r="119" spans="1:2">
      <c r="A119" t="s">
        <v>798</v>
      </c>
      <c r="B119" t="s">
        <v>799</v>
      </c>
    </row>
    <row r="120" spans="1:2">
      <c r="A120" t="s">
        <v>800</v>
      </c>
      <c r="B120" t="s">
        <v>801</v>
      </c>
    </row>
    <row r="121" spans="1:2">
      <c r="A121" t="s">
        <v>802</v>
      </c>
      <c r="B121" t="s">
        <v>803</v>
      </c>
    </row>
    <row r="122" spans="1:2">
      <c r="A122" t="s">
        <v>804</v>
      </c>
      <c r="B122" t="s">
        <v>805</v>
      </c>
    </row>
    <row r="123" spans="1:2">
      <c r="A123" t="s">
        <v>806</v>
      </c>
      <c r="B123" t="s">
        <v>807</v>
      </c>
    </row>
    <row r="124" spans="1:2">
      <c r="A124" t="s">
        <v>808</v>
      </c>
      <c r="B124" t="s">
        <v>809</v>
      </c>
    </row>
    <row r="125" spans="1:2">
      <c r="A125" t="s">
        <v>810</v>
      </c>
      <c r="B125" t="s">
        <v>811</v>
      </c>
    </row>
    <row r="126" spans="1:2">
      <c r="A126" t="s">
        <v>812</v>
      </c>
      <c r="B126" t="s">
        <v>813</v>
      </c>
    </row>
    <row r="127" spans="1:2">
      <c r="A127" t="s">
        <v>814</v>
      </c>
      <c r="B127" t="s">
        <v>815</v>
      </c>
    </row>
    <row r="128" spans="1:2">
      <c r="A128" t="s">
        <v>816</v>
      </c>
      <c r="B128" t="s">
        <v>817</v>
      </c>
    </row>
    <row r="129" spans="1:2">
      <c r="A129" t="s">
        <v>818</v>
      </c>
      <c r="B129" t="s">
        <v>819</v>
      </c>
    </row>
    <row r="130" spans="1:2">
      <c r="A130" t="s">
        <v>820</v>
      </c>
      <c r="B130" t="s">
        <v>821</v>
      </c>
    </row>
    <row r="131" spans="1:2">
      <c r="A131" t="s">
        <v>822</v>
      </c>
      <c r="B131" t="s">
        <v>823</v>
      </c>
    </row>
    <row r="132" spans="1:2">
      <c r="A132" t="s">
        <v>824</v>
      </c>
      <c r="B132" t="s">
        <v>825</v>
      </c>
    </row>
    <row r="133" spans="1:2">
      <c r="A133" t="s">
        <v>5655</v>
      </c>
      <c r="B133" t="s">
        <v>826</v>
      </c>
    </row>
    <row r="134" spans="1:2">
      <c r="A134" t="s">
        <v>827</v>
      </c>
      <c r="B134" t="s">
        <v>6374</v>
      </c>
    </row>
    <row r="135" spans="1:2">
      <c r="A135" t="s">
        <v>828</v>
      </c>
      <c r="B135" t="s">
        <v>829</v>
      </c>
    </row>
    <row r="136" spans="1:2">
      <c r="A136" t="s">
        <v>830</v>
      </c>
      <c r="B136" t="s">
        <v>831</v>
      </c>
    </row>
    <row r="137" spans="1:2">
      <c r="A137" t="s">
        <v>832</v>
      </c>
      <c r="B137" t="s">
        <v>833</v>
      </c>
    </row>
    <row r="138" spans="1:2">
      <c r="A138" t="s">
        <v>834</v>
      </c>
      <c r="B138" t="s">
        <v>835</v>
      </c>
    </row>
    <row r="139" spans="1:2">
      <c r="A139" t="s">
        <v>836</v>
      </c>
      <c r="B139" t="s">
        <v>6375</v>
      </c>
    </row>
    <row r="140" spans="1:2">
      <c r="A140" t="s">
        <v>837</v>
      </c>
      <c r="B140" t="s">
        <v>838</v>
      </c>
    </row>
    <row r="141" spans="1:2">
      <c r="A141" t="s">
        <v>6376</v>
      </c>
      <c r="B141" t="s">
        <v>839</v>
      </c>
    </row>
    <row r="142" spans="1:2">
      <c r="A142" t="s">
        <v>840</v>
      </c>
      <c r="B142" t="s">
        <v>841</v>
      </c>
    </row>
    <row r="143" spans="1:2">
      <c r="A143" t="s">
        <v>842</v>
      </c>
      <c r="B143" t="s">
        <v>843</v>
      </c>
    </row>
    <row r="144" spans="1:2">
      <c r="A144" t="s">
        <v>844</v>
      </c>
      <c r="B144" t="s">
        <v>845</v>
      </c>
    </row>
    <row r="145" spans="1:2">
      <c r="A145" t="s">
        <v>846</v>
      </c>
      <c r="B145" t="s">
        <v>847</v>
      </c>
    </row>
    <row r="146" spans="1:2">
      <c r="A146" t="s">
        <v>848</v>
      </c>
      <c r="B146" t="s">
        <v>849</v>
      </c>
    </row>
    <row r="147" spans="1:2">
      <c r="A147" t="s">
        <v>850</v>
      </c>
      <c r="B147" t="s">
        <v>851</v>
      </c>
    </row>
    <row r="148" spans="1:2">
      <c r="A148" t="s">
        <v>852</v>
      </c>
      <c r="B148" t="s">
        <v>717</v>
      </c>
    </row>
    <row r="149" spans="1:2">
      <c r="A149" t="s">
        <v>853</v>
      </c>
      <c r="B149" t="s">
        <v>854</v>
      </c>
    </row>
    <row r="150" spans="1:2">
      <c r="A150" t="s">
        <v>855</v>
      </c>
      <c r="B150" t="s">
        <v>856</v>
      </c>
    </row>
    <row r="151" spans="1:2">
      <c r="A151" t="s">
        <v>857</v>
      </c>
      <c r="B151" t="s">
        <v>858</v>
      </c>
    </row>
    <row r="152" spans="1:2">
      <c r="A152" t="s">
        <v>859</v>
      </c>
      <c r="B152" t="s">
        <v>860</v>
      </c>
    </row>
    <row r="153" spans="1:2">
      <c r="A153" t="s">
        <v>861</v>
      </c>
      <c r="B153" t="s">
        <v>862</v>
      </c>
    </row>
    <row r="154" spans="1:2">
      <c r="A154" t="s">
        <v>863</v>
      </c>
      <c r="B154" t="s">
        <v>864</v>
      </c>
    </row>
    <row r="155" spans="1:2">
      <c r="A155" t="s">
        <v>865</v>
      </c>
      <c r="B155" t="s">
        <v>866</v>
      </c>
    </row>
    <row r="156" spans="1:2">
      <c r="A156" t="s">
        <v>867</v>
      </c>
      <c r="B156" t="s">
        <v>868</v>
      </c>
    </row>
    <row r="157" spans="1:2">
      <c r="A157" t="s">
        <v>869</v>
      </c>
      <c r="B157" t="s">
        <v>870</v>
      </c>
    </row>
    <row r="158" spans="1:2">
      <c r="A158" t="s">
        <v>6377</v>
      </c>
      <c r="B158" t="s">
        <v>5212</v>
      </c>
    </row>
    <row r="159" spans="1:2">
      <c r="A159" t="s">
        <v>871</v>
      </c>
      <c r="B159" t="s">
        <v>872</v>
      </c>
    </row>
    <row r="160" spans="1:2">
      <c r="A160" t="s">
        <v>873</v>
      </c>
      <c r="B160" t="s">
        <v>874</v>
      </c>
    </row>
    <row r="161" spans="1:2">
      <c r="A161" t="s">
        <v>875</v>
      </c>
      <c r="B161" t="s">
        <v>876</v>
      </c>
    </row>
    <row r="162" spans="1:2">
      <c r="A162" t="s">
        <v>877</v>
      </c>
      <c r="B162" t="s">
        <v>878</v>
      </c>
    </row>
    <row r="163" spans="1:2">
      <c r="A163" t="s">
        <v>879</v>
      </c>
      <c r="B163" t="s">
        <v>6097</v>
      </c>
    </row>
    <row r="164" spans="1:2">
      <c r="A164" t="s">
        <v>880</v>
      </c>
      <c r="B164" t="s">
        <v>881</v>
      </c>
    </row>
    <row r="165" spans="1:2">
      <c r="A165" t="s">
        <v>882</v>
      </c>
      <c r="B165" t="s">
        <v>883</v>
      </c>
    </row>
    <row r="166" spans="1:2">
      <c r="A166" t="s">
        <v>884</v>
      </c>
      <c r="B166" t="s">
        <v>885</v>
      </c>
    </row>
    <row r="167" spans="1:2">
      <c r="A167" t="s">
        <v>886</v>
      </c>
      <c r="B167" t="s">
        <v>887</v>
      </c>
    </row>
    <row r="168" spans="1:2">
      <c r="A168" t="s">
        <v>888</v>
      </c>
      <c r="B168" t="s">
        <v>889</v>
      </c>
    </row>
    <row r="169" spans="1:2">
      <c r="A169" t="s">
        <v>890</v>
      </c>
      <c r="B169" t="s">
        <v>891</v>
      </c>
    </row>
    <row r="170" spans="1:2">
      <c r="A170" t="s">
        <v>892</v>
      </c>
      <c r="B170" t="s">
        <v>619</v>
      </c>
    </row>
    <row r="171" spans="1:2">
      <c r="A171" t="s">
        <v>893</v>
      </c>
      <c r="B171" t="s">
        <v>894</v>
      </c>
    </row>
    <row r="172" spans="1:2">
      <c r="A172" t="s">
        <v>895</v>
      </c>
      <c r="B172" t="s">
        <v>896</v>
      </c>
    </row>
    <row r="173" spans="1:2">
      <c r="A173" t="s">
        <v>897</v>
      </c>
      <c r="B173" t="s">
        <v>898</v>
      </c>
    </row>
    <row r="174" spans="1:2">
      <c r="A174" t="s">
        <v>899</v>
      </c>
      <c r="B174" t="s">
        <v>3924</v>
      </c>
    </row>
    <row r="175" spans="1:2">
      <c r="A175" t="s">
        <v>900</v>
      </c>
      <c r="B175" t="s">
        <v>901</v>
      </c>
    </row>
    <row r="176" spans="1:2">
      <c r="A176" t="s">
        <v>902</v>
      </c>
      <c r="B176" t="s">
        <v>903</v>
      </c>
    </row>
    <row r="177" spans="1:2">
      <c r="A177" t="s">
        <v>904</v>
      </c>
      <c r="B177" t="s">
        <v>905</v>
      </c>
    </row>
    <row r="178" spans="1:2">
      <c r="A178" t="s">
        <v>4042</v>
      </c>
      <c r="B178" t="s">
        <v>4043</v>
      </c>
    </row>
    <row r="179" spans="1:2">
      <c r="A179" t="s">
        <v>4044</v>
      </c>
      <c r="B179" t="s">
        <v>5213</v>
      </c>
    </row>
    <row r="180" spans="1:2">
      <c r="A180" t="s">
        <v>4118</v>
      </c>
      <c r="B180" t="s">
        <v>5955</v>
      </c>
    </row>
    <row r="181" spans="1:2">
      <c r="A181" t="s">
        <v>4995</v>
      </c>
      <c r="B181" t="s">
        <v>4996</v>
      </c>
    </row>
    <row r="182" spans="1:2">
      <c r="A182" t="s">
        <v>5021</v>
      </c>
      <c r="B182" t="s">
        <v>7492</v>
      </c>
    </row>
    <row r="183" spans="1:2">
      <c r="A183" t="s">
        <v>4991</v>
      </c>
      <c r="B183" t="s">
        <v>4992</v>
      </c>
    </row>
    <row r="184" spans="1:2">
      <c r="A184" t="s">
        <v>5022</v>
      </c>
      <c r="B184" t="s">
        <v>5023</v>
      </c>
    </row>
    <row r="185" spans="1:2">
      <c r="A185" t="s">
        <v>4930</v>
      </c>
      <c r="B185" t="s">
        <v>4931</v>
      </c>
    </row>
    <row r="186" spans="1:2">
      <c r="A186" t="s">
        <v>4987</v>
      </c>
      <c r="B186" t="s">
        <v>4988</v>
      </c>
    </row>
    <row r="187" spans="1:2">
      <c r="A187" t="s">
        <v>4997</v>
      </c>
      <c r="B187" t="s">
        <v>6378</v>
      </c>
    </row>
    <row r="188" spans="1:2">
      <c r="A188" t="s">
        <v>5214</v>
      </c>
      <c r="B188" t="s">
        <v>5215</v>
      </c>
    </row>
    <row r="189" spans="1:2">
      <c r="A189" t="s">
        <v>5032</v>
      </c>
      <c r="B189" t="s">
        <v>5033</v>
      </c>
    </row>
    <row r="190" spans="1:2">
      <c r="A190" t="s">
        <v>5038</v>
      </c>
      <c r="B190" t="s">
        <v>5039</v>
      </c>
    </row>
    <row r="191" spans="1:2">
      <c r="A191" t="s">
        <v>5216</v>
      </c>
      <c r="B191" t="s">
        <v>5217</v>
      </c>
    </row>
    <row r="192" spans="1:2">
      <c r="A192" t="s">
        <v>5028</v>
      </c>
      <c r="B192" t="s">
        <v>5029</v>
      </c>
    </row>
    <row r="193" spans="1:2">
      <c r="A193" t="s">
        <v>5004</v>
      </c>
      <c r="B193" t="s">
        <v>5005</v>
      </c>
    </row>
    <row r="194" spans="1:2">
      <c r="A194" t="s">
        <v>5656</v>
      </c>
      <c r="B194" t="s">
        <v>5657</v>
      </c>
    </row>
    <row r="195" spans="1:2">
      <c r="A195" t="s">
        <v>5658</v>
      </c>
      <c r="B195" t="s">
        <v>6379</v>
      </c>
    </row>
    <row r="196" spans="1:2">
      <c r="A196" t="s">
        <v>5659</v>
      </c>
      <c r="B196" t="s">
        <v>5660</v>
      </c>
    </row>
    <row r="197" spans="1:2">
      <c r="A197" t="s">
        <v>5661</v>
      </c>
      <c r="B197" t="s">
        <v>5662</v>
      </c>
    </row>
    <row r="198" spans="1:2">
      <c r="A198" t="s">
        <v>5663</v>
      </c>
      <c r="B198" t="s">
        <v>6380</v>
      </c>
    </row>
    <row r="199" spans="1:2">
      <c r="A199" t="s">
        <v>5664</v>
      </c>
      <c r="B199" t="s">
        <v>5665</v>
      </c>
    </row>
    <row r="200" spans="1:2">
      <c r="A200" t="s">
        <v>5666</v>
      </c>
      <c r="B200" t="s">
        <v>5667</v>
      </c>
    </row>
    <row r="201" spans="1:2">
      <c r="A201" t="s">
        <v>5668</v>
      </c>
      <c r="B201" t="s">
        <v>5669</v>
      </c>
    </row>
    <row r="202" spans="1:2">
      <c r="A202" t="s">
        <v>5670</v>
      </c>
      <c r="B202" t="s">
        <v>5671</v>
      </c>
    </row>
    <row r="203" spans="1:2">
      <c r="A203" t="s">
        <v>5672</v>
      </c>
      <c r="B203" t="s">
        <v>5673</v>
      </c>
    </row>
    <row r="204" spans="1:2">
      <c r="A204" t="s">
        <v>5674</v>
      </c>
      <c r="B204" t="s">
        <v>5519</v>
      </c>
    </row>
    <row r="205" spans="1:2">
      <c r="A205" t="s">
        <v>5956</v>
      </c>
      <c r="B205" t="s">
        <v>5957</v>
      </c>
    </row>
    <row r="206" spans="1:2">
      <c r="A206" t="s">
        <v>5958</v>
      </c>
      <c r="B206" t="s">
        <v>5959</v>
      </c>
    </row>
    <row r="207" spans="1:2">
      <c r="A207" t="s">
        <v>5960</v>
      </c>
      <c r="B207" t="s">
        <v>5961</v>
      </c>
    </row>
    <row r="208" spans="1:2">
      <c r="A208" t="s">
        <v>5962</v>
      </c>
      <c r="B208" t="s">
        <v>5963</v>
      </c>
    </row>
    <row r="209" spans="1:2">
      <c r="A209" t="s">
        <v>5964</v>
      </c>
      <c r="B209" t="s">
        <v>5965</v>
      </c>
    </row>
    <row r="210" spans="1:2">
      <c r="A210" t="s">
        <v>5939</v>
      </c>
      <c r="B210" t="s">
        <v>5940</v>
      </c>
    </row>
    <row r="211" spans="1:2">
      <c r="A211" t="s">
        <v>5938</v>
      </c>
      <c r="B211" t="s">
        <v>592</v>
      </c>
    </row>
    <row r="212" spans="1:2">
      <c r="A212" t="s">
        <v>5941</v>
      </c>
      <c r="B212" t="s">
        <v>706</v>
      </c>
    </row>
    <row r="213" spans="1:2">
      <c r="A213" t="s">
        <v>5953</v>
      </c>
      <c r="B213" t="s">
        <v>6381</v>
      </c>
    </row>
    <row r="214" spans="1:2">
      <c r="A214" t="s">
        <v>5966</v>
      </c>
      <c r="B214" t="s">
        <v>5967</v>
      </c>
    </row>
    <row r="215" spans="1:2">
      <c r="A215" t="s">
        <v>5968</v>
      </c>
      <c r="B215" t="s">
        <v>5969</v>
      </c>
    </row>
    <row r="216" spans="1:2">
      <c r="A216" t="s">
        <v>6382</v>
      </c>
      <c r="B216" t="s">
        <v>6383</v>
      </c>
    </row>
    <row r="217" spans="1:2">
      <c r="A217" t="s">
        <v>6384</v>
      </c>
      <c r="B217" t="s">
        <v>6385</v>
      </c>
    </row>
    <row r="218" spans="1:2">
      <c r="A218" t="s">
        <v>6386</v>
      </c>
      <c r="B218" t="s">
        <v>6387</v>
      </c>
    </row>
    <row r="219" spans="1:2">
      <c r="A219" t="s">
        <v>6075</v>
      </c>
      <c r="B219" t="s">
        <v>6076</v>
      </c>
    </row>
    <row r="220" spans="1:2">
      <c r="A220" t="s">
        <v>6083</v>
      </c>
      <c r="B220" t="s">
        <v>6084</v>
      </c>
    </row>
    <row r="221" spans="1:2">
      <c r="A221" t="s">
        <v>6081</v>
      </c>
      <c r="B221" t="s">
        <v>6082</v>
      </c>
    </row>
    <row r="222" spans="1:2">
      <c r="A222" t="s">
        <v>6388</v>
      </c>
      <c r="B222" t="s">
        <v>6389</v>
      </c>
    </row>
    <row r="223" spans="1:2">
      <c r="A223" t="s">
        <v>6390</v>
      </c>
      <c r="B223" t="s">
        <v>6391</v>
      </c>
    </row>
    <row r="224" spans="1:2">
      <c r="A224" t="s">
        <v>6065</v>
      </c>
      <c r="B224" t="s">
        <v>6066</v>
      </c>
    </row>
    <row r="225" spans="1:2">
      <c r="A225" t="s">
        <v>6392</v>
      </c>
      <c r="B225" t="s">
        <v>6393</v>
      </c>
    </row>
    <row r="226" spans="1:2">
      <c r="A226" t="s">
        <v>6394</v>
      </c>
      <c r="B226" t="s">
        <v>6395</v>
      </c>
    </row>
    <row r="227" spans="1:2">
      <c r="A227" t="s">
        <v>6396</v>
      </c>
      <c r="B227" t="s">
        <v>6397</v>
      </c>
    </row>
    <row r="228" spans="1:2">
      <c r="A228" t="s">
        <v>6398</v>
      </c>
      <c r="B228" t="s">
        <v>6399</v>
      </c>
    </row>
    <row r="229" spans="1:2">
      <c r="A229" t="s">
        <v>6400</v>
      </c>
      <c r="B229" t="s">
        <v>6401</v>
      </c>
    </row>
    <row r="230" spans="1:2">
      <c r="A230" t="s">
        <v>6402</v>
      </c>
      <c r="B230" t="s">
        <v>6403</v>
      </c>
    </row>
    <row r="231" spans="1:2">
      <c r="A231" t="s">
        <v>6404</v>
      </c>
      <c r="B231" t="s">
        <v>6405</v>
      </c>
    </row>
    <row r="232" spans="1:2">
      <c r="A232" t="s">
        <v>6406</v>
      </c>
      <c r="B232" t="s">
        <v>6407</v>
      </c>
    </row>
    <row r="233" spans="1:2">
      <c r="A233" t="s">
        <v>6408</v>
      </c>
      <c r="B233" t="s">
        <v>6409</v>
      </c>
    </row>
    <row r="234" spans="1:2">
      <c r="A234" t="s">
        <v>6410</v>
      </c>
      <c r="B234" t="s">
        <v>6411</v>
      </c>
    </row>
    <row r="235" spans="1:2">
      <c r="A235" t="s">
        <v>6412</v>
      </c>
      <c r="B235" t="s">
        <v>6413</v>
      </c>
    </row>
    <row r="236" spans="1:2">
      <c r="A236" t="s">
        <v>6094</v>
      </c>
      <c r="B236" t="s">
        <v>6095</v>
      </c>
    </row>
    <row r="237" spans="1:2">
      <c r="A237" t="s">
        <v>6414</v>
      </c>
      <c r="B237" t="s">
        <v>6415</v>
      </c>
    </row>
    <row r="238" spans="1:2">
      <c r="A238" t="s">
        <v>6416</v>
      </c>
      <c r="B238" t="s">
        <v>6417</v>
      </c>
    </row>
    <row r="239" spans="1:2">
      <c r="A239" t="s">
        <v>6617</v>
      </c>
      <c r="B239" t="s">
        <v>6618</v>
      </c>
    </row>
    <row r="240" spans="1:2">
      <c r="A240" t="s">
        <v>6619</v>
      </c>
      <c r="B240" t="s">
        <v>6620</v>
      </c>
    </row>
    <row r="241" spans="1:2">
      <c r="A241" t="s">
        <v>6621</v>
      </c>
      <c r="B241" t="s">
        <v>6622</v>
      </c>
    </row>
    <row r="242" spans="1:2">
      <c r="A242" t="s">
        <v>6623</v>
      </c>
      <c r="B242" t="s">
        <v>6624</v>
      </c>
    </row>
    <row r="243" spans="1:2">
      <c r="A243" t="s">
        <v>6625</v>
      </c>
      <c r="B243" t="s">
        <v>6626</v>
      </c>
    </row>
    <row r="244" spans="1:2">
      <c r="A244" t="s">
        <v>6627</v>
      </c>
      <c r="B244" t="s">
        <v>6628</v>
      </c>
    </row>
    <row r="245" spans="1:2">
      <c r="A245" t="s">
        <v>7089</v>
      </c>
      <c r="B245" t="s">
        <v>7090</v>
      </c>
    </row>
    <row r="246" spans="1:2">
      <c r="A246" t="s">
        <v>7091</v>
      </c>
      <c r="B246" t="s">
        <v>7092</v>
      </c>
    </row>
    <row r="247" spans="1:2">
      <c r="A247" t="s">
        <v>7093</v>
      </c>
      <c r="B247" t="s">
        <v>7094</v>
      </c>
    </row>
    <row r="248" spans="1:2">
      <c r="A248" t="s">
        <v>7095</v>
      </c>
      <c r="B248" t="s">
        <v>7096</v>
      </c>
    </row>
    <row r="249" spans="1:2">
      <c r="A249" t="s">
        <v>7097</v>
      </c>
      <c r="B249" t="s">
        <v>7098</v>
      </c>
    </row>
    <row r="250" spans="1:2">
      <c r="A250" t="s">
        <v>7099</v>
      </c>
      <c r="B250" t="s">
        <v>7100</v>
      </c>
    </row>
    <row r="251" spans="1:2">
      <c r="A251" t="s">
        <v>7101</v>
      </c>
      <c r="B251" t="s">
        <v>7102</v>
      </c>
    </row>
    <row r="252" spans="1:2">
      <c r="A252" t="s">
        <v>7103</v>
      </c>
      <c r="B252" t="s">
        <v>7104</v>
      </c>
    </row>
    <row r="253" spans="1:2">
      <c r="A253" t="s">
        <v>7105</v>
      </c>
      <c r="B253" t="s">
        <v>7106</v>
      </c>
    </row>
    <row r="254" spans="1:2">
      <c r="A254" t="s">
        <v>7107</v>
      </c>
      <c r="B254" t="s">
        <v>7108</v>
      </c>
    </row>
    <row r="255" spans="1:2">
      <c r="A255" t="s">
        <v>7109</v>
      </c>
      <c r="B255" t="s">
        <v>7110</v>
      </c>
    </row>
    <row r="256" spans="1:2">
      <c r="A256" t="s">
        <v>7111</v>
      </c>
      <c r="B256" t="s">
        <v>7112</v>
      </c>
    </row>
    <row r="257" spans="1:2">
      <c r="A257" t="s">
        <v>7113</v>
      </c>
      <c r="B257" t="s">
        <v>7114</v>
      </c>
    </row>
    <row r="258" spans="1:2">
      <c r="A258" t="s">
        <v>7493</v>
      </c>
      <c r="B258" t="s">
        <v>7494</v>
      </c>
    </row>
    <row r="259" spans="1:2">
      <c r="A259" t="s">
        <v>7495</v>
      </c>
      <c r="B259" t="s">
        <v>7496</v>
      </c>
    </row>
    <row r="260" spans="1:2">
      <c r="A260" t="s">
        <v>7497</v>
      </c>
      <c r="B260" t="s">
        <v>7498</v>
      </c>
    </row>
    <row r="261" spans="1:2">
      <c r="A261" t="s">
        <v>7499</v>
      </c>
      <c r="B261" t="s">
        <v>7500</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A8DBAB-CFA7-48C3-944E-A47CCC10992F}">
  <sheetPr codeName="Hoja9"/>
  <dimension ref="A1:E947"/>
  <sheetViews>
    <sheetView workbookViewId="0">
      <selection activeCell="A4" sqref="A4:E925"/>
    </sheetView>
  </sheetViews>
  <sheetFormatPr defaultColWidth="11.5703125" defaultRowHeight="15"/>
  <cols>
    <col min="1" max="1" width="19.140625" bestFit="1" customWidth="1"/>
    <col min="2" max="2" width="42.140625" bestFit="1" customWidth="1"/>
    <col min="3" max="3" width="12.85546875" bestFit="1" customWidth="1"/>
    <col min="4" max="4" width="8.28515625" bestFit="1" customWidth="1"/>
    <col min="5" max="5" width="9.28515625" bestFit="1" customWidth="1"/>
  </cols>
  <sheetData>
    <row r="1" spans="1:5">
      <c r="A1" t="s">
        <v>17</v>
      </c>
    </row>
    <row r="2" spans="1:5">
      <c r="A2" t="s">
        <v>27</v>
      </c>
    </row>
    <row r="4" spans="1:5">
      <c r="A4" t="s">
        <v>906</v>
      </c>
      <c r="B4" t="s">
        <v>907</v>
      </c>
      <c r="C4" t="s">
        <v>908</v>
      </c>
      <c r="D4" t="s">
        <v>3893</v>
      </c>
      <c r="E4" t="s">
        <v>3894</v>
      </c>
    </row>
    <row r="5" spans="1:5">
      <c r="A5" t="s">
        <v>6200</v>
      </c>
      <c r="B5" t="s">
        <v>6201</v>
      </c>
      <c r="C5">
        <v>600</v>
      </c>
      <c r="D5">
        <f>SUMIFS(Horas!R:R,Horas!O:O,Tabla_Consulta_desde_Proyectos7[[#This Row],[Usunombre]])</f>
        <v>0</v>
      </c>
      <c r="E5" s="14">
        <f>Tabla_Consulta_desde_Proyectos7[[#This Row],[Horas]]*Tabla_Consulta_desde_Proyectos7[[#This Row],[PRYUcosto]]/8</f>
        <v>0</v>
      </c>
    </row>
    <row r="6" spans="1:5">
      <c r="A6" t="s">
        <v>6226</v>
      </c>
      <c r="B6" t="s">
        <v>6227</v>
      </c>
      <c r="D6">
        <f>SUMIFS(Horas!R:R,Horas!O:O,Tabla_Consulta_desde_Proyectos7[[#This Row],[Usunombre]])</f>
        <v>0</v>
      </c>
      <c r="E6" s="14">
        <f>Tabla_Consulta_desde_Proyectos7[[#This Row],[Horas]]*Tabla_Consulta_desde_Proyectos7[[#This Row],[PRYUcosto]]/8</f>
        <v>0</v>
      </c>
    </row>
    <row r="7" spans="1:5">
      <c r="A7" t="s">
        <v>1461</v>
      </c>
      <c r="B7" t="s">
        <v>1462</v>
      </c>
      <c r="D7">
        <f>SUMIFS(Horas!R:R,Horas!O:O,Tabla_Consulta_desde_Proyectos7[[#This Row],[Usunombre]])</f>
        <v>0</v>
      </c>
      <c r="E7" s="14">
        <f>Tabla_Consulta_desde_Proyectos7[[#This Row],[Horas]]*Tabla_Consulta_desde_Proyectos7[[#This Row],[PRYUcosto]]/8</f>
        <v>0</v>
      </c>
    </row>
    <row r="8" spans="1:5">
      <c r="A8" t="s">
        <v>1185</v>
      </c>
      <c r="B8" t="s">
        <v>4088</v>
      </c>
      <c r="D8">
        <f>SUMIFS(Horas!R:R,Horas!O:O,Tabla_Consulta_desde_Proyectos7[[#This Row],[Usunombre]])</f>
        <v>0</v>
      </c>
      <c r="E8" s="14">
        <f>Tabla_Consulta_desde_Proyectos7[[#This Row],[Horas]]*Tabla_Consulta_desde_Proyectos7[[#This Row],[PRYUcosto]]/8</f>
        <v>0</v>
      </c>
    </row>
    <row r="9" spans="1:5">
      <c r="A9" t="s">
        <v>4976</v>
      </c>
      <c r="B9" t="s">
        <v>4977</v>
      </c>
      <c r="D9">
        <f>SUMIFS(Horas!R:R,Horas!O:O,Tabla_Consulta_desde_Proyectos7[[#This Row],[Usunombre]])</f>
        <v>0</v>
      </c>
      <c r="E9" s="14">
        <f>Tabla_Consulta_desde_Proyectos7[[#This Row],[Horas]]*Tabla_Consulta_desde_Proyectos7[[#This Row],[PRYUcosto]]/8</f>
        <v>0</v>
      </c>
    </row>
    <row r="10" spans="1:5">
      <c r="A10" t="s">
        <v>5044</v>
      </c>
      <c r="B10" t="s">
        <v>5045</v>
      </c>
      <c r="C10">
        <v>600</v>
      </c>
      <c r="D10">
        <f>SUMIFS(Horas!R:R,Horas!O:O,Tabla_Consulta_desde_Proyectos7[[#This Row],[Usunombre]])</f>
        <v>0</v>
      </c>
      <c r="E10" s="14">
        <f>Tabla_Consulta_desde_Proyectos7[[#This Row],[Horas]]*Tabla_Consulta_desde_Proyectos7[[#This Row],[PRYUcosto]]/8</f>
        <v>0</v>
      </c>
    </row>
    <row r="11" spans="1:5">
      <c r="A11" t="s">
        <v>5228</v>
      </c>
      <c r="B11" t="s">
        <v>5229</v>
      </c>
      <c r="D11">
        <f>SUMIFS(Horas!R:R,Horas!O:O,Tabla_Consulta_desde_Proyectos7[[#This Row],[Usunombre]])</f>
        <v>0</v>
      </c>
      <c r="E11" s="14">
        <f>Tabla_Consulta_desde_Proyectos7[[#This Row],[Horas]]*Tabla_Consulta_desde_Proyectos7[[#This Row],[PRYUcosto]]/8</f>
        <v>0</v>
      </c>
    </row>
    <row r="12" spans="1:5">
      <c r="A12" t="s">
        <v>5447</v>
      </c>
      <c r="B12" t="s">
        <v>5448</v>
      </c>
      <c r="C12">
        <v>600</v>
      </c>
      <c r="D12">
        <f>SUMIFS(Horas!R:R,Horas!O:O,Tabla_Consulta_desde_Proyectos7[[#This Row],[Usunombre]])</f>
        <v>0</v>
      </c>
      <c r="E12" s="14">
        <f>Tabla_Consulta_desde_Proyectos7[[#This Row],[Horas]]*Tabla_Consulta_desde_Proyectos7[[#This Row],[PRYUcosto]]/8</f>
        <v>0</v>
      </c>
    </row>
    <row r="13" spans="1:5">
      <c r="A13" t="s">
        <v>1403</v>
      </c>
      <c r="B13" t="s">
        <v>1404</v>
      </c>
      <c r="D13">
        <f>SUMIFS(Horas!R:R,Horas!O:O,Tabla_Consulta_desde_Proyectos7[[#This Row],[Usunombre]])</f>
        <v>0</v>
      </c>
      <c r="E13" s="14">
        <f>Tabla_Consulta_desde_Proyectos7[[#This Row],[Horas]]*Tabla_Consulta_desde_Proyectos7[[#This Row],[PRYUcosto]]/8</f>
        <v>0</v>
      </c>
    </row>
    <row r="14" spans="1:5">
      <c r="A14" t="s">
        <v>6230</v>
      </c>
      <c r="B14" t="s">
        <v>6231</v>
      </c>
      <c r="D14">
        <f>SUMIFS(Horas!R:R,Horas!O:O,Tabla_Consulta_desde_Proyectos7[[#This Row],[Usunombre]])</f>
        <v>0</v>
      </c>
      <c r="E14" s="14">
        <f>Tabla_Consulta_desde_Proyectos7[[#This Row],[Horas]]*Tabla_Consulta_desde_Proyectos7[[#This Row],[PRYUcosto]]/8</f>
        <v>0</v>
      </c>
    </row>
    <row r="15" spans="1:5">
      <c r="A15" t="s">
        <v>6832</v>
      </c>
      <c r="B15" t="s">
        <v>6833</v>
      </c>
      <c r="D15">
        <f>SUMIFS(Horas!R:R,Horas!O:O,Tabla_Consulta_desde_Proyectos7[[#This Row],[Usunombre]])</f>
        <v>0</v>
      </c>
      <c r="E15" s="14">
        <f>Tabla_Consulta_desde_Proyectos7[[#This Row],[Horas]]*Tabla_Consulta_desde_Proyectos7[[#This Row],[PRYUcosto]]/8</f>
        <v>0</v>
      </c>
    </row>
    <row r="16" spans="1:5">
      <c r="A16" t="s">
        <v>6637</v>
      </c>
      <c r="B16" t="s">
        <v>6638</v>
      </c>
      <c r="D16">
        <f>SUMIFS(Horas!R:R,Horas!O:O,Tabla_Consulta_desde_Proyectos7[[#This Row],[Usunombre]])</f>
        <v>0</v>
      </c>
      <c r="E16" s="14">
        <f>Tabla_Consulta_desde_Proyectos7[[#This Row],[Horas]]*Tabla_Consulta_desde_Proyectos7[[#This Row],[PRYUcosto]]/8</f>
        <v>0</v>
      </c>
    </row>
    <row r="17" spans="1:5">
      <c r="A17" t="s">
        <v>1653</v>
      </c>
      <c r="B17" t="s">
        <v>1654</v>
      </c>
      <c r="C17">
        <v>600</v>
      </c>
      <c r="D17">
        <f>SUMIFS(Horas!R:R,Horas!O:O,Tabla_Consulta_desde_Proyectos7[[#This Row],[Usunombre]])</f>
        <v>0</v>
      </c>
      <c r="E17" s="14">
        <f>Tabla_Consulta_desde_Proyectos7[[#This Row],[Horas]]*Tabla_Consulta_desde_Proyectos7[[#This Row],[PRYUcosto]]/8</f>
        <v>0</v>
      </c>
    </row>
    <row r="18" spans="1:5">
      <c r="A18" t="s">
        <v>933</v>
      </c>
      <c r="B18" t="s">
        <v>934</v>
      </c>
      <c r="D18">
        <f>SUMIFS(Horas!R:R,Horas!O:O,Tabla_Consulta_desde_Proyectos7[[#This Row],[Usunombre]])</f>
        <v>0</v>
      </c>
      <c r="E18" s="14">
        <f>Tabla_Consulta_desde_Proyectos7[[#This Row],[Horas]]*Tabla_Consulta_desde_Proyectos7[[#This Row],[PRYUcosto]]/8</f>
        <v>0</v>
      </c>
    </row>
    <row r="19" spans="1:5">
      <c r="A19" t="s">
        <v>1188</v>
      </c>
      <c r="B19" t="s">
        <v>1189</v>
      </c>
      <c r="C19">
        <v>1200</v>
      </c>
      <c r="D19">
        <f>SUMIFS(Horas!R:R,Horas!O:O,Tabla_Consulta_desde_Proyectos7[[#This Row],[Usunombre]])</f>
        <v>0</v>
      </c>
      <c r="E19" s="14">
        <f>Tabla_Consulta_desde_Proyectos7[[#This Row],[Horas]]*Tabla_Consulta_desde_Proyectos7[[#This Row],[PRYUcosto]]/8</f>
        <v>0</v>
      </c>
    </row>
    <row r="20" spans="1:5">
      <c r="A20" t="s">
        <v>1351</v>
      </c>
      <c r="B20" t="s">
        <v>1352</v>
      </c>
      <c r="D20">
        <f>SUMIFS(Horas!R:R,Horas!O:O,Tabla_Consulta_desde_Proyectos7[[#This Row],[Usunombre]])</f>
        <v>0</v>
      </c>
      <c r="E20" s="14">
        <f>Tabla_Consulta_desde_Proyectos7[[#This Row],[Horas]]*Tabla_Consulta_desde_Proyectos7[[#This Row],[PRYUcosto]]/8</f>
        <v>0</v>
      </c>
    </row>
    <row r="21" spans="1:5">
      <c r="A21" t="s">
        <v>1341</v>
      </c>
      <c r="B21" t="s">
        <v>1342</v>
      </c>
      <c r="D21">
        <f>SUMIFS(Horas!R:R,Horas!O:O,Tabla_Consulta_desde_Proyectos7[[#This Row],[Usunombre]])</f>
        <v>0</v>
      </c>
      <c r="E21" s="14">
        <f>Tabla_Consulta_desde_Proyectos7[[#This Row],[Horas]]*Tabla_Consulta_desde_Proyectos7[[#This Row],[PRYUcosto]]/8</f>
        <v>0</v>
      </c>
    </row>
    <row r="22" spans="1:5">
      <c r="A22" t="s">
        <v>1221</v>
      </c>
      <c r="B22" t="s">
        <v>1222</v>
      </c>
      <c r="C22">
        <v>750</v>
      </c>
      <c r="D22">
        <f>SUMIFS(Horas!R:R,Horas!O:O,Tabla_Consulta_desde_Proyectos7[[#This Row],[Usunombre]])</f>
        <v>0</v>
      </c>
      <c r="E22" s="14">
        <f>Tabla_Consulta_desde_Proyectos7[[#This Row],[Horas]]*Tabla_Consulta_desde_Proyectos7[[#This Row],[PRYUcosto]]/8</f>
        <v>0</v>
      </c>
    </row>
    <row r="23" spans="1:5">
      <c r="A23" t="s">
        <v>1893</v>
      </c>
      <c r="B23" t="s">
        <v>1894</v>
      </c>
      <c r="D23">
        <f>SUMIFS(Horas!R:R,Horas!O:O,Tabla_Consulta_desde_Proyectos7[[#This Row],[Usunombre]])</f>
        <v>0</v>
      </c>
      <c r="E23" s="14">
        <f>Tabla_Consulta_desde_Proyectos7[[#This Row],[Horas]]*Tabla_Consulta_desde_Proyectos7[[#This Row],[PRYUcosto]]/8</f>
        <v>0</v>
      </c>
    </row>
    <row r="24" spans="1:5">
      <c r="A24" t="s">
        <v>6687</v>
      </c>
      <c r="B24" t="s">
        <v>6688</v>
      </c>
      <c r="D24">
        <f>SUMIFS(Horas!R:R,Horas!O:O,Tabla_Consulta_desde_Proyectos7[[#This Row],[Usunombre]])</f>
        <v>0</v>
      </c>
      <c r="E24" s="14">
        <f>Tabla_Consulta_desde_Proyectos7[[#This Row],[Horas]]*Tabla_Consulta_desde_Proyectos7[[#This Row],[PRYUcosto]]/8</f>
        <v>0</v>
      </c>
    </row>
    <row r="25" spans="1:5">
      <c r="A25" t="s">
        <v>1999</v>
      </c>
      <c r="B25" t="s">
        <v>2000</v>
      </c>
      <c r="C25">
        <v>600</v>
      </c>
      <c r="D25">
        <f>SUMIFS(Horas!R:R,Horas!O:O,Tabla_Consulta_desde_Proyectos7[[#This Row],[Usunombre]])</f>
        <v>0</v>
      </c>
      <c r="E25" s="14">
        <f>Tabla_Consulta_desde_Proyectos7[[#This Row],[Horas]]*Tabla_Consulta_desde_Proyectos7[[#This Row],[PRYUcosto]]/8</f>
        <v>0</v>
      </c>
    </row>
    <row r="26" spans="1:5">
      <c r="A26" t="s">
        <v>1588</v>
      </c>
      <c r="B26" t="s">
        <v>1589</v>
      </c>
      <c r="D26">
        <f>SUMIFS(Horas!R:R,Horas!O:O,Tabla_Consulta_desde_Proyectos7[[#This Row],[Usunombre]])</f>
        <v>0</v>
      </c>
      <c r="E26" s="14">
        <f>Tabla_Consulta_desde_Proyectos7[[#This Row],[Horas]]*Tabla_Consulta_desde_Proyectos7[[#This Row],[PRYUcosto]]/8</f>
        <v>0</v>
      </c>
    </row>
    <row r="27" spans="1:5">
      <c r="A27" t="s">
        <v>4720</v>
      </c>
      <c r="B27" t="s">
        <v>4721</v>
      </c>
      <c r="D27">
        <f>SUMIFS(Horas!R:R,Horas!O:O,Tabla_Consulta_desde_Proyectos7[[#This Row],[Usunombre]])</f>
        <v>0</v>
      </c>
      <c r="E27" s="14">
        <f>Tabla_Consulta_desde_Proyectos7[[#This Row],[Horas]]*Tabla_Consulta_desde_Proyectos7[[#This Row],[PRYUcosto]]/8</f>
        <v>0</v>
      </c>
    </row>
    <row r="28" spans="1:5">
      <c r="A28" t="s">
        <v>6691</v>
      </c>
      <c r="B28" t="s">
        <v>6692</v>
      </c>
      <c r="D28">
        <f>SUMIFS(Horas!R:R,Horas!O:O,Tabla_Consulta_desde_Proyectos7[[#This Row],[Usunombre]])</f>
        <v>0</v>
      </c>
      <c r="E28" s="14">
        <f>Tabla_Consulta_desde_Proyectos7[[#This Row],[Horas]]*Tabla_Consulta_desde_Proyectos7[[#This Row],[PRYUcosto]]/8</f>
        <v>0</v>
      </c>
    </row>
    <row r="29" spans="1:5">
      <c r="A29" t="s">
        <v>6661</v>
      </c>
      <c r="B29" t="s">
        <v>6662</v>
      </c>
      <c r="D29">
        <f>SUMIFS(Horas!R:R,Horas!O:O,Tabla_Consulta_desde_Proyectos7[[#This Row],[Usunombre]])</f>
        <v>0</v>
      </c>
      <c r="E29" s="14">
        <f>Tabla_Consulta_desde_Proyectos7[[#This Row],[Horas]]*Tabla_Consulta_desde_Proyectos7[[#This Row],[PRYUcosto]]/8</f>
        <v>0</v>
      </c>
    </row>
    <row r="30" spans="1:5">
      <c r="A30" t="s">
        <v>950</v>
      </c>
      <c r="B30" t="s">
        <v>951</v>
      </c>
      <c r="C30">
        <v>600</v>
      </c>
      <c r="D30">
        <f>SUMIFS(Horas!R:R,Horas!O:O,Tabla_Consulta_desde_Proyectos7[[#This Row],[Usunombre]])</f>
        <v>0</v>
      </c>
      <c r="E30" s="14">
        <f>Tabla_Consulta_desde_Proyectos7[[#This Row],[Horas]]*Tabla_Consulta_desde_Proyectos7[[#This Row],[PRYUcosto]]/8</f>
        <v>0</v>
      </c>
    </row>
    <row r="31" spans="1:5">
      <c r="A31" t="s">
        <v>6115</v>
      </c>
      <c r="B31" t="s">
        <v>5722</v>
      </c>
      <c r="C31">
        <v>1200</v>
      </c>
      <c r="D31">
        <f>SUMIFS(Horas!R:R,Horas!O:O,Tabla_Consulta_desde_Proyectos7[[#This Row],[Usunombre]])</f>
        <v>0</v>
      </c>
      <c r="E31" s="14">
        <f>Tabla_Consulta_desde_Proyectos7[[#This Row],[Horas]]*Tabla_Consulta_desde_Proyectos7[[#This Row],[PRYUcosto]]/8</f>
        <v>0</v>
      </c>
    </row>
    <row r="32" spans="1:5">
      <c r="A32" t="s">
        <v>1727</v>
      </c>
      <c r="B32" t="s">
        <v>1728</v>
      </c>
      <c r="D32">
        <f>SUMIFS(Horas!R:R,Horas!O:O,Tabla_Consulta_desde_Proyectos7[[#This Row],[Usunombre]])</f>
        <v>0</v>
      </c>
      <c r="E32" s="14">
        <f>Tabla_Consulta_desde_Proyectos7[[#This Row],[Horas]]*Tabla_Consulta_desde_Proyectos7[[#This Row],[PRYUcosto]]/8</f>
        <v>0</v>
      </c>
    </row>
    <row r="33" spans="1:5">
      <c r="A33" t="s">
        <v>4108</v>
      </c>
      <c r="B33" t="s">
        <v>4109</v>
      </c>
      <c r="D33">
        <f>SUMIFS(Horas!R:R,Horas!O:O,Tabla_Consulta_desde_Proyectos7[[#This Row],[Usunombre]])</f>
        <v>0</v>
      </c>
      <c r="E33" s="14">
        <f>Tabla_Consulta_desde_Proyectos7[[#This Row],[Horas]]*Tabla_Consulta_desde_Proyectos7[[#This Row],[PRYUcosto]]/8</f>
        <v>0</v>
      </c>
    </row>
    <row r="34" spans="1:5">
      <c r="A34" t="s">
        <v>1580</v>
      </c>
      <c r="B34" t="s">
        <v>1581</v>
      </c>
      <c r="D34">
        <f>SUMIFS(Horas!R:R,Horas!O:O,Tabla_Consulta_desde_Proyectos7[[#This Row],[Usunombre]])</f>
        <v>0</v>
      </c>
      <c r="E34" s="14">
        <f>Tabla_Consulta_desde_Proyectos7[[#This Row],[Horas]]*Tabla_Consulta_desde_Proyectos7[[#This Row],[PRYUcosto]]/8</f>
        <v>0</v>
      </c>
    </row>
    <row r="35" spans="1:5">
      <c r="A35" t="s">
        <v>4052</v>
      </c>
      <c r="B35" t="s">
        <v>4053</v>
      </c>
      <c r="D35">
        <f>SUMIFS(Horas!R:R,Horas!O:O,Tabla_Consulta_desde_Proyectos7[[#This Row],[Usunombre]])</f>
        <v>0</v>
      </c>
      <c r="E35" s="14">
        <f>Tabla_Consulta_desde_Proyectos7[[#This Row],[Horas]]*Tabla_Consulta_desde_Proyectos7[[#This Row],[PRYUcosto]]/8</f>
        <v>0</v>
      </c>
    </row>
    <row r="36" spans="1:5">
      <c r="A36" t="s">
        <v>5222</v>
      </c>
      <c r="B36" t="s">
        <v>5223</v>
      </c>
      <c r="C36">
        <v>1200</v>
      </c>
      <c r="D36">
        <f>SUMIFS(Horas!R:R,Horas!O:O,Tabla_Consulta_desde_Proyectos7[[#This Row],[Usunombre]])</f>
        <v>0</v>
      </c>
      <c r="E36" s="14">
        <f>Tabla_Consulta_desde_Proyectos7[[#This Row],[Horas]]*Tabla_Consulta_desde_Proyectos7[[#This Row],[PRYUcosto]]/8</f>
        <v>0</v>
      </c>
    </row>
    <row r="37" spans="1:5">
      <c r="A37" t="s">
        <v>1846</v>
      </c>
      <c r="B37" t="s">
        <v>1847</v>
      </c>
      <c r="D37">
        <f>SUMIFS(Horas!R:R,Horas!O:O,Tabla_Consulta_desde_Proyectos7[[#This Row],[Usunombre]])</f>
        <v>0</v>
      </c>
      <c r="E37" s="14">
        <f>Tabla_Consulta_desde_Proyectos7[[#This Row],[Horas]]*Tabla_Consulta_desde_Proyectos7[[#This Row],[PRYUcosto]]/8</f>
        <v>0</v>
      </c>
    </row>
    <row r="38" spans="1:5">
      <c r="A38" t="s">
        <v>6218</v>
      </c>
      <c r="B38" t="s">
        <v>6219</v>
      </c>
      <c r="D38">
        <f>SUMIFS(Horas!R:R,Horas!O:O,Tabla_Consulta_desde_Proyectos7[[#This Row],[Usunombre]])</f>
        <v>0</v>
      </c>
      <c r="E38" s="14">
        <f>Tabla_Consulta_desde_Proyectos7[[#This Row],[Horas]]*Tabla_Consulta_desde_Proyectos7[[#This Row],[PRYUcosto]]/8</f>
        <v>0</v>
      </c>
    </row>
    <row r="39" spans="1:5">
      <c r="A39" t="s">
        <v>1166</v>
      </c>
      <c r="B39" t="s">
        <v>1167</v>
      </c>
      <c r="C39">
        <v>1200</v>
      </c>
      <c r="D39">
        <f>SUMIFS(Horas!R:R,Horas!O:O,Tabla_Consulta_desde_Proyectos7[[#This Row],[Usunombre]])</f>
        <v>0</v>
      </c>
      <c r="E39" s="14">
        <f>Tabla_Consulta_desde_Proyectos7[[#This Row],[Horas]]*Tabla_Consulta_desde_Proyectos7[[#This Row],[PRYUcosto]]/8</f>
        <v>0</v>
      </c>
    </row>
    <row r="40" spans="1:5">
      <c r="A40" t="s">
        <v>1719</v>
      </c>
      <c r="B40" t="s">
        <v>1720</v>
      </c>
      <c r="D40">
        <f>SUMIFS(Horas!R:R,Horas!O:O,Tabla_Consulta_desde_Proyectos7[[#This Row],[Usunombre]])</f>
        <v>0</v>
      </c>
      <c r="E40" s="14">
        <f>Tabla_Consulta_desde_Proyectos7[[#This Row],[Horas]]*Tabla_Consulta_desde_Proyectos7[[#This Row],[PRYUcosto]]/8</f>
        <v>0</v>
      </c>
    </row>
    <row r="41" spans="1:5">
      <c r="A41" t="s">
        <v>6085</v>
      </c>
      <c r="B41" t="s">
        <v>6086</v>
      </c>
      <c r="C41">
        <v>600</v>
      </c>
      <c r="D41">
        <f>SUMIFS(Horas!R:R,Horas!O:O,Tabla_Consulta_desde_Proyectos7[[#This Row],[Usunombre]])</f>
        <v>0</v>
      </c>
      <c r="E41" s="14">
        <f>Tabla_Consulta_desde_Proyectos7[[#This Row],[Horas]]*Tabla_Consulta_desde_Proyectos7[[#This Row],[PRYUcosto]]/8</f>
        <v>0</v>
      </c>
    </row>
    <row r="42" spans="1:5">
      <c r="A42" t="s">
        <v>5030</v>
      </c>
      <c r="B42" t="s">
        <v>5031</v>
      </c>
      <c r="D42">
        <f>SUMIFS(Horas!R:R,Horas!O:O,Tabla_Consulta_desde_Proyectos7[[#This Row],[Usunombre]])</f>
        <v>0</v>
      </c>
      <c r="E42" s="14">
        <f>Tabla_Consulta_desde_Proyectos7[[#This Row],[Horas]]*Tabla_Consulta_desde_Proyectos7[[#This Row],[PRYUcosto]]/8</f>
        <v>0</v>
      </c>
    </row>
    <row r="43" spans="1:5">
      <c r="A43" t="s">
        <v>1546</v>
      </c>
      <c r="B43" t="s">
        <v>1547</v>
      </c>
      <c r="C43">
        <v>600</v>
      </c>
      <c r="D43">
        <f>SUMIFS(Horas!R:R,Horas!O:O,Tabla_Consulta_desde_Proyectos7[[#This Row],[Usunombre]])</f>
        <v>0</v>
      </c>
      <c r="E43" s="14">
        <f>Tabla_Consulta_desde_Proyectos7[[#This Row],[Horas]]*Tabla_Consulta_desde_Proyectos7[[#This Row],[PRYUcosto]]/8</f>
        <v>0</v>
      </c>
    </row>
    <row r="44" spans="1:5">
      <c r="A44" t="s">
        <v>1934</v>
      </c>
      <c r="B44" t="s">
        <v>1935</v>
      </c>
      <c r="D44">
        <f>SUMIFS(Horas!R:R,Horas!O:O,Tabla_Consulta_desde_Proyectos7[[#This Row],[Usunombre]])</f>
        <v>0</v>
      </c>
      <c r="E44" s="14">
        <f>Tabla_Consulta_desde_Proyectos7[[#This Row],[Horas]]*Tabla_Consulta_desde_Proyectos7[[#This Row],[PRYUcosto]]/8</f>
        <v>0</v>
      </c>
    </row>
    <row r="45" spans="1:5">
      <c r="A45" t="s">
        <v>1689</v>
      </c>
      <c r="B45" t="s">
        <v>1690</v>
      </c>
      <c r="D45">
        <f>SUMIFS(Horas!R:R,Horas!O:O,Tabla_Consulta_desde_Proyectos7[[#This Row],[Usunombre]])</f>
        <v>0</v>
      </c>
      <c r="E45" s="14">
        <f>Tabla_Consulta_desde_Proyectos7[[#This Row],[Horas]]*Tabla_Consulta_desde_Proyectos7[[#This Row],[PRYUcosto]]/8</f>
        <v>0</v>
      </c>
    </row>
    <row r="46" spans="1:5">
      <c r="A46" t="s">
        <v>1852</v>
      </c>
      <c r="B46" t="s">
        <v>1853</v>
      </c>
      <c r="C46">
        <v>1200</v>
      </c>
      <c r="D46">
        <f>SUMIFS(Horas!R:R,Horas!O:O,Tabla_Consulta_desde_Proyectos7[[#This Row],[Usunombre]])</f>
        <v>0</v>
      </c>
      <c r="E46" s="14">
        <f>Tabla_Consulta_desde_Proyectos7[[#This Row],[Horas]]*Tabla_Consulta_desde_Proyectos7[[#This Row],[PRYUcosto]]/8</f>
        <v>0</v>
      </c>
    </row>
    <row r="47" spans="1:5">
      <c r="A47" t="s">
        <v>1975</v>
      </c>
      <c r="B47" t="s">
        <v>1976</v>
      </c>
      <c r="D47">
        <f>SUMIFS(Horas!R:R,Horas!O:O,Tabla_Consulta_desde_Proyectos7[[#This Row],[Usunombre]])</f>
        <v>0</v>
      </c>
      <c r="E47" s="14">
        <f>Tabla_Consulta_desde_Proyectos7[[#This Row],[Horas]]*Tabla_Consulta_desde_Proyectos7[[#This Row],[PRYUcosto]]/8</f>
        <v>0</v>
      </c>
    </row>
    <row r="48" spans="1:5">
      <c r="A48" t="s">
        <v>6090</v>
      </c>
      <c r="B48" t="s">
        <v>6091</v>
      </c>
      <c r="C48">
        <v>600</v>
      </c>
      <c r="D48">
        <f>SUMIFS(Horas!R:R,Horas!O:O,Tabla_Consulta_desde_Proyectos7[[#This Row],[Usunombre]])</f>
        <v>0</v>
      </c>
      <c r="E48" s="14">
        <f>Tabla_Consulta_desde_Proyectos7[[#This Row],[Horas]]*Tabla_Consulta_desde_Proyectos7[[#This Row],[PRYUcosto]]/8</f>
        <v>0</v>
      </c>
    </row>
    <row r="49" spans="1:5">
      <c r="A49" t="s">
        <v>6814</v>
      </c>
      <c r="B49" t="s">
        <v>6815</v>
      </c>
      <c r="D49">
        <f>SUMIFS(Horas!R:R,Horas!O:O,Tabla_Consulta_desde_Proyectos7[[#This Row],[Usunombre]])</f>
        <v>0</v>
      </c>
      <c r="E49" s="14">
        <f>Tabla_Consulta_desde_Proyectos7[[#This Row],[Horas]]*Tabla_Consulta_desde_Proyectos7[[#This Row],[PRYUcosto]]/8</f>
        <v>0</v>
      </c>
    </row>
    <row r="50" spans="1:5">
      <c r="A50" t="s">
        <v>1564</v>
      </c>
      <c r="B50" t="s">
        <v>1565</v>
      </c>
      <c r="D50">
        <f>SUMIFS(Horas!R:R,Horas!O:O,Tabla_Consulta_desde_Proyectos7[[#This Row],[Usunombre]])</f>
        <v>0</v>
      </c>
      <c r="E50" s="14">
        <f>Tabla_Consulta_desde_Proyectos7[[#This Row],[Horas]]*Tabla_Consulta_desde_Proyectos7[[#This Row],[PRYUcosto]]/8</f>
        <v>0</v>
      </c>
    </row>
    <row r="51" spans="1:5">
      <c r="A51" t="s">
        <v>4048</v>
      </c>
      <c r="B51" t="s">
        <v>4049</v>
      </c>
      <c r="C51">
        <v>1200</v>
      </c>
      <c r="D51">
        <f>SUMIFS(Horas!R:R,Horas!O:O,Tabla_Consulta_desde_Proyectos7[[#This Row],[Usunombre]])</f>
        <v>0</v>
      </c>
      <c r="E51" s="14">
        <f>Tabla_Consulta_desde_Proyectos7[[#This Row],[Horas]]*Tabla_Consulta_desde_Proyectos7[[#This Row],[PRYUcosto]]/8</f>
        <v>0</v>
      </c>
    </row>
    <row r="52" spans="1:5">
      <c r="A52" t="s">
        <v>7525</v>
      </c>
      <c r="B52" t="s">
        <v>7526</v>
      </c>
      <c r="D52">
        <f>SUMIFS(Horas!R:R,Horas!O:O,Tabla_Consulta_desde_Proyectos7[[#This Row],[Usunombre]])</f>
        <v>0</v>
      </c>
      <c r="E52" s="14">
        <f>Tabla_Consulta_desde_Proyectos7[[#This Row],[Horas]]*Tabla_Consulta_desde_Proyectos7[[#This Row],[PRYUcosto]]/8</f>
        <v>0</v>
      </c>
    </row>
    <row r="53" spans="1:5">
      <c r="A53" t="s">
        <v>1385</v>
      </c>
      <c r="B53" t="s">
        <v>1386</v>
      </c>
      <c r="D53">
        <f>SUMIFS(Horas!R:R,Horas!O:O,Tabla_Consulta_desde_Proyectos7[[#This Row],[Usunombre]])</f>
        <v>0</v>
      </c>
      <c r="E53" s="14">
        <f>Tabla_Consulta_desde_Proyectos7[[#This Row],[Horas]]*Tabla_Consulta_desde_Proyectos7[[#This Row],[PRYUcosto]]/8</f>
        <v>0</v>
      </c>
    </row>
    <row r="54" spans="1:5">
      <c r="A54" t="s">
        <v>1584</v>
      </c>
      <c r="B54" t="s">
        <v>1585</v>
      </c>
      <c r="D54">
        <f>SUMIFS(Horas!R:R,Horas!O:O,Tabla_Consulta_desde_Proyectos7[[#This Row],[Usunombre]])</f>
        <v>0</v>
      </c>
      <c r="E54" s="14">
        <f>Tabla_Consulta_desde_Proyectos7[[#This Row],[Horas]]*Tabla_Consulta_desde_Proyectos7[[#This Row],[PRYUcosto]]/8</f>
        <v>0</v>
      </c>
    </row>
    <row r="55" spans="1:5">
      <c r="A55" t="s">
        <v>1838</v>
      </c>
      <c r="B55" t="s">
        <v>1839</v>
      </c>
      <c r="D55">
        <f>SUMIFS(Horas!R:R,Horas!O:O,Tabla_Consulta_desde_Proyectos7[[#This Row],[Usunombre]])</f>
        <v>0</v>
      </c>
      <c r="E55" s="14">
        <f>Tabla_Consulta_desde_Proyectos7[[#This Row],[Horas]]*Tabla_Consulta_desde_Proyectos7[[#This Row],[PRYUcosto]]/8</f>
        <v>0</v>
      </c>
    </row>
    <row r="56" spans="1:5">
      <c r="A56" t="s">
        <v>944</v>
      </c>
      <c r="B56" t="s">
        <v>945</v>
      </c>
      <c r="D56">
        <f>SUMIFS(Horas!R:R,Horas!O:O,Tabla_Consulta_desde_Proyectos7[[#This Row],[Usunombre]])</f>
        <v>0</v>
      </c>
      <c r="E56" s="14">
        <f>Tabla_Consulta_desde_Proyectos7[[#This Row],[Horas]]*Tabla_Consulta_desde_Proyectos7[[#This Row],[PRYUcosto]]/8</f>
        <v>0</v>
      </c>
    </row>
    <row r="57" spans="1:5">
      <c r="A57" t="s">
        <v>1043</v>
      </c>
      <c r="B57" t="s">
        <v>1044</v>
      </c>
      <c r="D57">
        <f>SUMIFS(Horas!R:R,Horas!O:O,Tabla_Consulta_desde_Proyectos7[[#This Row],[Usunombre]])</f>
        <v>0</v>
      </c>
      <c r="E57" s="14">
        <f>Tabla_Consulta_desde_Proyectos7[[#This Row],[Horas]]*Tabla_Consulta_desde_Proyectos7[[#This Row],[PRYUcosto]]/8</f>
        <v>0</v>
      </c>
    </row>
    <row r="58" spans="1:5">
      <c r="A58" t="s">
        <v>1093</v>
      </c>
      <c r="B58" t="s">
        <v>1094</v>
      </c>
      <c r="D58">
        <f>SUMIFS(Horas!R:R,Horas!O:O,Tabla_Consulta_desde_Proyectos7[[#This Row],[Usunombre]])</f>
        <v>0</v>
      </c>
      <c r="E58" s="14">
        <f>Tabla_Consulta_desde_Proyectos7[[#This Row],[Horas]]*Tabla_Consulta_desde_Proyectos7[[#This Row],[PRYUcosto]]/8</f>
        <v>0</v>
      </c>
    </row>
    <row r="59" spans="1:5">
      <c r="A59" t="s">
        <v>1186</v>
      </c>
      <c r="B59" t="s">
        <v>1187</v>
      </c>
      <c r="D59">
        <f>SUMIFS(Horas!R:R,Horas!O:O,Tabla_Consulta_desde_Proyectos7[[#This Row],[Usunombre]])</f>
        <v>0</v>
      </c>
      <c r="E59" s="14">
        <f>Tabla_Consulta_desde_Proyectos7[[#This Row],[Horas]]*Tabla_Consulta_desde_Proyectos7[[#This Row],[PRYUcosto]]/8</f>
        <v>0</v>
      </c>
    </row>
    <row r="60" spans="1:5">
      <c r="A60" t="s">
        <v>1685</v>
      </c>
      <c r="B60" t="s">
        <v>1686</v>
      </c>
      <c r="D60">
        <f>SUMIFS(Horas!R:R,Horas!O:O,Tabla_Consulta_desde_Proyectos7[[#This Row],[Usunombre]])</f>
        <v>0</v>
      </c>
      <c r="E60" s="14">
        <f>Tabla_Consulta_desde_Proyectos7[[#This Row],[Horas]]*Tabla_Consulta_desde_Proyectos7[[#This Row],[PRYUcosto]]/8</f>
        <v>0</v>
      </c>
    </row>
    <row r="61" spans="1:5">
      <c r="A61" t="s">
        <v>6818</v>
      </c>
      <c r="B61" t="s">
        <v>6819</v>
      </c>
      <c r="D61">
        <f>SUMIFS(Horas!R:R,Horas!O:O,Tabla_Consulta_desde_Proyectos7[[#This Row],[Usunombre]])</f>
        <v>0</v>
      </c>
      <c r="E61" s="14">
        <f>Tabla_Consulta_desde_Proyectos7[[#This Row],[Horas]]*Tabla_Consulta_desde_Proyectos7[[#This Row],[PRYUcosto]]/8</f>
        <v>0</v>
      </c>
    </row>
    <row r="62" spans="1:5">
      <c r="A62" t="s">
        <v>5723</v>
      </c>
      <c r="B62" t="s">
        <v>5724</v>
      </c>
      <c r="C62">
        <v>1200</v>
      </c>
      <c r="D62">
        <f>SUMIFS(Horas!R:R,Horas!O:O,Tabla_Consulta_desde_Proyectos7[[#This Row],[Usunombre]])</f>
        <v>0</v>
      </c>
      <c r="E62" s="14">
        <f>Tabla_Consulta_desde_Proyectos7[[#This Row],[Horas]]*Tabla_Consulta_desde_Proyectos7[[#This Row],[PRYUcosto]]/8</f>
        <v>0</v>
      </c>
    </row>
    <row r="63" spans="1:5">
      <c r="A63" t="s">
        <v>1503</v>
      </c>
      <c r="B63" t="s">
        <v>1504</v>
      </c>
      <c r="D63">
        <f>SUMIFS(Horas!R:R,Horas!O:O,Tabla_Consulta_desde_Proyectos7[[#This Row],[Usunombre]])</f>
        <v>0</v>
      </c>
      <c r="E63" s="14">
        <f>Tabla_Consulta_desde_Proyectos7[[#This Row],[Horas]]*Tabla_Consulta_desde_Proyectos7[[#This Row],[PRYUcosto]]/8</f>
        <v>0</v>
      </c>
    </row>
    <row r="64" spans="1:5">
      <c r="A64" t="s">
        <v>1774</v>
      </c>
      <c r="B64" t="s">
        <v>1775</v>
      </c>
      <c r="C64">
        <v>600</v>
      </c>
      <c r="D64">
        <f>SUMIFS(Horas!R:R,Horas!O:O,Tabla_Consulta_desde_Proyectos7[[#This Row],[Usunombre]])</f>
        <v>0</v>
      </c>
      <c r="E64" s="14">
        <f>Tabla_Consulta_desde_Proyectos7[[#This Row],[Horas]]*Tabla_Consulta_desde_Proyectos7[[#This Row],[PRYUcosto]]/8</f>
        <v>0</v>
      </c>
    </row>
    <row r="65" spans="1:5">
      <c r="A65" t="s">
        <v>6647</v>
      </c>
      <c r="B65" t="s">
        <v>6648</v>
      </c>
      <c r="D65">
        <f>SUMIFS(Horas!R:R,Horas!O:O,Tabla_Consulta_desde_Proyectos7[[#This Row],[Usunombre]])</f>
        <v>0</v>
      </c>
      <c r="E65" s="14">
        <f>Tabla_Consulta_desde_Proyectos7[[#This Row],[Horas]]*Tabla_Consulta_desde_Proyectos7[[#This Row],[PRYUcosto]]/8</f>
        <v>0</v>
      </c>
    </row>
    <row r="66" spans="1:5">
      <c r="A66" t="s">
        <v>6234</v>
      </c>
      <c r="B66" t="s">
        <v>6235</v>
      </c>
      <c r="C66">
        <v>600</v>
      </c>
      <c r="D66">
        <f>SUMIFS(Horas!R:R,Horas!O:O,Tabla_Consulta_desde_Proyectos7[[#This Row],[Usunombre]])</f>
        <v>0</v>
      </c>
      <c r="E66" s="14">
        <f>Tabla_Consulta_desde_Proyectos7[[#This Row],[Horas]]*Tabla_Consulta_desde_Proyectos7[[#This Row],[PRYUcosto]]/8</f>
        <v>0</v>
      </c>
    </row>
    <row r="67" spans="1:5">
      <c r="A67" t="s">
        <v>5046</v>
      </c>
      <c r="B67" t="s">
        <v>5047</v>
      </c>
      <c r="C67">
        <v>600</v>
      </c>
      <c r="D67">
        <f>SUMIFS(Horas!R:R,Horas!O:O,Tabla_Consulta_desde_Proyectos7[[#This Row],[Usunombre]])</f>
        <v>0</v>
      </c>
      <c r="E67" s="14">
        <f>Tabla_Consulta_desde_Proyectos7[[#This Row],[Horas]]*Tabla_Consulta_desde_Proyectos7[[#This Row],[PRYUcosto]]/8</f>
        <v>0</v>
      </c>
    </row>
    <row r="68" spans="1:5">
      <c r="A68" t="s">
        <v>5048</v>
      </c>
      <c r="B68" t="s">
        <v>5049</v>
      </c>
      <c r="C68">
        <v>600</v>
      </c>
      <c r="D68">
        <f>SUMIFS(Horas!R:R,Horas!O:O,Tabla_Consulta_desde_Proyectos7[[#This Row],[Usunombre]])</f>
        <v>0</v>
      </c>
      <c r="E68" s="14">
        <f>Tabla_Consulta_desde_Proyectos7[[#This Row],[Horas]]*Tabla_Consulta_desde_Proyectos7[[#This Row],[PRYUcosto]]/8</f>
        <v>0</v>
      </c>
    </row>
    <row r="69" spans="1:5">
      <c r="A69" t="s">
        <v>1399</v>
      </c>
      <c r="B69" t="s">
        <v>1400</v>
      </c>
      <c r="D69">
        <f>SUMIFS(Horas!R:R,Horas!O:O,Tabla_Consulta_desde_Proyectos7[[#This Row],[Usunombre]])</f>
        <v>0</v>
      </c>
      <c r="E69" s="14">
        <f>Tabla_Consulta_desde_Proyectos7[[#This Row],[Horas]]*Tabla_Consulta_desde_Proyectos7[[#This Row],[PRYUcosto]]/8</f>
        <v>0</v>
      </c>
    </row>
    <row r="70" spans="1:5">
      <c r="A70" t="s">
        <v>1365</v>
      </c>
      <c r="B70" t="s">
        <v>1366</v>
      </c>
      <c r="D70">
        <f>SUMIFS(Horas!R:R,Horas!O:O,Tabla_Consulta_desde_Proyectos7[[#This Row],[Usunombre]])</f>
        <v>0</v>
      </c>
      <c r="E70" s="14">
        <f>Tabla_Consulta_desde_Proyectos7[[#This Row],[Horas]]*Tabla_Consulta_desde_Proyectos7[[#This Row],[PRYUcosto]]/8</f>
        <v>0</v>
      </c>
    </row>
    <row r="71" spans="1:5">
      <c r="A71" t="s">
        <v>2015</v>
      </c>
      <c r="B71" t="s">
        <v>2016</v>
      </c>
      <c r="C71">
        <v>600</v>
      </c>
      <c r="D71">
        <f>SUMIFS(Horas!R:R,Horas!O:O,Tabla_Consulta_desde_Proyectos7[[#This Row],[Usunombre]])</f>
        <v>0</v>
      </c>
      <c r="E71" s="14">
        <f>Tabla_Consulta_desde_Proyectos7[[#This Row],[Horas]]*Tabla_Consulta_desde_Proyectos7[[#This Row],[PRYUcosto]]/8</f>
        <v>0</v>
      </c>
    </row>
    <row r="72" spans="1:5">
      <c r="A72" t="s">
        <v>6113</v>
      </c>
      <c r="B72" t="s">
        <v>4998</v>
      </c>
      <c r="D72">
        <f>SUMIFS(Horas!R:R,Horas!O:O,Tabla_Consulta_desde_Proyectos7[[#This Row],[Usunombre]])</f>
        <v>0</v>
      </c>
      <c r="E72" s="14">
        <f>Tabla_Consulta_desde_Proyectos7[[#This Row],[Horas]]*Tabla_Consulta_desde_Proyectos7[[#This Row],[PRYUcosto]]/8</f>
        <v>0</v>
      </c>
    </row>
    <row r="73" spans="1:5">
      <c r="A73" t="s">
        <v>940</v>
      </c>
      <c r="B73" t="s">
        <v>941</v>
      </c>
      <c r="D73">
        <f>SUMIFS(Horas!R:R,Horas!O:O,Tabla_Consulta_desde_Proyectos7[[#This Row],[Usunombre]])</f>
        <v>0</v>
      </c>
      <c r="E73" s="14">
        <f>Tabla_Consulta_desde_Proyectos7[[#This Row],[Horas]]*Tabla_Consulta_desde_Proyectos7[[#This Row],[PRYUcosto]]/8</f>
        <v>0</v>
      </c>
    </row>
    <row r="74" spans="1:5">
      <c r="A74" t="s">
        <v>6651</v>
      </c>
      <c r="B74" t="s">
        <v>6652</v>
      </c>
      <c r="D74">
        <f>SUMIFS(Horas!R:R,Horas!O:O,Tabla_Consulta_desde_Proyectos7[[#This Row],[Usunombre]])</f>
        <v>0</v>
      </c>
      <c r="E74" s="14">
        <f>Tabla_Consulta_desde_Proyectos7[[#This Row],[Horas]]*Tabla_Consulta_desde_Proyectos7[[#This Row],[PRYUcosto]]/8</f>
        <v>0</v>
      </c>
    </row>
    <row r="75" spans="1:5">
      <c r="A75" t="s">
        <v>5218</v>
      </c>
      <c r="B75" t="s">
        <v>5219</v>
      </c>
      <c r="D75">
        <f>SUMIFS(Horas!R:R,Horas!O:O,Tabla_Consulta_desde_Proyectos7[[#This Row],[Usunombre]])</f>
        <v>0</v>
      </c>
      <c r="E75" s="14">
        <f>Tabla_Consulta_desde_Proyectos7[[#This Row],[Horas]]*Tabla_Consulta_desde_Proyectos7[[#This Row],[PRYUcosto]]/8</f>
        <v>0</v>
      </c>
    </row>
    <row r="76" spans="1:5">
      <c r="A76" t="s">
        <v>1295</v>
      </c>
      <c r="B76" t="s">
        <v>1296</v>
      </c>
      <c r="D76">
        <f>SUMIFS(Horas!R:R,Horas!O:O,Tabla_Consulta_desde_Proyectos7[[#This Row],[Usunombre]])</f>
        <v>0</v>
      </c>
      <c r="E76" s="14">
        <f>Tabla_Consulta_desde_Proyectos7[[#This Row],[Horas]]*Tabla_Consulta_desde_Proyectos7[[#This Row],[PRYUcosto]]/8</f>
        <v>0</v>
      </c>
    </row>
    <row r="77" spans="1:5">
      <c r="A77" t="s">
        <v>1239</v>
      </c>
      <c r="B77" t="s">
        <v>1240</v>
      </c>
      <c r="D77">
        <f>SUMIFS(Horas!R:R,Horas!O:O,Tabla_Consulta_desde_Proyectos7[[#This Row],[Usunombre]])</f>
        <v>0</v>
      </c>
      <c r="E77" s="14">
        <f>Tabla_Consulta_desde_Proyectos7[[#This Row],[Horas]]*Tabla_Consulta_desde_Proyectos7[[#This Row],[PRYUcosto]]/8</f>
        <v>0</v>
      </c>
    </row>
    <row r="78" spans="1:5">
      <c r="A78" t="s">
        <v>5264</v>
      </c>
      <c r="B78" t="s">
        <v>5265</v>
      </c>
      <c r="C78">
        <v>1200</v>
      </c>
      <c r="D78">
        <f>SUMIFS(Horas!R:R,Horas!O:O,Tabla_Consulta_desde_Proyectos7[[#This Row],[Usunombre]])</f>
        <v>0</v>
      </c>
      <c r="E78" s="14">
        <f>Tabla_Consulta_desde_Proyectos7[[#This Row],[Horas]]*Tabla_Consulta_desde_Proyectos7[[#This Row],[PRYUcosto]]/8</f>
        <v>0</v>
      </c>
    </row>
    <row r="79" spans="1:5">
      <c r="A79" t="s">
        <v>7015</v>
      </c>
      <c r="B79" t="s">
        <v>7016</v>
      </c>
      <c r="D79">
        <f>SUMIFS(Horas!R:R,Horas!O:O,Tabla_Consulta_desde_Proyectos7[[#This Row],[Usunombre]])</f>
        <v>0</v>
      </c>
      <c r="E79" s="14">
        <f>Tabla_Consulta_desde_Proyectos7[[#This Row],[Horas]]*Tabla_Consulta_desde_Proyectos7[[#This Row],[PRYUcosto]]/8</f>
        <v>0</v>
      </c>
    </row>
    <row r="80" spans="1:5">
      <c r="A80" t="s">
        <v>6830</v>
      </c>
      <c r="B80" t="s">
        <v>6831</v>
      </c>
      <c r="D80">
        <f>SUMIFS(Horas!R:R,Horas!O:O,Tabla_Consulta_desde_Proyectos7[[#This Row],[Usunombre]])</f>
        <v>0</v>
      </c>
      <c r="E80" s="14">
        <f>Tabla_Consulta_desde_Proyectos7[[#This Row],[Horas]]*Tabla_Consulta_desde_Proyectos7[[#This Row],[PRYUcosto]]/8</f>
        <v>0</v>
      </c>
    </row>
    <row r="81" spans="1:5">
      <c r="A81" t="s">
        <v>2025</v>
      </c>
      <c r="B81" t="s">
        <v>2026</v>
      </c>
      <c r="C81">
        <v>1200</v>
      </c>
      <c r="D81">
        <f>SUMIFS(Horas!R:R,Horas!O:O,Tabla_Consulta_desde_Proyectos7[[#This Row],[Usunombre]])</f>
        <v>0</v>
      </c>
      <c r="E81" s="14">
        <f>Tabla_Consulta_desde_Proyectos7[[#This Row],[Horas]]*Tabla_Consulta_desde_Proyectos7[[#This Row],[PRYUcosto]]/8</f>
        <v>0</v>
      </c>
    </row>
    <row r="82" spans="1:5">
      <c r="A82" t="s">
        <v>6993</v>
      </c>
      <c r="B82" t="s">
        <v>6994</v>
      </c>
      <c r="D82">
        <f>SUMIFS(Horas!R:R,Horas!O:O,Tabla_Consulta_desde_Proyectos7[[#This Row],[Usunombre]])</f>
        <v>0</v>
      </c>
      <c r="E82" s="14">
        <f>Tabla_Consulta_desde_Proyectos7[[#This Row],[Horas]]*Tabla_Consulta_desde_Proyectos7[[#This Row],[PRYUcosto]]/8</f>
        <v>0</v>
      </c>
    </row>
    <row r="83" spans="1:5">
      <c r="A83" t="s">
        <v>5256</v>
      </c>
      <c r="B83" t="s">
        <v>5257</v>
      </c>
      <c r="C83">
        <v>1200</v>
      </c>
      <c r="D83">
        <f>SUMIFS(Horas!R:R,Horas!O:O,Tabla_Consulta_desde_Proyectos7[[#This Row],[Usunombre]])</f>
        <v>0</v>
      </c>
      <c r="E83" s="14">
        <f>Tabla_Consulta_desde_Proyectos7[[#This Row],[Horas]]*Tabla_Consulta_desde_Proyectos7[[#This Row],[PRYUcosto]]/8</f>
        <v>0</v>
      </c>
    </row>
    <row r="84" spans="1:5">
      <c r="A84" t="s">
        <v>5705</v>
      </c>
      <c r="B84" t="s">
        <v>5706</v>
      </c>
      <c r="C84">
        <v>1200</v>
      </c>
      <c r="D84">
        <f>SUMIFS(Horas!R:R,Horas!O:O,Tabla_Consulta_desde_Proyectos7[[#This Row],[Usunombre]])</f>
        <v>0</v>
      </c>
      <c r="E84" s="14">
        <f>Tabla_Consulta_desde_Proyectos7[[#This Row],[Horas]]*Tabla_Consulta_desde_Proyectos7[[#This Row],[PRYUcosto]]/8</f>
        <v>0</v>
      </c>
    </row>
    <row r="85" spans="1:5">
      <c r="A85" t="s">
        <v>1596</v>
      </c>
      <c r="B85" t="s">
        <v>1597</v>
      </c>
      <c r="C85">
        <v>1200</v>
      </c>
      <c r="D85">
        <f>SUMIFS(Horas!R:R,Horas!O:O,Tabla_Consulta_desde_Proyectos7[[#This Row],[Usunombre]])</f>
        <v>0</v>
      </c>
      <c r="E85" s="14">
        <f>Tabla_Consulta_desde_Proyectos7[[#This Row],[Horas]]*Tabla_Consulta_desde_Proyectos7[[#This Row],[PRYUcosto]]/8</f>
        <v>0</v>
      </c>
    </row>
    <row r="86" spans="1:5">
      <c r="A86" t="s">
        <v>1679</v>
      </c>
      <c r="B86" t="s">
        <v>1680</v>
      </c>
      <c r="D86">
        <f>SUMIFS(Horas!R:R,Horas!O:O,Tabla_Consulta_desde_Proyectos7[[#This Row],[Usunombre]])</f>
        <v>0</v>
      </c>
      <c r="E86" s="14">
        <f>Tabla_Consulta_desde_Proyectos7[[#This Row],[Horas]]*Tabla_Consulta_desde_Proyectos7[[#This Row],[PRYUcosto]]/8</f>
        <v>0</v>
      </c>
    </row>
    <row r="87" spans="1:5">
      <c r="A87" t="s">
        <v>1723</v>
      </c>
      <c r="B87" t="s">
        <v>1724</v>
      </c>
      <c r="D87">
        <f>SUMIFS(Horas!R:R,Horas!O:O,Tabla_Consulta_desde_Proyectos7[[#This Row],[Usunombre]])</f>
        <v>0</v>
      </c>
      <c r="E87" s="14">
        <f>Tabla_Consulta_desde_Proyectos7[[#This Row],[Horas]]*Tabla_Consulta_desde_Proyectos7[[#This Row],[PRYUcosto]]/8</f>
        <v>0</v>
      </c>
    </row>
    <row r="88" spans="1:5">
      <c r="A88" t="s">
        <v>5421</v>
      </c>
      <c r="B88" t="s">
        <v>5422</v>
      </c>
      <c r="D88">
        <f>SUMIFS(Horas!R:R,Horas!O:O,Tabla_Consulta_desde_Proyectos7[[#This Row],[Usunombre]])</f>
        <v>0</v>
      </c>
      <c r="E88" s="14">
        <f>Tabla_Consulta_desde_Proyectos7[[#This Row],[Horas]]*Tabla_Consulta_desde_Proyectos7[[#This Row],[PRYUcosto]]/8</f>
        <v>0</v>
      </c>
    </row>
    <row r="89" spans="1:5">
      <c r="A89" t="s">
        <v>1068</v>
      </c>
      <c r="B89" t="s">
        <v>1069</v>
      </c>
      <c r="C89">
        <v>1200</v>
      </c>
      <c r="D89">
        <f>SUMIFS(Horas!R:R,Horas!O:O,Tabla_Consulta_desde_Proyectos7[[#This Row],[Usunombre]])</f>
        <v>0</v>
      </c>
      <c r="E89" s="14">
        <f>Tabla_Consulta_desde_Proyectos7[[#This Row],[Horas]]*Tabla_Consulta_desde_Proyectos7[[#This Row],[PRYUcosto]]/8</f>
        <v>0</v>
      </c>
    </row>
    <row r="90" spans="1:5">
      <c r="A90" t="s">
        <v>1182</v>
      </c>
      <c r="B90" t="s">
        <v>1183</v>
      </c>
      <c r="C90">
        <v>800</v>
      </c>
      <c r="D90">
        <f>SUMIFS(Horas!R:R,Horas!O:O,Tabla_Consulta_desde_Proyectos7[[#This Row],[Usunombre]])</f>
        <v>0</v>
      </c>
      <c r="E90" s="14">
        <f>Tabla_Consulta_desde_Proyectos7[[#This Row],[Horas]]*Tabla_Consulta_desde_Proyectos7[[#This Row],[PRYUcosto]]/8</f>
        <v>0</v>
      </c>
    </row>
    <row r="91" spans="1:5">
      <c r="A91" t="s">
        <v>1377</v>
      </c>
      <c r="B91" t="s">
        <v>1378</v>
      </c>
      <c r="D91">
        <f>SUMIFS(Horas!R:R,Horas!O:O,Tabla_Consulta_desde_Proyectos7[[#This Row],[Usunombre]])</f>
        <v>0</v>
      </c>
      <c r="E91" s="14">
        <f>Tabla_Consulta_desde_Proyectos7[[#This Row],[Horas]]*Tabla_Consulta_desde_Proyectos7[[#This Row],[PRYUcosto]]/8</f>
        <v>0</v>
      </c>
    </row>
    <row r="92" spans="1:5">
      <c r="A92" t="s">
        <v>1923</v>
      </c>
      <c r="B92" t="s">
        <v>1924</v>
      </c>
      <c r="C92">
        <v>1200</v>
      </c>
      <c r="D92">
        <f>SUMIFS(Horas!R:R,Horas!O:O,Tabla_Consulta_desde_Proyectos7[[#This Row],[Usunombre]])</f>
        <v>0</v>
      </c>
      <c r="E92" s="14">
        <f>Tabla_Consulta_desde_Proyectos7[[#This Row],[Horas]]*Tabla_Consulta_desde_Proyectos7[[#This Row],[PRYUcosto]]/8</f>
        <v>0</v>
      </c>
    </row>
    <row r="93" spans="1:5">
      <c r="A93" t="s">
        <v>1663</v>
      </c>
      <c r="B93" t="s">
        <v>1664</v>
      </c>
      <c r="D93">
        <f>SUMIFS(Horas!R:R,Horas!O:O,Tabla_Consulta_desde_Proyectos7[[#This Row],[Usunombre]])</f>
        <v>0</v>
      </c>
      <c r="E93" s="14">
        <f>Tabla_Consulta_desde_Proyectos7[[#This Row],[Horas]]*Tabla_Consulta_desde_Proyectos7[[#This Row],[PRYUcosto]]/8</f>
        <v>0</v>
      </c>
    </row>
    <row r="94" spans="1:5">
      <c r="A94" t="s">
        <v>1164</v>
      </c>
      <c r="B94" t="s">
        <v>1165</v>
      </c>
      <c r="C94">
        <v>1600</v>
      </c>
      <c r="D94">
        <f>SUMIFS(Horas!R:R,Horas!O:O,Tabla_Consulta_desde_Proyectos7[[#This Row],[Usunombre]])</f>
        <v>0</v>
      </c>
      <c r="E94" s="14">
        <f>Tabla_Consulta_desde_Proyectos7[[#This Row],[Horas]]*Tabla_Consulta_desde_Proyectos7[[#This Row],[PRYUcosto]]/8</f>
        <v>0</v>
      </c>
    </row>
    <row r="95" spans="1:5">
      <c r="A95" t="s">
        <v>1425</v>
      </c>
      <c r="B95" t="s">
        <v>1426</v>
      </c>
      <c r="D95">
        <f>SUMIFS(Horas!R:R,Horas!O:O,Tabla_Consulta_desde_Proyectos7[[#This Row],[Usunombre]])</f>
        <v>0</v>
      </c>
      <c r="E95" s="14">
        <f>Tabla_Consulta_desde_Proyectos7[[#This Row],[Horas]]*Tabla_Consulta_desde_Proyectos7[[#This Row],[PRYUcosto]]/8</f>
        <v>0</v>
      </c>
    </row>
    <row r="96" spans="1:5">
      <c r="A96" t="s">
        <v>2013</v>
      </c>
      <c r="B96" t="s">
        <v>2014</v>
      </c>
      <c r="D96">
        <f>SUMIFS(Horas!R:R,Horas!O:O,Tabla_Consulta_desde_Proyectos7[[#This Row],[Usunombre]])</f>
        <v>0</v>
      </c>
      <c r="E96" s="14">
        <f>Tabla_Consulta_desde_Proyectos7[[#This Row],[Horas]]*Tabla_Consulta_desde_Proyectos7[[#This Row],[PRYUcosto]]/8</f>
        <v>0</v>
      </c>
    </row>
    <row r="97" spans="1:5">
      <c r="A97" t="s">
        <v>1954</v>
      </c>
      <c r="B97" t="s">
        <v>1955</v>
      </c>
      <c r="D97">
        <f>SUMIFS(Horas!R:R,Horas!O:O,Tabla_Consulta_desde_Proyectos7[[#This Row],[Usunombre]])</f>
        <v>0</v>
      </c>
      <c r="E97" s="14">
        <f>Tabla_Consulta_desde_Proyectos7[[#This Row],[Horas]]*Tabla_Consulta_desde_Proyectos7[[#This Row],[PRYUcosto]]/8</f>
        <v>0</v>
      </c>
    </row>
    <row r="98" spans="1:5">
      <c r="A98" t="s">
        <v>3866</v>
      </c>
      <c r="B98" t="s">
        <v>3867</v>
      </c>
      <c r="C98">
        <v>600</v>
      </c>
      <c r="D98">
        <f>SUMIFS(Horas!R:R,Horas!O:O,Tabla_Consulta_desde_Proyectos7[[#This Row],[Usunombre]])</f>
        <v>0</v>
      </c>
      <c r="E98" s="14">
        <f>Tabla_Consulta_desde_Proyectos7[[#This Row],[Horas]]*Tabla_Consulta_desde_Proyectos7[[#This Row],[PRYUcosto]]/8</f>
        <v>0</v>
      </c>
    </row>
    <row r="99" spans="1:5">
      <c r="A99" t="s">
        <v>2005</v>
      </c>
      <c r="B99" t="s">
        <v>2006</v>
      </c>
      <c r="C99">
        <v>750</v>
      </c>
      <c r="D99">
        <f>SUMIFS(Horas!R:R,Horas!O:O,Tabla_Consulta_desde_Proyectos7[[#This Row],[Usunombre]])</f>
        <v>0</v>
      </c>
      <c r="E99" s="14">
        <f>Tabla_Consulta_desde_Proyectos7[[#This Row],[Horas]]*Tabla_Consulta_desde_Proyectos7[[#This Row],[PRYUcosto]]/8</f>
        <v>0</v>
      </c>
    </row>
    <row r="100" spans="1:5">
      <c r="A100" t="s">
        <v>1058</v>
      </c>
      <c r="B100" t="s">
        <v>1059</v>
      </c>
      <c r="D100">
        <f>SUMIFS(Horas!R:R,Horas!O:O,Tabla_Consulta_desde_Proyectos7[[#This Row],[Usunombre]])</f>
        <v>0</v>
      </c>
      <c r="E100" s="14">
        <f>Tabla_Consulta_desde_Proyectos7[[#This Row],[Horas]]*Tabla_Consulta_desde_Proyectos7[[#This Row],[PRYUcosto]]/8</f>
        <v>0</v>
      </c>
    </row>
    <row r="101" spans="1:5">
      <c r="A101" t="s">
        <v>1913</v>
      </c>
      <c r="B101" t="s">
        <v>1914</v>
      </c>
      <c r="D101">
        <f>SUMIFS(Horas!R:R,Horas!O:O,Tabla_Consulta_desde_Proyectos7[[#This Row],[Usunombre]])</f>
        <v>0</v>
      </c>
      <c r="E101" s="14">
        <f>Tabla_Consulta_desde_Proyectos7[[#This Row],[Horas]]*Tabla_Consulta_desde_Proyectos7[[#This Row],[PRYUcosto]]/8</f>
        <v>0</v>
      </c>
    </row>
    <row r="102" spans="1:5">
      <c r="A102" t="s">
        <v>4950</v>
      </c>
      <c r="B102" t="s">
        <v>4951</v>
      </c>
      <c r="D102">
        <f>SUMIFS(Horas!R:R,Horas!O:O,Tabla_Consulta_desde_Proyectos7[[#This Row],[Usunombre]])</f>
        <v>0</v>
      </c>
      <c r="E102" s="14">
        <f>Tabla_Consulta_desde_Proyectos7[[#This Row],[Horas]]*Tabla_Consulta_desde_Proyectos7[[#This Row],[PRYUcosto]]/8</f>
        <v>0</v>
      </c>
    </row>
    <row r="103" spans="1:5">
      <c r="A103" t="s">
        <v>1144</v>
      </c>
      <c r="B103" t="s">
        <v>1145</v>
      </c>
      <c r="D103">
        <f>SUMIFS(Horas!R:R,Horas!O:O,Tabla_Consulta_desde_Proyectos7[[#This Row],[Usunombre]])</f>
        <v>0</v>
      </c>
      <c r="E103" s="14">
        <f>Tabla_Consulta_desde_Proyectos7[[#This Row],[Horas]]*Tabla_Consulta_desde_Proyectos7[[#This Row],[PRYUcosto]]/8</f>
        <v>0</v>
      </c>
    </row>
    <row r="104" spans="1:5">
      <c r="A104" t="s">
        <v>1735</v>
      </c>
      <c r="B104" t="s">
        <v>1736</v>
      </c>
      <c r="D104">
        <f>SUMIFS(Horas!R:R,Horas!O:O,Tabla_Consulta_desde_Proyectos7[[#This Row],[Usunombre]])</f>
        <v>0</v>
      </c>
      <c r="E104" s="14">
        <f>Tabla_Consulta_desde_Proyectos7[[#This Row],[Horas]]*Tabla_Consulta_desde_Proyectos7[[#This Row],[PRYUcosto]]/8</f>
        <v>0</v>
      </c>
    </row>
    <row r="105" spans="1:5">
      <c r="A105" t="s">
        <v>1703</v>
      </c>
      <c r="B105" t="s">
        <v>1704</v>
      </c>
      <c r="D105">
        <f>SUMIFS(Horas!R:R,Horas!O:O,Tabla_Consulta_desde_Proyectos7[[#This Row],[Usunombre]])</f>
        <v>0</v>
      </c>
      <c r="E105" s="14">
        <f>Tabla_Consulta_desde_Proyectos7[[#This Row],[Horas]]*Tabla_Consulta_desde_Proyectos7[[#This Row],[PRYUcosto]]/8</f>
        <v>0</v>
      </c>
    </row>
    <row r="106" spans="1:5">
      <c r="A106" t="s">
        <v>1098</v>
      </c>
      <c r="B106" t="s">
        <v>1099</v>
      </c>
      <c r="D106">
        <f>SUMIFS(Horas!R:R,Horas!O:O,Tabla_Consulta_desde_Proyectos7[[#This Row],[Usunombre]])</f>
        <v>0</v>
      </c>
      <c r="E106" s="14">
        <f>Tabla_Consulta_desde_Proyectos7[[#This Row],[Horas]]*Tabla_Consulta_desde_Proyectos7[[#This Row],[PRYUcosto]]/8</f>
        <v>0</v>
      </c>
    </row>
    <row r="107" spans="1:5">
      <c r="A107" t="s">
        <v>5272</v>
      </c>
      <c r="B107" t="s">
        <v>5273</v>
      </c>
      <c r="D107">
        <f>SUMIFS(Horas!R:R,Horas!O:O,Tabla_Consulta_desde_Proyectos7[[#This Row],[Usunombre]])</f>
        <v>0</v>
      </c>
      <c r="E107" s="14">
        <f>Tabla_Consulta_desde_Proyectos7[[#This Row],[Horas]]*Tabla_Consulta_desde_Proyectos7[[#This Row],[PRYUcosto]]/8</f>
        <v>0</v>
      </c>
    </row>
    <row r="108" spans="1:5">
      <c r="A108" t="s">
        <v>4940</v>
      </c>
      <c r="B108" t="s">
        <v>4941</v>
      </c>
      <c r="D108">
        <f>SUMIFS(Horas!R:R,Horas!O:O,Tabla_Consulta_desde_Proyectos7[[#This Row],[Usunombre]])</f>
        <v>0</v>
      </c>
      <c r="E108" s="14">
        <f>Tabla_Consulta_desde_Proyectos7[[#This Row],[Horas]]*Tabla_Consulta_desde_Proyectos7[[#This Row],[PRYUcosto]]/8</f>
        <v>0</v>
      </c>
    </row>
    <row r="109" spans="1:5">
      <c r="A109" t="s">
        <v>1331</v>
      </c>
      <c r="B109" t="s">
        <v>1332</v>
      </c>
      <c r="D109">
        <f>SUMIFS(Horas!R:R,Horas!O:O,Tabla_Consulta_desde_Proyectos7[[#This Row],[Usunombre]])</f>
        <v>0</v>
      </c>
      <c r="E109" s="14">
        <f>Tabla_Consulta_desde_Proyectos7[[#This Row],[Horas]]*Tabla_Consulta_desde_Proyectos7[[#This Row],[PRYUcosto]]/8</f>
        <v>0</v>
      </c>
    </row>
    <row r="110" spans="1:5">
      <c r="A110" t="s">
        <v>1778</v>
      </c>
      <c r="B110" t="s">
        <v>1779</v>
      </c>
      <c r="D110">
        <f>SUMIFS(Horas!R:R,Horas!O:O,Tabla_Consulta_desde_Proyectos7[[#This Row],[Usunombre]])</f>
        <v>0</v>
      </c>
      <c r="E110" s="14">
        <f>Tabla_Consulta_desde_Proyectos7[[#This Row],[Horas]]*Tabla_Consulta_desde_Proyectos7[[#This Row],[PRYUcosto]]/8</f>
        <v>0</v>
      </c>
    </row>
    <row r="111" spans="1:5">
      <c r="A111" t="s">
        <v>1371</v>
      </c>
      <c r="B111" t="s">
        <v>1372</v>
      </c>
      <c r="D111">
        <f>SUMIFS(Horas!R:R,Horas!O:O,Tabla_Consulta_desde_Proyectos7[[#This Row],[Usunombre]])</f>
        <v>0</v>
      </c>
      <c r="E111" s="14">
        <f>Tabla_Consulta_desde_Proyectos7[[#This Row],[Horas]]*Tabla_Consulta_desde_Proyectos7[[#This Row],[PRYUcosto]]/8</f>
        <v>0</v>
      </c>
    </row>
    <row r="112" spans="1:5">
      <c r="A112" t="s">
        <v>1441</v>
      </c>
      <c r="B112" t="s">
        <v>1442</v>
      </c>
      <c r="D112">
        <f>SUMIFS(Horas!R:R,Horas!O:O,Tabla_Consulta_desde_Proyectos7[[#This Row],[Usunombre]])</f>
        <v>0</v>
      </c>
      <c r="E112" s="14">
        <f>Tabla_Consulta_desde_Proyectos7[[#This Row],[Horas]]*Tabla_Consulta_desde_Proyectos7[[#This Row],[PRYUcosto]]/8</f>
        <v>0</v>
      </c>
    </row>
    <row r="113" spans="1:5">
      <c r="A113" t="s">
        <v>1751</v>
      </c>
      <c r="B113" t="s">
        <v>1752</v>
      </c>
      <c r="D113">
        <f>SUMIFS(Horas!R:R,Horas!O:O,Tabla_Consulta_desde_Proyectos7[[#This Row],[Usunombre]])</f>
        <v>0</v>
      </c>
      <c r="E113" s="14">
        <f>Tabla_Consulta_desde_Proyectos7[[#This Row],[Horas]]*Tabla_Consulta_desde_Proyectos7[[#This Row],[PRYUcosto]]/8</f>
        <v>0</v>
      </c>
    </row>
    <row r="114" spans="1:5">
      <c r="A114" t="s">
        <v>1986</v>
      </c>
      <c r="B114" t="s">
        <v>4094</v>
      </c>
      <c r="D114">
        <f>SUMIFS(Horas!R:R,Horas!O:O,Tabla_Consulta_desde_Proyectos7[[#This Row],[Usunombre]])</f>
        <v>0</v>
      </c>
      <c r="E114" s="14">
        <f>Tabla_Consulta_desde_Proyectos7[[#This Row],[Horas]]*Tabla_Consulta_desde_Proyectos7[[#This Row],[PRYUcosto]]/8</f>
        <v>0</v>
      </c>
    </row>
    <row r="115" spans="1:5">
      <c r="A115" t="s">
        <v>4978</v>
      </c>
      <c r="B115" t="s">
        <v>4979</v>
      </c>
      <c r="D115">
        <f>SUMIFS(Horas!R:R,Horas!O:O,Tabla_Consulta_desde_Proyectos7[[#This Row],[Usunombre]])</f>
        <v>0</v>
      </c>
      <c r="E115" s="14">
        <f>Tabla_Consulta_desde_Proyectos7[[#This Row],[Horas]]*Tabla_Consulta_desde_Proyectos7[[#This Row],[PRYUcosto]]/8</f>
        <v>0</v>
      </c>
    </row>
    <row r="116" spans="1:5">
      <c r="A116" t="s">
        <v>1880</v>
      </c>
      <c r="B116" t="s">
        <v>1881</v>
      </c>
      <c r="D116">
        <f>SUMIFS(Horas!R:R,Horas!O:O,Tabla_Consulta_desde_Proyectos7[[#This Row],[Usunombre]])</f>
        <v>0</v>
      </c>
      <c r="E116" s="14">
        <f>Tabla_Consulta_desde_Proyectos7[[#This Row],[Horas]]*Tabla_Consulta_desde_Proyectos7[[#This Row],[PRYUcosto]]/8</f>
        <v>0</v>
      </c>
    </row>
    <row r="117" spans="1:5">
      <c r="A117" t="s">
        <v>6704</v>
      </c>
      <c r="B117" t="s">
        <v>6705</v>
      </c>
      <c r="D117">
        <f>SUMIFS(Horas!R:R,Horas!O:O,Tabla_Consulta_desde_Proyectos7[[#This Row],[Usunombre]])</f>
        <v>0</v>
      </c>
      <c r="E117" s="14">
        <f>Tabla_Consulta_desde_Proyectos7[[#This Row],[Horas]]*Tabla_Consulta_desde_Proyectos7[[#This Row],[PRYUcosto]]/8</f>
        <v>0</v>
      </c>
    </row>
    <row r="118" spans="1:5">
      <c r="A118" t="s">
        <v>1903</v>
      </c>
      <c r="B118" t="s">
        <v>1904</v>
      </c>
      <c r="C118">
        <v>600</v>
      </c>
      <c r="D118">
        <f>SUMIFS(Horas!R:R,Horas!O:O,Tabla_Consulta_desde_Proyectos7[[#This Row],[Usunombre]])</f>
        <v>0</v>
      </c>
      <c r="E118" s="14">
        <f>Tabla_Consulta_desde_Proyectos7[[#This Row],[Horas]]*Tabla_Consulta_desde_Proyectos7[[#This Row],[PRYUcosto]]/8</f>
        <v>0</v>
      </c>
    </row>
    <row r="119" spans="1:5">
      <c r="A119" t="s">
        <v>1176</v>
      </c>
      <c r="B119" t="s">
        <v>1177</v>
      </c>
      <c r="D119">
        <f>SUMIFS(Horas!R:R,Horas!O:O,Tabla_Consulta_desde_Proyectos7[[#This Row],[Usunombre]])</f>
        <v>0</v>
      </c>
      <c r="E119" s="14">
        <f>Tabla_Consulta_desde_Proyectos7[[#This Row],[Horas]]*Tabla_Consulta_desde_Proyectos7[[#This Row],[PRYUcosto]]/8</f>
        <v>0</v>
      </c>
    </row>
    <row r="120" spans="1:5">
      <c r="A120" t="s">
        <v>1936</v>
      </c>
      <c r="B120" t="s">
        <v>1937</v>
      </c>
      <c r="D120">
        <f>SUMIFS(Horas!R:R,Horas!O:O,Tabla_Consulta_desde_Proyectos7[[#This Row],[Usunombre]])</f>
        <v>0</v>
      </c>
      <c r="E120" s="14">
        <f>Tabla_Consulta_desde_Proyectos7[[#This Row],[Horas]]*Tabla_Consulta_desde_Proyectos7[[#This Row],[PRYUcosto]]/8</f>
        <v>0</v>
      </c>
    </row>
    <row r="121" spans="1:5">
      <c r="A121" t="s">
        <v>6995</v>
      </c>
      <c r="B121" t="s">
        <v>6996</v>
      </c>
      <c r="D121">
        <f>SUMIFS(Horas!R:R,Horas!O:O,Tabla_Consulta_desde_Proyectos7[[#This Row],[Usunombre]])</f>
        <v>0</v>
      </c>
      <c r="E121" s="14">
        <f>Tabla_Consulta_desde_Proyectos7[[#This Row],[Horas]]*Tabla_Consulta_desde_Proyectos7[[#This Row],[PRYUcosto]]/8</f>
        <v>0</v>
      </c>
    </row>
    <row r="122" spans="1:5">
      <c r="A122" t="s">
        <v>1840</v>
      </c>
      <c r="B122" t="s">
        <v>1841</v>
      </c>
      <c r="D122">
        <f>SUMIFS(Horas!R:R,Horas!O:O,Tabla_Consulta_desde_Proyectos7[[#This Row],[Usunombre]])</f>
        <v>0</v>
      </c>
      <c r="E122" s="14">
        <f>Tabla_Consulta_desde_Proyectos7[[#This Row],[Horas]]*Tabla_Consulta_desde_Proyectos7[[#This Row],[PRYUcosto]]/8</f>
        <v>0</v>
      </c>
    </row>
    <row r="123" spans="1:5">
      <c r="A123" t="s">
        <v>1311</v>
      </c>
      <c r="B123" t="s">
        <v>1312</v>
      </c>
      <c r="D123">
        <f>SUMIFS(Horas!R:R,Horas!O:O,Tabla_Consulta_desde_Proyectos7[[#This Row],[Usunombre]])</f>
        <v>0</v>
      </c>
      <c r="E123" s="14">
        <f>Tabla_Consulta_desde_Proyectos7[[#This Row],[Horas]]*Tabla_Consulta_desde_Proyectos7[[#This Row],[PRYUcosto]]/8</f>
        <v>0</v>
      </c>
    </row>
    <row r="124" spans="1:5">
      <c r="A124" t="s">
        <v>1747</v>
      </c>
      <c r="B124" t="s">
        <v>1748</v>
      </c>
      <c r="D124">
        <f>SUMIFS(Horas!R:R,Horas!O:O,Tabla_Consulta_desde_Proyectos7[[#This Row],[Usunombre]])</f>
        <v>0</v>
      </c>
      <c r="E124" s="14">
        <f>Tabla_Consulta_desde_Proyectos7[[#This Row],[Horas]]*Tabla_Consulta_desde_Proyectos7[[#This Row],[PRYUcosto]]/8</f>
        <v>0</v>
      </c>
    </row>
    <row r="125" spans="1:5">
      <c r="A125" t="s">
        <v>1669</v>
      </c>
      <c r="B125" t="s">
        <v>1670</v>
      </c>
      <c r="D125">
        <f>SUMIFS(Horas!R:R,Horas!O:O,Tabla_Consulta_desde_Proyectos7[[#This Row],[Usunombre]])</f>
        <v>0</v>
      </c>
      <c r="E125" s="14">
        <f>Tabla_Consulta_desde_Proyectos7[[#This Row],[Horas]]*Tabla_Consulta_desde_Proyectos7[[#This Row],[PRYUcosto]]/8</f>
        <v>0</v>
      </c>
    </row>
    <row r="126" spans="1:5">
      <c r="A126" t="s">
        <v>1782</v>
      </c>
      <c r="B126" t="s">
        <v>1783</v>
      </c>
      <c r="D126">
        <f>SUMIFS(Horas!R:R,Horas!O:O,Tabla_Consulta_desde_Proyectos7[[#This Row],[Usunombre]])</f>
        <v>0</v>
      </c>
      <c r="E126" s="14">
        <f>Tabla_Consulta_desde_Proyectos7[[#This Row],[Horas]]*Tabla_Consulta_desde_Proyectos7[[#This Row],[PRYUcosto]]/8</f>
        <v>0</v>
      </c>
    </row>
    <row r="127" spans="1:5">
      <c r="A127" t="s">
        <v>1184</v>
      </c>
      <c r="B127" t="s">
        <v>4697</v>
      </c>
      <c r="D127">
        <f>SUMIFS(Horas!R:R,Horas!O:O,Tabla_Consulta_desde_Proyectos7[[#This Row],[Usunombre]])</f>
        <v>0</v>
      </c>
      <c r="E127" s="14">
        <f>Tabla_Consulta_desde_Proyectos7[[#This Row],[Horas]]*Tabla_Consulta_desde_Proyectos7[[#This Row],[PRYUcosto]]/8</f>
        <v>0</v>
      </c>
    </row>
    <row r="128" spans="1:5">
      <c r="A128" t="s">
        <v>979</v>
      </c>
      <c r="B128" t="s">
        <v>980</v>
      </c>
      <c r="D128">
        <f>SUMIFS(Horas!R:R,Horas!O:O,Tabla_Consulta_desde_Proyectos7[[#This Row],[Usunombre]])</f>
        <v>0</v>
      </c>
      <c r="E128" s="14">
        <f>Tabla_Consulta_desde_Proyectos7[[#This Row],[Horas]]*Tabla_Consulta_desde_Proyectos7[[#This Row],[PRYUcosto]]/8</f>
        <v>0</v>
      </c>
    </row>
    <row r="129" spans="1:5">
      <c r="A129" t="s">
        <v>1423</v>
      </c>
      <c r="B129" t="s">
        <v>1424</v>
      </c>
      <c r="D129">
        <f>SUMIFS(Horas!R:R,Horas!O:O,Tabla_Consulta_desde_Proyectos7[[#This Row],[Usunombre]])</f>
        <v>0</v>
      </c>
      <c r="E129" s="14">
        <f>Tabla_Consulta_desde_Proyectos7[[#This Row],[Horas]]*Tabla_Consulta_desde_Proyectos7[[#This Row],[PRYUcosto]]/8</f>
        <v>0</v>
      </c>
    </row>
    <row r="130" spans="1:5">
      <c r="A130" t="s">
        <v>1070</v>
      </c>
      <c r="B130" t="s">
        <v>1071</v>
      </c>
      <c r="D130">
        <f>SUMIFS(Horas!R:R,Horas!O:O,Tabla_Consulta_desde_Proyectos7[[#This Row],[Usunombre]])</f>
        <v>0</v>
      </c>
      <c r="E130" s="14">
        <f>Tabla_Consulta_desde_Proyectos7[[#This Row],[Horas]]*Tabla_Consulta_desde_Proyectos7[[#This Row],[PRYUcosto]]/8</f>
        <v>0</v>
      </c>
    </row>
    <row r="131" spans="1:5">
      <c r="A131" t="s">
        <v>1705</v>
      </c>
      <c r="B131" t="s">
        <v>1706</v>
      </c>
      <c r="D131">
        <f>SUMIFS(Horas!R:R,Horas!O:O,Tabla_Consulta_desde_Proyectos7[[#This Row],[Usunombre]])</f>
        <v>0</v>
      </c>
      <c r="E131" s="14">
        <f>Tabla_Consulta_desde_Proyectos7[[#This Row],[Horas]]*Tabla_Consulta_desde_Proyectos7[[#This Row],[PRYUcosto]]/8</f>
        <v>0</v>
      </c>
    </row>
    <row r="132" spans="1:5">
      <c r="A132" t="s">
        <v>7523</v>
      </c>
      <c r="B132" t="s">
        <v>7524</v>
      </c>
      <c r="D132">
        <f>SUMIFS(Horas!R:R,Horas!O:O,Tabla_Consulta_desde_Proyectos7[[#This Row],[Usunombre]])</f>
        <v>0</v>
      </c>
      <c r="E132" s="14">
        <f>Tabla_Consulta_desde_Proyectos7[[#This Row],[Horas]]*Tabla_Consulta_desde_Proyectos7[[#This Row],[PRYUcosto]]/8</f>
        <v>0</v>
      </c>
    </row>
    <row r="133" spans="1:5">
      <c r="A133" t="s">
        <v>1873</v>
      </c>
      <c r="B133" t="s">
        <v>1874</v>
      </c>
      <c r="D133">
        <f>SUMIFS(Horas!R:R,Horas!O:O,Tabla_Consulta_desde_Proyectos7[[#This Row],[Usunombre]])</f>
        <v>0</v>
      </c>
      <c r="E133" s="14">
        <f>Tabla_Consulta_desde_Proyectos7[[#This Row],[Horas]]*Tabla_Consulta_desde_Proyectos7[[#This Row],[PRYUcosto]]/8</f>
        <v>0</v>
      </c>
    </row>
    <row r="134" spans="1:5">
      <c r="A134" t="s">
        <v>1769</v>
      </c>
      <c r="B134" t="s">
        <v>1770</v>
      </c>
      <c r="D134">
        <f>SUMIFS(Horas!R:R,Horas!O:O,Tabla_Consulta_desde_Proyectos7[[#This Row],[Usunombre]])</f>
        <v>0</v>
      </c>
      <c r="E134" s="14">
        <f>Tabla_Consulta_desde_Proyectos7[[#This Row],[Horas]]*Tabla_Consulta_desde_Proyectos7[[#This Row],[PRYUcosto]]/8</f>
        <v>0</v>
      </c>
    </row>
    <row r="135" spans="1:5">
      <c r="A135" t="s">
        <v>6639</v>
      </c>
      <c r="B135" t="s">
        <v>6640</v>
      </c>
      <c r="D135">
        <f>SUMIFS(Horas!R:R,Horas!O:O,Tabla_Consulta_desde_Proyectos7[[#This Row],[Usunombre]])</f>
        <v>0</v>
      </c>
      <c r="E135" s="14">
        <f>Tabla_Consulta_desde_Proyectos7[[#This Row],[Horas]]*Tabla_Consulta_desde_Proyectos7[[#This Row],[PRYUcosto]]/8</f>
        <v>0</v>
      </c>
    </row>
    <row r="136" spans="1:5">
      <c r="A136" t="s">
        <v>6208</v>
      </c>
      <c r="B136" t="s">
        <v>6209</v>
      </c>
      <c r="D136">
        <f>SUMIFS(Horas!R:R,Horas!O:O,Tabla_Consulta_desde_Proyectos7[[#This Row],[Usunombre]])</f>
        <v>0</v>
      </c>
      <c r="E136" s="14">
        <f>Tabla_Consulta_desde_Proyectos7[[#This Row],[Horas]]*Tabla_Consulta_desde_Proyectos7[[#This Row],[PRYUcosto]]/8</f>
        <v>0</v>
      </c>
    </row>
    <row r="137" spans="1:5">
      <c r="A137" t="s">
        <v>6685</v>
      </c>
      <c r="B137" t="s">
        <v>6686</v>
      </c>
      <c r="C137">
        <v>600</v>
      </c>
      <c r="D137">
        <f>SUMIFS(Horas!R:R,Horas!O:O,Tabla_Consulta_desde_Proyectos7[[#This Row],[Usunombre]])</f>
        <v>0</v>
      </c>
      <c r="E137" s="14">
        <f>Tabla_Consulta_desde_Proyectos7[[#This Row],[Horas]]*Tabla_Consulta_desde_Proyectos7[[#This Row],[PRYUcosto]]/8</f>
        <v>0</v>
      </c>
    </row>
    <row r="138" spans="1:5">
      <c r="A138" t="s">
        <v>5026</v>
      </c>
      <c r="B138" t="s">
        <v>5027</v>
      </c>
      <c r="D138">
        <f>SUMIFS(Horas!R:R,Horas!O:O,Tabla_Consulta_desde_Proyectos7[[#This Row],[Usunombre]])</f>
        <v>0</v>
      </c>
      <c r="E138" s="14">
        <f>Tabla_Consulta_desde_Proyectos7[[#This Row],[Horas]]*Tabla_Consulta_desde_Proyectos7[[#This Row],[PRYUcosto]]/8</f>
        <v>0</v>
      </c>
    </row>
    <row r="139" spans="1:5">
      <c r="A139" t="s">
        <v>1011</v>
      </c>
      <c r="B139" t="s">
        <v>1012</v>
      </c>
      <c r="D139">
        <f>SUMIFS(Horas!R:R,Horas!O:O,Tabla_Consulta_desde_Proyectos7[[#This Row],[Usunombre]])</f>
        <v>0</v>
      </c>
      <c r="E139" s="14">
        <f>Tabla_Consulta_desde_Proyectos7[[#This Row],[Horas]]*Tabla_Consulta_desde_Proyectos7[[#This Row],[PRYUcosto]]/8</f>
        <v>0</v>
      </c>
    </row>
    <row r="140" spans="1:5">
      <c r="A140" t="s">
        <v>1307</v>
      </c>
      <c r="B140" t="s">
        <v>1308</v>
      </c>
      <c r="D140">
        <f>SUMIFS(Horas!R:R,Horas!O:O,Tabla_Consulta_desde_Proyectos7[[#This Row],[Usunombre]])</f>
        <v>0</v>
      </c>
      <c r="E140" s="14">
        <f>Tabla_Consulta_desde_Proyectos7[[#This Row],[Horas]]*Tabla_Consulta_desde_Proyectos7[[#This Row],[PRYUcosto]]/8</f>
        <v>0</v>
      </c>
    </row>
    <row r="141" spans="1:5">
      <c r="A141" t="s">
        <v>1329</v>
      </c>
      <c r="B141" t="s">
        <v>1330</v>
      </c>
      <c r="D141">
        <f>SUMIFS(Horas!R:R,Horas!O:O,Tabla_Consulta_desde_Proyectos7[[#This Row],[Usunombre]])</f>
        <v>0</v>
      </c>
      <c r="E141" s="14">
        <f>Tabla_Consulta_desde_Proyectos7[[#This Row],[Horas]]*Tabla_Consulta_desde_Proyectos7[[#This Row],[PRYUcosto]]/8</f>
        <v>0</v>
      </c>
    </row>
    <row r="142" spans="1:5">
      <c r="A142" t="s">
        <v>6826</v>
      </c>
      <c r="B142" t="s">
        <v>6827</v>
      </c>
      <c r="D142">
        <f>SUMIFS(Horas!R:R,Horas!O:O,Tabla_Consulta_desde_Proyectos7[[#This Row],[Usunombre]])</f>
        <v>0</v>
      </c>
      <c r="E142" s="14">
        <f>Tabla_Consulta_desde_Proyectos7[[#This Row],[Horas]]*Tabla_Consulta_desde_Proyectos7[[#This Row],[PRYUcosto]]/8</f>
        <v>0</v>
      </c>
    </row>
    <row r="143" spans="1:5">
      <c r="A143" t="s">
        <v>1804</v>
      </c>
      <c r="B143" t="s">
        <v>1805</v>
      </c>
      <c r="D143">
        <f>SUMIFS(Horas!R:R,Horas!O:O,Tabla_Consulta_desde_Proyectos7[[#This Row],[Usunombre]])</f>
        <v>0</v>
      </c>
      <c r="E143" s="14">
        <f>Tabla_Consulta_desde_Proyectos7[[#This Row],[Horas]]*Tabla_Consulta_desde_Proyectos7[[#This Row],[PRYUcosto]]/8</f>
        <v>0</v>
      </c>
    </row>
    <row r="144" spans="1:5">
      <c r="A144" t="s">
        <v>1675</v>
      </c>
      <c r="B144" t="s">
        <v>1676</v>
      </c>
      <c r="D144">
        <f>SUMIFS(Horas!R:R,Horas!O:O,Tabla_Consulta_desde_Proyectos7[[#This Row],[Usunombre]])</f>
        <v>0</v>
      </c>
      <c r="E144" s="14">
        <f>Tabla_Consulta_desde_Proyectos7[[#This Row],[Horas]]*Tabla_Consulta_desde_Proyectos7[[#This Row],[PRYUcosto]]/8</f>
        <v>0</v>
      </c>
    </row>
    <row r="145" spans="1:5">
      <c r="A145" t="s">
        <v>6695</v>
      </c>
      <c r="B145" t="s">
        <v>6696</v>
      </c>
      <c r="C145">
        <v>600</v>
      </c>
      <c r="D145">
        <f>SUMIFS(Horas!R:R,Horas!O:O,Tabla_Consulta_desde_Proyectos7[[#This Row],[Usunombre]])</f>
        <v>0</v>
      </c>
      <c r="E145" s="14">
        <f>Tabla_Consulta_desde_Proyectos7[[#This Row],[Horas]]*Tabla_Consulta_desde_Proyectos7[[#This Row],[PRYUcosto]]/8</f>
        <v>0</v>
      </c>
    </row>
    <row r="146" spans="1:5">
      <c r="A146" t="s">
        <v>948</v>
      </c>
      <c r="B146" t="s">
        <v>949</v>
      </c>
      <c r="D146">
        <f>SUMIFS(Horas!R:R,Horas!O:O,Tabla_Consulta_desde_Proyectos7[[#This Row],[Usunombre]])</f>
        <v>0</v>
      </c>
      <c r="E146" s="14">
        <f>Tabla_Consulta_desde_Proyectos7[[#This Row],[Horas]]*Tabla_Consulta_desde_Proyectos7[[#This Row],[PRYUcosto]]/8</f>
        <v>0</v>
      </c>
    </row>
    <row r="147" spans="1:5">
      <c r="A147" t="s">
        <v>6212</v>
      </c>
      <c r="B147" t="s">
        <v>6213</v>
      </c>
      <c r="D147">
        <f>SUMIFS(Horas!R:R,Horas!O:O,Tabla_Consulta_desde_Proyectos7[[#This Row],[Usunombre]])</f>
        <v>0</v>
      </c>
      <c r="E147" s="14">
        <f>Tabla_Consulta_desde_Proyectos7[[#This Row],[Horas]]*Tabla_Consulta_desde_Proyectos7[[#This Row],[PRYUcosto]]/8</f>
        <v>0</v>
      </c>
    </row>
    <row r="148" spans="1:5">
      <c r="A148" t="s">
        <v>1283</v>
      </c>
      <c r="B148" t="s">
        <v>4701</v>
      </c>
      <c r="D148">
        <f>SUMIFS(Horas!R:R,Horas!O:O,Tabla_Consulta_desde_Proyectos7[[#This Row],[Usunombre]])</f>
        <v>0</v>
      </c>
      <c r="E148" s="14">
        <f>Tabla_Consulta_desde_Proyectos7[[#This Row],[Horas]]*Tabla_Consulta_desde_Proyectos7[[#This Row],[PRYUcosto]]/8</f>
        <v>0</v>
      </c>
    </row>
    <row r="149" spans="1:5">
      <c r="A149" t="s">
        <v>5250</v>
      </c>
      <c r="B149" t="s">
        <v>5251</v>
      </c>
      <c r="D149">
        <f>SUMIFS(Horas!R:R,Horas!O:O,Tabla_Consulta_desde_Proyectos7[[#This Row],[Usunombre]])</f>
        <v>0</v>
      </c>
      <c r="E149" s="14">
        <f>Tabla_Consulta_desde_Proyectos7[[#This Row],[Horas]]*Tabla_Consulta_desde_Proyectos7[[#This Row],[PRYUcosto]]/8</f>
        <v>0</v>
      </c>
    </row>
    <row r="150" spans="1:5">
      <c r="A150" t="s">
        <v>913</v>
      </c>
      <c r="B150" t="s">
        <v>914</v>
      </c>
      <c r="C150">
        <v>0</v>
      </c>
      <c r="D150">
        <f>SUMIFS(Horas!R:R,Horas!O:O,Tabla_Consulta_desde_Proyectos7[[#This Row],[Usunombre]])</f>
        <v>0</v>
      </c>
      <c r="E150" s="14">
        <f>Tabla_Consulta_desde_Proyectos7[[#This Row],[Horas]]*Tabla_Consulta_desde_Proyectos7[[#This Row],[PRYUcosto]]/8</f>
        <v>0</v>
      </c>
    </row>
    <row r="151" spans="1:5">
      <c r="A151" t="s">
        <v>1888</v>
      </c>
      <c r="B151" t="s">
        <v>1889</v>
      </c>
      <c r="D151">
        <f>SUMIFS(Horas!R:R,Horas!O:O,Tabla_Consulta_desde_Proyectos7[[#This Row],[Usunombre]])</f>
        <v>0</v>
      </c>
      <c r="E151" s="14">
        <f>Tabla_Consulta_desde_Proyectos7[[#This Row],[Horas]]*Tabla_Consulta_desde_Proyectos7[[#This Row],[PRYUcosto]]/8</f>
        <v>0</v>
      </c>
    </row>
    <row r="152" spans="1:5">
      <c r="A152" t="s">
        <v>6810</v>
      </c>
      <c r="B152" t="s">
        <v>6811</v>
      </c>
      <c r="D152">
        <f>SUMIFS(Horas!R:R,Horas!O:O,Tabla_Consulta_desde_Proyectos7[[#This Row],[Usunombre]])</f>
        <v>0</v>
      </c>
      <c r="E152" s="14">
        <f>Tabla_Consulta_desde_Proyectos7[[#This Row],[Horas]]*Tabla_Consulta_desde_Proyectos7[[#This Row],[PRYUcosto]]/8</f>
        <v>0</v>
      </c>
    </row>
    <row r="153" spans="1:5">
      <c r="A153" t="s">
        <v>4095</v>
      </c>
      <c r="B153" t="s">
        <v>6112</v>
      </c>
      <c r="D153">
        <f>SUMIFS(Horas!R:R,Horas!O:O,Tabla_Consulta_desde_Proyectos7[[#This Row],[Usunombre]])</f>
        <v>0</v>
      </c>
      <c r="E153" s="14">
        <f>Tabla_Consulta_desde_Proyectos7[[#This Row],[Horas]]*Tabla_Consulta_desde_Proyectos7[[#This Row],[PRYUcosto]]/8</f>
        <v>0</v>
      </c>
    </row>
    <row r="154" spans="1:5">
      <c r="A154" t="s">
        <v>971</v>
      </c>
      <c r="B154" t="s">
        <v>972</v>
      </c>
      <c r="C154">
        <v>750</v>
      </c>
      <c r="D154">
        <f>SUMIFS(Horas!R:R,Horas!O:O,Tabla_Consulta_desde_Proyectos7[[#This Row],[Usunombre]])</f>
        <v>0</v>
      </c>
      <c r="E154" s="14">
        <f>Tabla_Consulta_desde_Proyectos7[[#This Row],[Horas]]*Tabla_Consulta_desde_Proyectos7[[#This Row],[PRYUcosto]]/8</f>
        <v>0</v>
      </c>
    </row>
    <row r="155" spans="1:5">
      <c r="A155" t="s">
        <v>1218</v>
      </c>
      <c r="B155" t="s">
        <v>4698</v>
      </c>
      <c r="C155">
        <v>750</v>
      </c>
      <c r="D155">
        <f>SUMIFS(Horas!R:R,Horas!O:O,Tabla_Consulta_desde_Proyectos7[[#This Row],[Usunombre]])</f>
        <v>0</v>
      </c>
      <c r="E155" s="14">
        <f>Tabla_Consulta_desde_Proyectos7[[#This Row],[Horas]]*Tabla_Consulta_desde_Proyectos7[[#This Row],[PRYUcosto]]/8</f>
        <v>0</v>
      </c>
    </row>
    <row r="156" spans="1:5">
      <c r="A156" t="s">
        <v>1041</v>
      </c>
      <c r="B156" t="s">
        <v>1042</v>
      </c>
      <c r="D156">
        <f>SUMIFS(Horas!R:R,Horas!O:O,Tabla_Consulta_desde_Proyectos7[[#This Row],[Usunombre]])</f>
        <v>0</v>
      </c>
      <c r="E156" s="14">
        <f>Tabla_Consulta_desde_Proyectos7[[#This Row],[Horas]]*Tabla_Consulta_desde_Proyectos7[[#This Row],[PRYUcosto]]/8</f>
        <v>0</v>
      </c>
    </row>
    <row r="157" spans="1:5">
      <c r="A157" t="s">
        <v>1162</v>
      </c>
      <c r="B157" t="s">
        <v>1163</v>
      </c>
      <c r="D157">
        <f>SUMIFS(Horas!R:R,Horas!O:O,Tabla_Consulta_desde_Proyectos7[[#This Row],[Usunombre]])</f>
        <v>0</v>
      </c>
      <c r="E157" s="14">
        <f>Tabla_Consulta_desde_Proyectos7[[#This Row],[Horas]]*Tabla_Consulta_desde_Proyectos7[[#This Row],[PRYUcosto]]/8</f>
        <v>0</v>
      </c>
    </row>
    <row r="158" spans="1:5">
      <c r="A158" t="s">
        <v>1501</v>
      </c>
      <c r="B158" t="s">
        <v>1502</v>
      </c>
      <c r="D158">
        <f>SUMIFS(Horas!R:R,Horas!O:O,Tabla_Consulta_desde_Proyectos7[[#This Row],[Usunombre]])</f>
        <v>0</v>
      </c>
      <c r="E158" s="14">
        <f>Tabla_Consulta_desde_Proyectos7[[#This Row],[Horas]]*Tabla_Consulta_desde_Proyectos7[[#This Row],[PRYUcosto]]/8</f>
        <v>0</v>
      </c>
    </row>
    <row r="159" spans="1:5">
      <c r="A159" t="s">
        <v>1806</v>
      </c>
      <c r="B159" t="s">
        <v>1807</v>
      </c>
      <c r="D159">
        <f>SUMIFS(Horas!R:R,Horas!O:O,Tabla_Consulta_desde_Proyectos7[[#This Row],[Usunombre]])</f>
        <v>0</v>
      </c>
      <c r="E159" s="14">
        <f>Tabla_Consulta_desde_Proyectos7[[#This Row],[Horas]]*Tabla_Consulta_desde_Proyectos7[[#This Row],[PRYUcosto]]/8</f>
        <v>0</v>
      </c>
    </row>
    <row r="160" spans="1:5">
      <c r="A160" t="s">
        <v>1223</v>
      </c>
      <c r="B160" t="s">
        <v>1224</v>
      </c>
      <c r="D160">
        <f>SUMIFS(Horas!R:R,Horas!O:O,Tabla_Consulta_desde_Proyectos7[[#This Row],[Usunombre]])</f>
        <v>0</v>
      </c>
      <c r="E160" s="14">
        <f>Tabla_Consulta_desde_Proyectos7[[#This Row],[Horas]]*Tabla_Consulta_desde_Proyectos7[[#This Row],[PRYUcosto]]/8</f>
        <v>0</v>
      </c>
    </row>
    <row r="161" spans="1:5">
      <c r="A161" t="s">
        <v>6683</v>
      </c>
      <c r="B161" t="s">
        <v>6684</v>
      </c>
      <c r="C161">
        <v>600</v>
      </c>
      <c r="D161">
        <f>SUMIFS(Horas!R:R,Horas!O:O,Tabla_Consulta_desde_Proyectos7[[#This Row],[Usunombre]])</f>
        <v>0</v>
      </c>
      <c r="E161" s="14">
        <f>Tabla_Consulta_desde_Proyectos7[[#This Row],[Horas]]*Tabla_Consulta_desde_Proyectos7[[#This Row],[PRYUcosto]]/8</f>
        <v>0</v>
      </c>
    </row>
    <row r="162" spans="1:5">
      <c r="A162" t="s">
        <v>1576</v>
      </c>
      <c r="B162" t="s">
        <v>1577</v>
      </c>
      <c r="C162">
        <v>600</v>
      </c>
      <c r="D162">
        <f>SUMIFS(Horas!R:R,Horas!O:O,Tabla_Consulta_desde_Proyectos7[[#This Row],[Usunombre]])</f>
        <v>0</v>
      </c>
      <c r="E162" s="14">
        <f>Tabla_Consulta_desde_Proyectos7[[#This Row],[Horas]]*Tabla_Consulta_desde_Proyectos7[[#This Row],[PRYUcosto]]/8</f>
        <v>0</v>
      </c>
    </row>
    <row r="163" spans="1:5">
      <c r="A163" t="s">
        <v>1277</v>
      </c>
      <c r="B163" t="s">
        <v>1278</v>
      </c>
      <c r="C163">
        <v>600</v>
      </c>
      <c r="D163">
        <f>SUMIFS(Horas!R:R,Horas!O:O,Tabla_Consulta_desde_Proyectos7[[#This Row],[Usunombre]])</f>
        <v>0</v>
      </c>
      <c r="E163" s="14">
        <f>Tabla_Consulta_desde_Proyectos7[[#This Row],[Horas]]*Tabla_Consulta_desde_Proyectos7[[#This Row],[PRYUcosto]]/8</f>
        <v>0</v>
      </c>
    </row>
    <row r="164" spans="1:5">
      <c r="A164" t="s">
        <v>1526</v>
      </c>
      <c r="B164" t="s">
        <v>1527</v>
      </c>
      <c r="C164">
        <v>800</v>
      </c>
      <c r="D164">
        <f>SUMIFS(Horas!R:R,Horas!O:O,Tabla_Consulta_desde_Proyectos7[[#This Row],[Usunombre]])</f>
        <v>0</v>
      </c>
      <c r="E164" s="14">
        <f>Tabla_Consulta_desde_Proyectos7[[#This Row],[Horas]]*Tabla_Consulta_desde_Proyectos7[[#This Row],[PRYUcosto]]/8</f>
        <v>0</v>
      </c>
    </row>
    <row r="165" spans="1:5">
      <c r="A165" t="s">
        <v>4999</v>
      </c>
      <c r="B165" t="s">
        <v>5000</v>
      </c>
      <c r="D165">
        <f>SUMIFS(Horas!R:R,Horas!O:O,Tabla_Consulta_desde_Proyectos7[[#This Row],[Usunombre]])</f>
        <v>0</v>
      </c>
      <c r="E165" s="14">
        <f>Tabla_Consulta_desde_Proyectos7[[#This Row],[Horas]]*Tabla_Consulta_desde_Proyectos7[[#This Row],[PRYUcosto]]/8</f>
        <v>0</v>
      </c>
    </row>
    <row r="166" spans="1:5">
      <c r="A166" t="s">
        <v>5268</v>
      </c>
      <c r="B166" t="s">
        <v>5269</v>
      </c>
      <c r="C166">
        <v>1200</v>
      </c>
      <c r="D166">
        <f>SUMIFS(Horas!R:R,Horas!O:O,Tabla_Consulta_desde_Proyectos7[[#This Row],[Usunombre]])</f>
        <v>0</v>
      </c>
      <c r="E166" s="14">
        <f>Tabla_Consulta_desde_Proyectos7[[#This Row],[Horas]]*Tabla_Consulta_desde_Proyectos7[[#This Row],[PRYUcosto]]/8</f>
        <v>0</v>
      </c>
    </row>
    <row r="167" spans="1:5">
      <c r="A167" t="s">
        <v>1321</v>
      </c>
      <c r="B167" t="s">
        <v>1322</v>
      </c>
      <c r="D167">
        <f>SUMIFS(Horas!R:R,Horas!O:O,Tabla_Consulta_desde_Proyectos7[[#This Row],[Usunombre]])</f>
        <v>0</v>
      </c>
      <c r="E167" s="14">
        <f>Tabla_Consulta_desde_Proyectos7[[#This Row],[Horas]]*Tabla_Consulta_desde_Proyectos7[[#This Row],[PRYUcosto]]/8</f>
        <v>0</v>
      </c>
    </row>
    <row r="168" spans="1:5">
      <c r="A168" t="s">
        <v>6182</v>
      </c>
      <c r="B168" t="s">
        <v>6183</v>
      </c>
      <c r="D168">
        <f>SUMIFS(Horas!R:R,Horas!O:O,Tabla_Consulta_desde_Proyectos7[[#This Row],[Usunombre]])</f>
        <v>0</v>
      </c>
      <c r="E168" s="14">
        <f>Tabla_Consulta_desde_Proyectos7[[#This Row],[Horas]]*Tabla_Consulta_desde_Proyectos7[[#This Row],[PRYUcosto]]/8</f>
        <v>0</v>
      </c>
    </row>
    <row r="169" spans="1:5">
      <c r="A169" t="s">
        <v>5732</v>
      </c>
      <c r="B169" t="s">
        <v>5733</v>
      </c>
      <c r="C169">
        <v>1200</v>
      </c>
      <c r="D169">
        <f>SUMIFS(Horas!R:R,Horas!O:O,Tabla_Consulta_desde_Proyectos7[[#This Row],[Usunombre]])</f>
        <v>0</v>
      </c>
      <c r="E169" s="14">
        <f>Tabla_Consulta_desde_Proyectos7[[#This Row],[Horas]]*Tabla_Consulta_desde_Proyectos7[[#This Row],[PRYUcosto]]/8</f>
        <v>0</v>
      </c>
    </row>
    <row r="170" spans="1:5">
      <c r="A170" t="s">
        <v>1540</v>
      </c>
      <c r="B170" t="s">
        <v>1541</v>
      </c>
      <c r="C170">
        <v>600</v>
      </c>
      <c r="D170">
        <f>SUMIFS(Horas!R:R,Horas!O:O,Tabla_Consulta_desde_Proyectos7[[#This Row],[Usunombre]])</f>
        <v>0</v>
      </c>
      <c r="E170" s="14">
        <f>Tabla_Consulta_desde_Proyectos7[[#This Row],[Horas]]*Tabla_Consulta_desde_Proyectos7[[#This Row],[PRYUcosto]]/8</f>
        <v>0</v>
      </c>
    </row>
    <row r="171" spans="1:5">
      <c r="A171" t="s">
        <v>1826</v>
      </c>
      <c r="B171" t="s">
        <v>1827</v>
      </c>
      <c r="D171">
        <f>SUMIFS(Horas!R:R,Horas!O:O,Tabla_Consulta_desde_Proyectos7[[#This Row],[Usunombre]])</f>
        <v>0</v>
      </c>
      <c r="E171" s="14">
        <f>Tabla_Consulta_desde_Proyectos7[[#This Row],[Horas]]*Tabla_Consulta_desde_Proyectos7[[#This Row],[PRYUcosto]]/8</f>
        <v>0</v>
      </c>
    </row>
    <row r="172" spans="1:5">
      <c r="A172" t="s">
        <v>3922</v>
      </c>
      <c r="B172" t="s">
        <v>3923</v>
      </c>
      <c r="D172">
        <f>SUMIFS(Horas!R:R,Horas!O:O,Tabla_Consulta_desde_Proyectos7[[#This Row],[Usunombre]])</f>
        <v>0</v>
      </c>
      <c r="E172" s="14">
        <f>Tabla_Consulta_desde_Proyectos7[[#This Row],[Horas]]*Tabla_Consulta_desde_Proyectos7[[#This Row],[PRYUcosto]]/8</f>
        <v>0</v>
      </c>
    </row>
    <row r="173" spans="1:5">
      <c r="A173" t="s">
        <v>1911</v>
      </c>
      <c r="B173" t="s">
        <v>1912</v>
      </c>
      <c r="D173">
        <f>SUMIFS(Horas!R:R,Horas!O:O,Tabla_Consulta_desde_Proyectos7[[#This Row],[Usunombre]])</f>
        <v>0</v>
      </c>
      <c r="E173" s="14">
        <f>Tabla_Consulta_desde_Proyectos7[[#This Row],[Horas]]*Tabla_Consulta_desde_Proyectos7[[#This Row],[PRYUcosto]]/8</f>
        <v>0</v>
      </c>
    </row>
    <row r="174" spans="1:5">
      <c r="A174" t="s">
        <v>1096</v>
      </c>
      <c r="B174" t="s">
        <v>1097</v>
      </c>
      <c r="D174">
        <f>SUMIFS(Horas!R:R,Horas!O:O,Tabla_Consulta_desde_Proyectos7[[#This Row],[Usunombre]])</f>
        <v>0</v>
      </c>
      <c r="E174" s="14">
        <f>Tabla_Consulta_desde_Proyectos7[[#This Row],[Horas]]*Tabla_Consulta_desde_Proyectos7[[#This Row],[PRYUcosto]]/8</f>
        <v>0</v>
      </c>
    </row>
    <row r="175" spans="1:5">
      <c r="A175" t="s">
        <v>5230</v>
      </c>
      <c r="B175" t="s">
        <v>5241</v>
      </c>
      <c r="D175">
        <f>SUMIFS(Horas!R:R,Horas!O:O,Tabla_Consulta_desde_Proyectos7[[#This Row],[Usunombre]])</f>
        <v>0</v>
      </c>
      <c r="E175" s="14">
        <f>Tabla_Consulta_desde_Proyectos7[[#This Row],[Horas]]*Tabla_Consulta_desde_Proyectos7[[#This Row],[PRYUcosto]]/8</f>
        <v>0</v>
      </c>
    </row>
    <row r="176" spans="1:5">
      <c r="A176" t="s">
        <v>6681</v>
      </c>
      <c r="B176" t="s">
        <v>6682</v>
      </c>
      <c r="D176">
        <f>SUMIFS(Horas!R:R,Horas!O:O,Tabla_Consulta_desde_Proyectos7[[#This Row],[Usunombre]])</f>
        <v>0</v>
      </c>
      <c r="E176" s="14">
        <f>Tabla_Consulta_desde_Proyectos7[[#This Row],[Horas]]*Tabla_Consulta_desde_Proyectos7[[#This Row],[PRYUcosto]]/8</f>
        <v>0</v>
      </c>
    </row>
    <row r="177" spans="1:5">
      <c r="A177" t="s">
        <v>1542</v>
      </c>
      <c r="B177" t="s">
        <v>1543</v>
      </c>
      <c r="C177">
        <v>600</v>
      </c>
      <c r="D177">
        <f>SUMIFS(Horas!R:R,Horas!O:O,Tabla_Consulta_desde_Proyectos7[[#This Row],[Usunombre]])</f>
        <v>0</v>
      </c>
      <c r="E177" s="14">
        <f>Tabla_Consulta_desde_Proyectos7[[#This Row],[Horas]]*Tabla_Consulta_desde_Proyectos7[[#This Row],[PRYUcosto]]/8</f>
        <v>0</v>
      </c>
    </row>
    <row r="178" spans="1:5">
      <c r="A178" t="s">
        <v>1439</v>
      </c>
      <c r="B178" t="s">
        <v>1440</v>
      </c>
      <c r="D178">
        <f>SUMIFS(Horas!R:R,Horas!O:O,Tabla_Consulta_desde_Proyectos7[[#This Row],[Usunombre]])</f>
        <v>0</v>
      </c>
      <c r="E178" s="14">
        <f>Tabla_Consulta_desde_Proyectos7[[#This Row],[Horas]]*Tabla_Consulta_desde_Proyectos7[[#This Row],[PRYUcosto]]/8</f>
        <v>0</v>
      </c>
    </row>
    <row r="179" spans="1:5">
      <c r="A179" t="s">
        <v>5262</v>
      </c>
      <c r="B179" t="s">
        <v>5263</v>
      </c>
      <c r="D179">
        <f>SUMIFS(Horas!R:R,Horas!O:O,Tabla_Consulta_desde_Proyectos7[[#This Row],[Usunombre]])</f>
        <v>0</v>
      </c>
      <c r="E179" s="14">
        <f>Tabla_Consulta_desde_Proyectos7[[#This Row],[Horas]]*Tabla_Consulta_desde_Proyectos7[[#This Row],[PRYUcosto]]/8</f>
        <v>0</v>
      </c>
    </row>
    <row r="180" spans="1:5">
      <c r="A180" t="s">
        <v>1333</v>
      </c>
      <c r="B180" t="s">
        <v>1334</v>
      </c>
      <c r="D180">
        <f>SUMIFS(Horas!R:R,Horas!O:O,Tabla_Consulta_desde_Proyectos7[[#This Row],[Usunombre]])</f>
        <v>0</v>
      </c>
      <c r="E180" s="14">
        <f>Tabla_Consulta_desde_Proyectos7[[#This Row],[Horas]]*Tabla_Consulta_desde_Proyectos7[[#This Row],[PRYUcosto]]/8</f>
        <v>0</v>
      </c>
    </row>
    <row r="181" spans="1:5">
      <c r="A181" t="s">
        <v>1299</v>
      </c>
      <c r="B181" t="s">
        <v>1300</v>
      </c>
      <c r="D181">
        <f>SUMIFS(Horas!R:R,Horas!O:O,Tabla_Consulta_desde_Proyectos7[[#This Row],[Usunombre]])</f>
        <v>0</v>
      </c>
      <c r="E181" s="14">
        <f>Tabla_Consulta_desde_Proyectos7[[#This Row],[Horas]]*Tabla_Consulta_desde_Proyectos7[[#This Row],[PRYUcosto]]/8</f>
        <v>0</v>
      </c>
    </row>
    <row r="182" spans="1:5">
      <c r="A182" t="s">
        <v>5050</v>
      </c>
      <c r="B182" t="s">
        <v>5240</v>
      </c>
      <c r="D182">
        <f>SUMIFS(Horas!R:R,Horas!O:O,Tabla_Consulta_desde_Proyectos7[[#This Row],[Usunombre]])</f>
        <v>0</v>
      </c>
      <c r="E182" s="14">
        <f>Tabla_Consulta_desde_Proyectos7[[#This Row],[Horas]]*Tabla_Consulta_desde_Proyectos7[[#This Row],[PRYUcosto]]/8</f>
        <v>0</v>
      </c>
    </row>
    <row r="183" spans="1:5">
      <c r="A183" t="s">
        <v>1513</v>
      </c>
      <c r="B183" t="s">
        <v>1514</v>
      </c>
      <c r="D183">
        <f>SUMIFS(Horas!R:R,Horas!O:O,Tabla_Consulta_desde_Proyectos7[[#This Row],[Usunombre]])</f>
        <v>0</v>
      </c>
      <c r="E183" s="14">
        <f>Tabla_Consulta_desde_Proyectos7[[#This Row],[Horas]]*Tabla_Consulta_desde_Proyectos7[[#This Row],[PRYUcosto]]/8</f>
        <v>0</v>
      </c>
    </row>
    <row r="184" spans="1:5">
      <c r="A184" t="s">
        <v>5246</v>
      </c>
      <c r="B184" t="s">
        <v>5247</v>
      </c>
      <c r="D184">
        <f>SUMIFS(Horas!R:R,Horas!O:O,Tabla_Consulta_desde_Proyectos7[[#This Row],[Usunombre]])</f>
        <v>0</v>
      </c>
      <c r="E184" s="14">
        <f>Tabla_Consulta_desde_Proyectos7[[#This Row],[Horas]]*Tabla_Consulta_desde_Proyectos7[[#This Row],[PRYUcosto]]/8</f>
        <v>0</v>
      </c>
    </row>
    <row r="185" spans="1:5">
      <c r="A185" t="s">
        <v>1858</v>
      </c>
      <c r="B185" t="s">
        <v>1859</v>
      </c>
      <c r="D185">
        <f>SUMIFS(Horas!R:R,Horas!O:O,Tabla_Consulta_desde_Proyectos7[[#This Row],[Usunombre]])</f>
        <v>0</v>
      </c>
      <c r="E185" s="14">
        <f>Tabla_Consulta_desde_Proyectos7[[#This Row],[Horas]]*Tabla_Consulta_desde_Proyectos7[[#This Row],[PRYUcosto]]/8</f>
        <v>0</v>
      </c>
    </row>
    <row r="186" spans="1:5">
      <c r="A186" t="s">
        <v>1523</v>
      </c>
      <c r="B186" t="s">
        <v>4104</v>
      </c>
      <c r="D186">
        <f>SUMIFS(Horas!R:R,Horas!O:O,Tabla_Consulta_desde_Proyectos7[[#This Row],[Usunombre]])</f>
        <v>0</v>
      </c>
      <c r="E186" s="14">
        <f>Tabla_Consulta_desde_Proyectos7[[#This Row],[Horas]]*Tabla_Consulta_desde_Proyectos7[[#This Row],[PRYUcosto]]/8</f>
        <v>0</v>
      </c>
    </row>
    <row r="187" spans="1:5">
      <c r="A187" t="s">
        <v>5417</v>
      </c>
      <c r="B187" t="s">
        <v>5418</v>
      </c>
      <c r="D187">
        <f>SUMIFS(Horas!R:R,Horas!O:O,Tabla_Consulta_desde_Proyectos7[[#This Row],[Usunombre]])</f>
        <v>0</v>
      </c>
      <c r="E187" s="14">
        <f>Tabla_Consulta_desde_Proyectos7[[#This Row],[Horas]]*Tabla_Consulta_desde_Proyectos7[[#This Row],[PRYUcosto]]/8</f>
        <v>0</v>
      </c>
    </row>
    <row r="188" spans="1:5">
      <c r="A188" t="s">
        <v>1917</v>
      </c>
      <c r="B188" t="s">
        <v>1918</v>
      </c>
      <c r="C188">
        <v>600</v>
      </c>
      <c r="D188">
        <f>SUMIFS(Horas!R:R,Horas!O:O,Tabla_Consulta_desde_Proyectos7[[#This Row],[Usunombre]])</f>
        <v>0</v>
      </c>
      <c r="E188" s="14">
        <f>Tabla_Consulta_desde_Proyectos7[[#This Row],[Horas]]*Tabla_Consulta_desde_Proyectos7[[#This Row],[PRYUcosto]]/8</f>
        <v>0</v>
      </c>
    </row>
    <row r="189" spans="1:5">
      <c r="A189" t="s">
        <v>1102</v>
      </c>
      <c r="B189" t="s">
        <v>1103</v>
      </c>
      <c r="D189">
        <f>SUMIFS(Horas!R:R,Horas!O:O,Tabla_Consulta_desde_Proyectos7[[#This Row],[Usunombre]])</f>
        <v>0</v>
      </c>
      <c r="E189" s="14">
        <f>Tabla_Consulta_desde_Proyectos7[[#This Row],[Horas]]*Tabla_Consulta_desde_Proyectos7[[#This Row],[PRYUcosto]]/8</f>
        <v>0</v>
      </c>
    </row>
    <row r="190" spans="1:5">
      <c r="A190" t="s">
        <v>5287</v>
      </c>
      <c r="B190" t="s">
        <v>5288</v>
      </c>
      <c r="D190">
        <f>SUMIFS(Horas!R:R,Horas!O:O,Tabla_Consulta_desde_Proyectos7[[#This Row],[Usunombre]])</f>
        <v>0</v>
      </c>
      <c r="E190" s="14">
        <f>Tabla_Consulta_desde_Proyectos7[[#This Row],[Horas]]*Tabla_Consulta_desde_Proyectos7[[#This Row],[PRYUcosto]]/8</f>
        <v>0</v>
      </c>
    </row>
    <row r="191" spans="1:5">
      <c r="A191" t="s">
        <v>1017</v>
      </c>
      <c r="B191" t="s">
        <v>1018</v>
      </c>
      <c r="D191">
        <f>SUMIFS(Horas!R:R,Horas!O:O,Tabla_Consulta_desde_Proyectos7[[#This Row],[Usunombre]])</f>
        <v>0</v>
      </c>
      <c r="E191" s="14">
        <f>Tabla_Consulta_desde_Proyectos7[[#This Row],[Horas]]*Tabla_Consulta_desde_Proyectos7[[#This Row],[PRYUcosto]]/8</f>
        <v>0</v>
      </c>
    </row>
    <row r="192" spans="1:5">
      <c r="A192" t="s">
        <v>1741</v>
      </c>
      <c r="B192" t="s">
        <v>1742</v>
      </c>
      <c r="C192">
        <v>600</v>
      </c>
      <c r="D192">
        <f>SUMIFS(Horas!R:R,Horas!O:O,Tabla_Consulta_desde_Proyectos7[[#This Row],[Usunombre]])</f>
        <v>0</v>
      </c>
      <c r="E192" s="14">
        <f>Tabla_Consulta_desde_Proyectos7[[#This Row],[Horas]]*Tabla_Consulta_desde_Proyectos7[[#This Row],[PRYUcosto]]/8</f>
        <v>0</v>
      </c>
    </row>
    <row r="193" spans="1:5">
      <c r="A193" t="s">
        <v>7514</v>
      </c>
      <c r="B193" t="s">
        <v>7515</v>
      </c>
      <c r="D193">
        <f>SUMIFS(Horas!R:R,Horas!O:O,Tabla_Consulta_desde_Proyectos7[[#This Row],[Usunombre]])</f>
        <v>0</v>
      </c>
      <c r="E193" s="14">
        <f>Tabla_Consulta_desde_Proyectos7[[#This Row],[Horas]]*Tabla_Consulta_desde_Proyectos7[[#This Row],[PRYUcosto]]/8</f>
        <v>0</v>
      </c>
    </row>
    <row r="194" spans="1:5">
      <c r="A194" t="s">
        <v>5411</v>
      </c>
      <c r="B194" t="s">
        <v>5412</v>
      </c>
      <c r="D194">
        <f>SUMIFS(Horas!R:R,Horas!O:O,Tabla_Consulta_desde_Proyectos7[[#This Row],[Usunombre]])</f>
        <v>0</v>
      </c>
      <c r="E194" s="14">
        <f>Tabla_Consulta_desde_Proyectos7[[#This Row],[Horas]]*Tabla_Consulta_desde_Proyectos7[[#This Row],[PRYUcosto]]/8</f>
        <v>0</v>
      </c>
    </row>
    <row r="195" spans="1:5">
      <c r="A195" t="s">
        <v>1631</v>
      </c>
      <c r="B195" t="s">
        <v>1632</v>
      </c>
      <c r="D195">
        <f>SUMIFS(Horas!R:R,Horas!O:O,Tabla_Consulta_desde_Proyectos7[[#This Row],[Usunombre]])</f>
        <v>0</v>
      </c>
      <c r="E195" s="14">
        <f>Tabla_Consulta_desde_Proyectos7[[#This Row],[Horas]]*Tabla_Consulta_desde_Proyectos7[[#This Row],[PRYUcosto]]/8</f>
        <v>0</v>
      </c>
    </row>
    <row r="196" spans="1:5">
      <c r="A196" t="s">
        <v>1844</v>
      </c>
      <c r="B196" t="s">
        <v>1845</v>
      </c>
      <c r="D196">
        <f>SUMIFS(Horas!R:R,Horas!O:O,Tabla_Consulta_desde_Proyectos7[[#This Row],[Usunombre]])</f>
        <v>0</v>
      </c>
      <c r="E196" s="14">
        <f>Tabla_Consulta_desde_Proyectos7[[#This Row],[Horas]]*Tabla_Consulta_desde_Proyectos7[[#This Row],[PRYUcosto]]/8</f>
        <v>0</v>
      </c>
    </row>
    <row r="197" spans="1:5">
      <c r="A197" t="s">
        <v>1687</v>
      </c>
      <c r="B197" t="s">
        <v>1688</v>
      </c>
      <c r="D197">
        <f>SUMIFS(Horas!R:R,Horas!O:O,Tabla_Consulta_desde_Proyectos7[[#This Row],[Usunombre]])</f>
        <v>0</v>
      </c>
      <c r="E197" s="14">
        <f>Tabla_Consulta_desde_Proyectos7[[#This Row],[Horas]]*Tabla_Consulta_desde_Proyectos7[[#This Row],[PRYUcosto]]/8</f>
        <v>0</v>
      </c>
    </row>
    <row r="198" spans="1:5">
      <c r="A198" t="s">
        <v>1737</v>
      </c>
      <c r="B198" t="s">
        <v>1738</v>
      </c>
      <c r="D198">
        <f>SUMIFS(Horas!R:R,Horas!O:O,Tabla_Consulta_desde_Proyectos7[[#This Row],[Usunombre]])</f>
        <v>0</v>
      </c>
      <c r="E198" s="14">
        <f>Tabla_Consulta_desde_Proyectos7[[#This Row],[Horas]]*Tabla_Consulta_desde_Proyectos7[[#This Row],[PRYUcosto]]/8</f>
        <v>0</v>
      </c>
    </row>
    <row r="199" spans="1:5">
      <c r="A199" t="s">
        <v>1357</v>
      </c>
      <c r="B199" t="s">
        <v>1358</v>
      </c>
      <c r="D199">
        <f>SUMIFS(Horas!R:R,Horas!O:O,Tabla_Consulta_desde_Proyectos7[[#This Row],[Usunombre]])</f>
        <v>0</v>
      </c>
      <c r="E199" s="14">
        <f>Tabla_Consulta_desde_Proyectos7[[#This Row],[Horas]]*Tabla_Consulta_desde_Proyectos7[[#This Row],[PRYUcosto]]/8</f>
        <v>0</v>
      </c>
    </row>
    <row r="200" spans="1:5">
      <c r="A200" t="s">
        <v>1477</v>
      </c>
      <c r="B200" t="s">
        <v>1478</v>
      </c>
      <c r="C200">
        <v>600</v>
      </c>
      <c r="D200">
        <f>SUMIFS(Horas!R:R,Horas!O:O,Tabla_Consulta_desde_Proyectos7[[#This Row],[Usunombre]])</f>
        <v>0</v>
      </c>
      <c r="E200" s="14">
        <f>Tabla_Consulta_desde_Proyectos7[[#This Row],[Horas]]*Tabla_Consulta_desde_Proyectos7[[#This Row],[PRYUcosto]]/8</f>
        <v>0</v>
      </c>
    </row>
    <row r="201" spans="1:5">
      <c r="A201" t="s">
        <v>1693</v>
      </c>
      <c r="B201" t="s">
        <v>1694</v>
      </c>
      <c r="D201">
        <f>SUMIFS(Horas!R:R,Horas!O:O,Tabla_Consulta_desde_Proyectos7[[#This Row],[Usunombre]])</f>
        <v>0</v>
      </c>
      <c r="E201" s="14">
        <f>Tabla_Consulta_desde_Proyectos7[[#This Row],[Horas]]*Tabla_Consulta_desde_Proyectos7[[#This Row],[PRYUcosto]]/8</f>
        <v>0</v>
      </c>
    </row>
    <row r="202" spans="1:5">
      <c r="A202" t="s">
        <v>6999</v>
      </c>
      <c r="B202" t="s">
        <v>7000</v>
      </c>
      <c r="D202">
        <f>SUMIFS(Horas!R:R,Horas!O:O,Tabla_Consulta_desde_Proyectos7[[#This Row],[Usunombre]])</f>
        <v>0</v>
      </c>
      <c r="E202" s="14">
        <f>Tabla_Consulta_desde_Proyectos7[[#This Row],[Horas]]*Tabla_Consulta_desde_Proyectos7[[#This Row],[PRYUcosto]]/8</f>
        <v>0</v>
      </c>
    </row>
    <row r="203" spans="1:5">
      <c r="A203" t="s">
        <v>5427</v>
      </c>
      <c r="B203" t="s">
        <v>5428</v>
      </c>
      <c r="D203">
        <f>SUMIFS(Horas!R:R,Horas!O:O,Tabla_Consulta_desde_Proyectos7[[#This Row],[Usunombre]])</f>
        <v>0</v>
      </c>
      <c r="E203" s="14">
        <f>Tabla_Consulta_desde_Proyectos7[[#This Row],[Horas]]*Tabla_Consulta_desde_Proyectos7[[#This Row],[PRYUcosto]]/8</f>
        <v>0</v>
      </c>
    </row>
    <row r="204" spans="1:5">
      <c r="A204" t="s">
        <v>6224</v>
      </c>
      <c r="B204" t="s">
        <v>6225</v>
      </c>
      <c r="D204">
        <f>SUMIFS(Horas!R:R,Horas!O:O,Tabla_Consulta_desde_Proyectos7[[#This Row],[Usunombre]])</f>
        <v>0</v>
      </c>
      <c r="E204" s="14">
        <f>Tabla_Consulta_desde_Proyectos7[[#This Row],[Horas]]*Tabla_Consulta_desde_Proyectos7[[#This Row],[PRYUcosto]]/8</f>
        <v>0</v>
      </c>
    </row>
    <row r="205" spans="1:5">
      <c r="A205" t="s">
        <v>1570</v>
      </c>
      <c r="B205" t="s">
        <v>1571</v>
      </c>
      <c r="D205">
        <f>SUMIFS(Horas!R:R,Horas!O:O,Tabla_Consulta_desde_Proyectos7[[#This Row],[Usunombre]])</f>
        <v>0</v>
      </c>
      <c r="E205" s="14">
        <f>Tabla_Consulta_desde_Proyectos7[[#This Row],[Horas]]*Tabla_Consulta_desde_Proyectos7[[#This Row],[PRYUcosto]]/8</f>
        <v>0</v>
      </c>
    </row>
    <row r="206" spans="1:5">
      <c r="A206" t="s">
        <v>6165</v>
      </c>
      <c r="B206" t="s">
        <v>6166</v>
      </c>
      <c r="C206">
        <v>1200</v>
      </c>
      <c r="D206">
        <f>SUMIFS(Horas!R:R,Horas!O:O,Tabla_Consulta_desde_Proyectos7[[#This Row],[Usunombre]])</f>
        <v>0</v>
      </c>
      <c r="E206" s="14">
        <f>Tabla_Consulta_desde_Proyectos7[[#This Row],[Horas]]*Tabla_Consulta_desde_Proyectos7[[#This Row],[PRYUcosto]]/8</f>
        <v>0</v>
      </c>
    </row>
    <row r="207" spans="1:5">
      <c r="A207" t="s">
        <v>6645</v>
      </c>
      <c r="B207" t="s">
        <v>6646</v>
      </c>
      <c r="D207">
        <f>SUMIFS(Horas!R:R,Horas!O:O,Tabla_Consulta_desde_Proyectos7[[#This Row],[Usunombre]])</f>
        <v>0</v>
      </c>
      <c r="E207" s="14">
        <f>Tabla_Consulta_desde_Proyectos7[[#This Row],[Horas]]*Tabla_Consulta_desde_Proyectos7[[#This Row],[PRYUcosto]]/8</f>
        <v>0</v>
      </c>
    </row>
    <row r="208" spans="1:5">
      <c r="A208" t="s">
        <v>1139</v>
      </c>
      <c r="B208" t="s">
        <v>1140</v>
      </c>
      <c r="C208">
        <v>1200</v>
      </c>
      <c r="D208">
        <f>SUMIFS(Horas!R:R,Horas!O:O,Tabla_Consulta_desde_Proyectos7[[#This Row],[Usunombre]])</f>
        <v>0</v>
      </c>
      <c r="E208" s="14">
        <f>Tabla_Consulta_desde_Proyectos7[[#This Row],[Horas]]*Tabla_Consulta_desde_Proyectos7[[#This Row],[PRYUcosto]]/8</f>
        <v>0</v>
      </c>
    </row>
    <row r="209" spans="1:5">
      <c r="A209" t="s">
        <v>1303</v>
      </c>
      <c r="B209" t="s">
        <v>1304</v>
      </c>
      <c r="D209">
        <f>SUMIFS(Horas!R:R,Horas!O:O,Tabla_Consulta_desde_Proyectos7[[#This Row],[Usunombre]])</f>
        <v>0</v>
      </c>
      <c r="E209" s="14">
        <f>Tabla_Consulta_desde_Proyectos7[[#This Row],[Horas]]*Tabla_Consulta_desde_Proyectos7[[#This Row],[PRYUcosto]]/8</f>
        <v>0</v>
      </c>
    </row>
    <row r="210" spans="1:5">
      <c r="A210" t="s">
        <v>1699</v>
      </c>
      <c r="B210" t="s">
        <v>1700</v>
      </c>
      <c r="C210">
        <v>600</v>
      </c>
      <c r="D210">
        <f>SUMIFS(Horas!R:R,Horas!O:O,Tabla_Consulta_desde_Proyectos7[[#This Row],[Usunombre]])</f>
        <v>0</v>
      </c>
      <c r="E210" s="14">
        <f>Tabla_Consulta_desde_Proyectos7[[#This Row],[Horas]]*Tabla_Consulta_desde_Proyectos7[[#This Row],[PRYUcosto]]/8</f>
        <v>0</v>
      </c>
    </row>
    <row r="211" spans="1:5">
      <c r="A211" t="s">
        <v>1137</v>
      </c>
      <c r="B211" t="s">
        <v>1138</v>
      </c>
      <c r="C211">
        <v>750</v>
      </c>
      <c r="D211">
        <f>SUMIFS(Horas!R:R,Horas!O:O,Tabla_Consulta_desde_Proyectos7[[#This Row],[Usunombre]])</f>
        <v>0</v>
      </c>
      <c r="E211" s="14">
        <f>Tabla_Consulta_desde_Proyectos7[[#This Row],[Horas]]*Tabla_Consulta_desde_Proyectos7[[#This Row],[PRYUcosto]]/8</f>
        <v>0</v>
      </c>
    </row>
    <row r="212" spans="1:5">
      <c r="A212" t="s">
        <v>983</v>
      </c>
      <c r="B212" t="s">
        <v>984</v>
      </c>
      <c r="C212">
        <v>600</v>
      </c>
      <c r="D212">
        <f>SUMIFS(Horas!R:R,Horas!O:O,Tabla_Consulta_desde_Proyectos7[[#This Row],[Usunombre]])</f>
        <v>0</v>
      </c>
      <c r="E212" s="14">
        <f>Tabla_Consulta_desde_Proyectos7[[#This Row],[Horas]]*Tabla_Consulta_desde_Proyectos7[[#This Row],[PRYUcosto]]/8</f>
        <v>0</v>
      </c>
    </row>
    <row r="213" spans="1:5">
      <c r="A213" t="s">
        <v>6975</v>
      </c>
      <c r="B213" t="s">
        <v>6976</v>
      </c>
      <c r="D213">
        <f>SUMIFS(Horas!R:R,Horas!O:O,Tabla_Consulta_desde_Proyectos7[[#This Row],[Usunombre]])</f>
        <v>0</v>
      </c>
      <c r="E213" s="14">
        <f>Tabla_Consulta_desde_Proyectos7[[#This Row],[Horas]]*Tabla_Consulta_desde_Proyectos7[[#This Row],[PRYUcosto]]/8</f>
        <v>0</v>
      </c>
    </row>
    <row r="214" spans="1:5">
      <c r="A214" t="s">
        <v>1776</v>
      </c>
      <c r="B214" t="s">
        <v>1777</v>
      </c>
      <c r="D214">
        <f>SUMIFS(Horas!R:R,Horas!O:O,Tabla_Consulta_desde_Proyectos7[[#This Row],[Usunombre]])</f>
        <v>0</v>
      </c>
      <c r="E214" s="14">
        <f>Tabla_Consulta_desde_Proyectos7[[#This Row],[Horas]]*Tabla_Consulta_desde_Proyectos7[[#This Row],[PRYUcosto]]/8</f>
        <v>0</v>
      </c>
    </row>
    <row r="215" spans="1:5">
      <c r="A215" t="s">
        <v>2007</v>
      </c>
      <c r="B215" t="s">
        <v>2008</v>
      </c>
      <c r="D215">
        <f>SUMIFS(Horas!R:R,Horas!O:O,Tabla_Consulta_desde_Proyectos7[[#This Row],[Usunombre]])</f>
        <v>0</v>
      </c>
      <c r="E215" s="14">
        <f>Tabla_Consulta_desde_Proyectos7[[#This Row],[Horas]]*Tabla_Consulta_desde_Proyectos7[[#This Row],[PRYUcosto]]/8</f>
        <v>0</v>
      </c>
    </row>
    <row r="216" spans="1:5">
      <c r="A216" t="s">
        <v>985</v>
      </c>
      <c r="B216" t="s">
        <v>986</v>
      </c>
      <c r="D216">
        <f>SUMIFS(Horas!R:R,Horas!O:O,Tabla_Consulta_desde_Proyectos7[[#This Row],[Usunombre]])</f>
        <v>0</v>
      </c>
      <c r="E216" s="14">
        <f>Tabla_Consulta_desde_Proyectos7[[#This Row],[Horas]]*Tabla_Consulta_desde_Proyectos7[[#This Row],[PRYUcosto]]/8</f>
        <v>0</v>
      </c>
    </row>
    <row r="217" spans="1:5">
      <c r="A217" t="s">
        <v>1709</v>
      </c>
      <c r="B217" t="s">
        <v>1710</v>
      </c>
      <c r="C217">
        <v>1200</v>
      </c>
      <c r="D217">
        <f>SUMIFS(Horas!R:R,Horas!O:O,Tabla_Consulta_desde_Proyectos7[[#This Row],[Usunombre]])</f>
        <v>0</v>
      </c>
      <c r="E217" s="14">
        <f>Tabla_Consulta_desde_Proyectos7[[#This Row],[Horas]]*Tabla_Consulta_desde_Proyectos7[[#This Row],[PRYUcosto]]/8</f>
        <v>0</v>
      </c>
    </row>
    <row r="218" spans="1:5">
      <c r="A218" t="s">
        <v>4728</v>
      </c>
      <c r="B218" t="s">
        <v>4729</v>
      </c>
      <c r="D218">
        <f>SUMIFS(Horas!R:R,Horas!O:O,Tabla_Consulta_desde_Proyectos7[[#This Row],[Usunombre]])</f>
        <v>0</v>
      </c>
      <c r="E218" s="14">
        <f>Tabla_Consulta_desde_Proyectos7[[#This Row],[Horas]]*Tabla_Consulta_desde_Proyectos7[[#This Row],[PRYUcosto]]/8</f>
        <v>0</v>
      </c>
    </row>
    <row r="219" spans="1:5">
      <c r="A219" t="s">
        <v>7537</v>
      </c>
      <c r="B219" t="s">
        <v>7538</v>
      </c>
      <c r="C219">
        <v>600</v>
      </c>
      <c r="D219">
        <f>SUMIFS(Horas!R:R,Horas!O:O,Tabla_Consulta_desde_Proyectos7[[#This Row],[Usunombre]])</f>
        <v>0</v>
      </c>
      <c r="E219" s="14">
        <f>Tabla_Consulta_desde_Proyectos7[[#This Row],[Horas]]*Tabla_Consulta_desde_Proyectos7[[#This Row],[PRYUcosto]]/8</f>
        <v>0</v>
      </c>
    </row>
    <row r="220" spans="1:5">
      <c r="A220" t="s">
        <v>6163</v>
      </c>
      <c r="B220" t="s">
        <v>6164</v>
      </c>
      <c r="C220">
        <v>1200</v>
      </c>
      <c r="D220">
        <f>SUMIFS(Horas!R:R,Horas!O:O,Tabla_Consulta_desde_Proyectos7[[#This Row],[Usunombre]])</f>
        <v>0</v>
      </c>
      <c r="E220" s="14">
        <f>Tabla_Consulta_desde_Proyectos7[[#This Row],[Horas]]*Tabla_Consulta_desde_Proyectos7[[#This Row],[PRYUcosto]]/8</f>
        <v>0</v>
      </c>
    </row>
    <row r="221" spans="1:5">
      <c r="A221" t="s">
        <v>1143</v>
      </c>
      <c r="B221" t="s">
        <v>4696</v>
      </c>
      <c r="D221">
        <f>SUMIFS(Horas!R:R,Horas!O:O,Tabla_Consulta_desde_Proyectos7[[#This Row],[Usunombre]])</f>
        <v>0</v>
      </c>
      <c r="E221" s="14">
        <f>Tabla_Consulta_desde_Proyectos7[[#This Row],[Horas]]*Tabla_Consulta_desde_Proyectos7[[#This Row],[PRYUcosto]]/8</f>
        <v>0</v>
      </c>
    </row>
    <row r="222" spans="1:5">
      <c r="A222" t="s">
        <v>4942</v>
      </c>
      <c r="B222" t="s">
        <v>4943</v>
      </c>
      <c r="D222">
        <f>SUMIFS(Horas!R:R,Horas!O:O,Tabla_Consulta_desde_Proyectos7[[#This Row],[Usunombre]])</f>
        <v>0</v>
      </c>
      <c r="E222" s="14">
        <f>Tabla_Consulta_desde_Proyectos7[[#This Row],[Horas]]*Tabla_Consulta_desde_Proyectos7[[#This Row],[PRYUcosto]]/8</f>
        <v>0</v>
      </c>
    </row>
    <row r="223" spans="1:5">
      <c r="A223" t="s">
        <v>1964</v>
      </c>
      <c r="B223" t="s">
        <v>1965</v>
      </c>
      <c r="D223">
        <f>SUMIFS(Horas!R:R,Horas!O:O,Tabla_Consulta_desde_Proyectos7[[#This Row],[Usunombre]])</f>
        <v>0</v>
      </c>
      <c r="E223" s="14">
        <f>Tabla_Consulta_desde_Proyectos7[[#This Row],[Horas]]*Tabla_Consulta_desde_Proyectos7[[#This Row],[PRYUcosto]]/8</f>
        <v>0</v>
      </c>
    </row>
    <row r="224" spans="1:5">
      <c r="A224" t="s">
        <v>1691</v>
      </c>
      <c r="B224" t="s">
        <v>1692</v>
      </c>
      <c r="D224">
        <f>SUMIFS(Horas!R:R,Horas!O:O,Tabla_Consulta_desde_Proyectos7[[#This Row],[Usunombre]])</f>
        <v>0</v>
      </c>
      <c r="E224" s="14">
        <f>Tabla_Consulta_desde_Proyectos7[[#This Row],[Horas]]*Tabla_Consulta_desde_Proyectos7[[#This Row],[PRYUcosto]]/8</f>
        <v>0</v>
      </c>
    </row>
    <row r="225" spans="1:5">
      <c r="A225" t="s">
        <v>1725</v>
      </c>
      <c r="B225" t="s">
        <v>1726</v>
      </c>
      <c r="C225">
        <v>600</v>
      </c>
      <c r="D225">
        <f>SUMIFS(Horas!R:R,Horas!O:O,Tabla_Consulta_desde_Proyectos7[[#This Row],[Usunombre]])</f>
        <v>0</v>
      </c>
      <c r="E225" s="14">
        <f>Tabla_Consulta_desde_Proyectos7[[#This Row],[Horas]]*Tabla_Consulta_desde_Proyectos7[[#This Row],[PRYUcosto]]/8</f>
        <v>0</v>
      </c>
    </row>
    <row r="226" spans="1:5">
      <c r="A226" t="s">
        <v>4985</v>
      </c>
      <c r="B226" t="s">
        <v>4986</v>
      </c>
      <c r="D226">
        <f>SUMIFS(Horas!R:R,Horas!O:O,Tabla_Consulta_desde_Proyectos7[[#This Row],[Usunombre]])</f>
        <v>0</v>
      </c>
      <c r="E226" s="14">
        <f>Tabla_Consulta_desde_Proyectos7[[#This Row],[Horas]]*Tabla_Consulta_desde_Proyectos7[[#This Row],[PRYUcosto]]/8</f>
        <v>0</v>
      </c>
    </row>
    <row r="227" spans="1:5">
      <c r="A227" t="s">
        <v>1909</v>
      </c>
      <c r="B227" t="s">
        <v>1910</v>
      </c>
      <c r="D227">
        <f>SUMIFS(Horas!R:R,Horas!O:O,Tabla_Consulta_desde_Proyectos7[[#This Row],[Usunombre]])</f>
        <v>0</v>
      </c>
      <c r="E227" s="14">
        <f>Tabla_Consulta_desde_Proyectos7[[#This Row],[Horas]]*Tabla_Consulta_desde_Proyectos7[[#This Row],[PRYUcosto]]/8</f>
        <v>0</v>
      </c>
    </row>
    <row r="228" spans="1:5">
      <c r="A228" t="s">
        <v>6198</v>
      </c>
      <c r="B228" t="s">
        <v>6199</v>
      </c>
      <c r="C228">
        <v>600</v>
      </c>
      <c r="D228">
        <f>SUMIFS(Horas!R:R,Horas!O:O,Tabla_Consulta_desde_Proyectos7[[#This Row],[Usunombre]])</f>
        <v>0</v>
      </c>
      <c r="E228" s="14">
        <f>Tabla_Consulta_desde_Proyectos7[[#This Row],[Horas]]*Tabla_Consulta_desde_Proyectos7[[#This Row],[PRYUcosto]]/8</f>
        <v>0</v>
      </c>
    </row>
    <row r="229" spans="1:5">
      <c r="A229" t="s">
        <v>6228</v>
      </c>
      <c r="B229" t="s">
        <v>6229</v>
      </c>
      <c r="D229">
        <f>SUMIFS(Horas!R:R,Horas!O:O,Tabla_Consulta_desde_Proyectos7[[#This Row],[Usunombre]])</f>
        <v>0</v>
      </c>
      <c r="E229" s="14">
        <f>Tabla_Consulta_desde_Proyectos7[[#This Row],[Horas]]*Tabla_Consulta_desde_Proyectos7[[#This Row],[PRYUcosto]]/8</f>
        <v>0</v>
      </c>
    </row>
    <row r="230" spans="1:5">
      <c r="A230" t="s">
        <v>6822</v>
      </c>
      <c r="B230" t="s">
        <v>6823</v>
      </c>
      <c r="D230">
        <f>SUMIFS(Horas!R:R,Horas!O:O,Tabla_Consulta_desde_Proyectos7[[#This Row],[Usunombre]])</f>
        <v>0</v>
      </c>
      <c r="E230" s="14">
        <f>Tabla_Consulta_desde_Proyectos7[[#This Row],[Horas]]*Tabla_Consulta_desde_Proyectos7[[#This Row],[PRYUcosto]]/8</f>
        <v>0</v>
      </c>
    </row>
    <row r="231" spans="1:5">
      <c r="A231" t="s">
        <v>1074</v>
      </c>
      <c r="B231" t="s">
        <v>1075</v>
      </c>
      <c r="C231">
        <v>1600</v>
      </c>
      <c r="D231">
        <f>SUMIFS(Horas!R:R,Horas!O:O,Tabla_Consulta_desde_Proyectos7[[#This Row],[Usunombre]])</f>
        <v>0</v>
      </c>
      <c r="E231" s="14">
        <f>Tabla_Consulta_desde_Proyectos7[[#This Row],[Horas]]*Tabla_Consulta_desde_Proyectos7[[#This Row],[PRYUcosto]]/8</f>
        <v>0</v>
      </c>
    </row>
    <row r="232" spans="1:5">
      <c r="A232" t="s">
        <v>1154</v>
      </c>
      <c r="B232" t="s">
        <v>1155</v>
      </c>
      <c r="C232">
        <v>750</v>
      </c>
      <c r="D232">
        <f>SUMIFS(Horas!R:R,Horas!O:O,Tabla_Consulta_desde_Proyectos7[[#This Row],[Usunombre]])</f>
        <v>0</v>
      </c>
      <c r="E232" s="14">
        <f>Tabla_Consulta_desde_Proyectos7[[#This Row],[Horas]]*Tabla_Consulta_desde_Proyectos7[[#This Row],[PRYUcosto]]/8</f>
        <v>0</v>
      </c>
    </row>
    <row r="233" spans="1:5">
      <c r="A233" t="s">
        <v>5728</v>
      </c>
      <c r="B233" t="s">
        <v>5729</v>
      </c>
      <c r="C233">
        <v>1200</v>
      </c>
      <c r="D233">
        <f>SUMIFS(Horas!R:R,Horas!O:O,Tabla_Consulta_desde_Proyectos7[[#This Row],[Usunombre]])</f>
        <v>0</v>
      </c>
      <c r="E233" s="14">
        <f>Tabla_Consulta_desde_Proyectos7[[#This Row],[Horas]]*Tabla_Consulta_desde_Proyectos7[[#This Row],[PRYUcosto]]/8</f>
        <v>0</v>
      </c>
    </row>
    <row r="234" spans="1:5">
      <c r="A234" t="s">
        <v>1572</v>
      </c>
      <c r="B234" t="s">
        <v>1573</v>
      </c>
      <c r="D234">
        <f>SUMIFS(Horas!R:R,Horas!O:O,Tabla_Consulta_desde_Proyectos7[[#This Row],[Usunombre]])</f>
        <v>0</v>
      </c>
      <c r="E234" s="14">
        <f>Tabla_Consulta_desde_Proyectos7[[#This Row],[Horas]]*Tabla_Consulta_desde_Proyectos7[[#This Row],[PRYUcosto]]/8</f>
        <v>0</v>
      </c>
    </row>
    <row r="235" spans="1:5">
      <c r="A235" t="s">
        <v>1974</v>
      </c>
      <c r="B235" t="s">
        <v>4093</v>
      </c>
      <c r="D235">
        <f>SUMIFS(Horas!R:R,Horas!O:O,Tabla_Consulta_desde_Proyectos7[[#This Row],[Usunombre]])</f>
        <v>0</v>
      </c>
      <c r="E235" s="14">
        <f>Tabla_Consulta_desde_Proyectos7[[#This Row],[Horas]]*Tabla_Consulta_desde_Proyectos7[[#This Row],[PRYUcosto]]/8</f>
        <v>0</v>
      </c>
    </row>
    <row r="236" spans="1:5">
      <c r="A236" t="s">
        <v>1701</v>
      </c>
      <c r="B236" t="s">
        <v>1702</v>
      </c>
      <c r="C236">
        <v>800</v>
      </c>
      <c r="D236">
        <f>SUMIFS(Horas!R:R,Horas!O:O,Tabla_Consulta_desde_Proyectos7[[#This Row],[Usunombre]])</f>
        <v>0</v>
      </c>
      <c r="E236" s="14">
        <f>Tabla_Consulta_desde_Proyectos7[[#This Row],[Horas]]*Tabla_Consulta_desde_Proyectos7[[#This Row],[PRYUcosto]]/8</f>
        <v>0</v>
      </c>
    </row>
    <row r="237" spans="1:5">
      <c r="A237" t="s">
        <v>3915</v>
      </c>
      <c r="B237" t="s">
        <v>3916</v>
      </c>
      <c r="D237">
        <f>SUMIFS(Horas!R:R,Horas!O:O,Tabla_Consulta_desde_Proyectos7[[#This Row],[Usunombre]])</f>
        <v>0</v>
      </c>
      <c r="E237" s="14">
        <f>Tabla_Consulta_desde_Proyectos7[[#This Row],[Horas]]*Tabla_Consulta_desde_Proyectos7[[#This Row],[PRYUcosto]]/8</f>
        <v>0</v>
      </c>
    </row>
    <row r="238" spans="1:5">
      <c r="A238" t="s">
        <v>1517</v>
      </c>
      <c r="B238" t="s">
        <v>1518</v>
      </c>
      <c r="D238">
        <f>SUMIFS(Horas!R:R,Horas!O:O,Tabla_Consulta_desde_Proyectos7[[#This Row],[Usunombre]])</f>
        <v>0</v>
      </c>
      <c r="E238" s="14">
        <f>Tabla_Consulta_desde_Proyectos7[[#This Row],[Horas]]*Tabla_Consulta_desde_Proyectos7[[#This Row],[PRYUcosto]]/8</f>
        <v>0</v>
      </c>
    </row>
    <row r="239" spans="1:5">
      <c r="A239" t="s">
        <v>1180</v>
      </c>
      <c r="B239" t="s">
        <v>1181</v>
      </c>
      <c r="D239">
        <f>SUMIFS(Horas!R:R,Horas!O:O,Tabla_Consulta_desde_Proyectos7[[#This Row],[Usunombre]])</f>
        <v>0</v>
      </c>
      <c r="E239" s="14">
        <f>Tabla_Consulta_desde_Proyectos7[[#This Row],[Horas]]*Tabla_Consulta_desde_Proyectos7[[#This Row],[PRYUcosto]]/8</f>
        <v>0</v>
      </c>
    </row>
    <row r="240" spans="1:5">
      <c r="A240" t="s">
        <v>1817</v>
      </c>
      <c r="B240" t="s">
        <v>1818</v>
      </c>
      <c r="D240">
        <f>SUMIFS(Horas!R:R,Horas!O:O,Tabla_Consulta_desde_Proyectos7[[#This Row],[Usunombre]])</f>
        <v>0</v>
      </c>
      <c r="E240" s="14">
        <f>Tabla_Consulta_desde_Proyectos7[[#This Row],[Horas]]*Tabla_Consulta_desde_Proyectos7[[#This Row],[PRYUcosto]]/8</f>
        <v>0</v>
      </c>
    </row>
    <row r="241" spans="1:5">
      <c r="A241" t="s">
        <v>7539</v>
      </c>
      <c r="B241" t="s">
        <v>7540</v>
      </c>
      <c r="D241">
        <f>SUMIFS(Horas!R:R,Horas!O:O,Tabla_Consulta_desde_Proyectos7[[#This Row],[Usunombre]])</f>
        <v>0</v>
      </c>
      <c r="E241" s="14">
        <f>Tabla_Consulta_desde_Proyectos7[[#This Row],[Horas]]*Tabla_Consulta_desde_Proyectos7[[#This Row],[PRYUcosto]]/8</f>
        <v>0</v>
      </c>
    </row>
    <row r="242" spans="1:5">
      <c r="A242" t="s">
        <v>1884</v>
      </c>
      <c r="B242" t="s">
        <v>1885</v>
      </c>
      <c r="C242">
        <v>600</v>
      </c>
      <c r="D242">
        <f>SUMIFS(Horas!R:R,Horas!O:O,Tabla_Consulta_desde_Proyectos7[[#This Row],[Usunombre]])</f>
        <v>0</v>
      </c>
      <c r="E242" s="14">
        <f>Tabla_Consulta_desde_Proyectos7[[#This Row],[Horas]]*Tabla_Consulta_desde_Proyectos7[[#This Row],[PRYUcosto]]/8</f>
        <v>0</v>
      </c>
    </row>
    <row r="243" spans="1:5">
      <c r="A243" t="s">
        <v>6961</v>
      </c>
      <c r="B243" t="s">
        <v>6962</v>
      </c>
      <c r="D243">
        <f>SUMIFS(Horas!R:R,Horas!O:O,Tabla_Consulta_desde_Proyectos7[[#This Row],[Usunombre]])</f>
        <v>0</v>
      </c>
      <c r="E243" s="14">
        <f>Tabla_Consulta_desde_Proyectos7[[#This Row],[Horas]]*Tabla_Consulta_desde_Proyectos7[[#This Row],[PRYUcosto]]/8</f>
        <v>0</v>
      </c>
    </row>
    <row r="244" spans="1:5">
      <c r="A244" t="s">
        <v>1942</v>
      </c>
      <c r="B244" t="s">
        <v>1943</v>
      </c>
      <c r="C244">
        <v>800</v>
      </c>
      <c r="D244">
        <f>SUMIFS(Horas!R:R,Horas!O:O,Tabla_Consulta_desde_Proyectos7[[#This Row],[Usunombre]])</f>
        <v>0</v>
      </c>
      <c r="E244" s="14">
        <f>Tabla_Consulta_desde_Proyectos7[[#This Row],[Horas]]*Tabla_Consulta_desde_Proyectos7[[#This Row],[PRYUcosto]]/8</f>
        <v>0</v>
      </c>
    </row>
    <row r="245" spans="1:5">
      <c r="A245" t="s">
        <v>4981</v>
      </c>
      <c r="B245" t="s">
        <v>4982</v>
      </c>
      <c r="D245">
        <f>SUMIFS(Horas!R:R,Horas!O:O,Tabla_Consulta_desde_Proyectos7[[#This Row],[Usunombre]])</f>
        <v>0</v>
      </c>
      <c r="E245" s="14">
        <f>Tabla_Consulta_desde_Proyectos7[[#This Row],[Horas]]*Tabla_Consulta_desde_Proyectos7[[#This Row],[PRYUcosto]]/8</f>
        <v>0</v>
      </c>
    </row>
    <row r="246" spans="1:5">
      <c r="A246" t="s">
        <v>1665</v>
      </c>
      <c r="B246" t="s">
        <v>1666</v>
      </c>
      <c r="D246">
        <f>SUMIFS(Horas!R:R,Horas!O:O,Tabla_Consulta_desde_Proyectos7[[#This Row],[Usunombre]])</f>
        <v>0</v>
      </c>
      <c r="E246" s="14">
        <f>Tabla_Consulta_desde_Proyectos7[[#This Row],[Horas]]*Tabla_Consulta_desde_Proyectos7[[#This Row],[PRYUcosto]]/8</f>
        <v>0</v>
      </c>
    </row>
    <row r="247" spans="1:5">
      <c r="A247" t="s">
        <v>4944</v>
      </c>
      <c r="B247" t="s">
        <v>4945</v>
      </c>
      <c r="D247">
        <f>SUMIFS(Horas!R:R,Horas!O:O,Tabla_Consulta_desde_Proyectos7[[#This Row],[Usunombre]])</f>
        <v>0</v>
      </c>
      <c r="E247" s="14">
        <f>Tabla_Consulta_desde_Proyectos7[[#This Row],[Horas]]*Tabla_Consulta_desde_Proyectos7[[#This Row],[PRYUcosto]]/8</f>
        <v>0</v>
      </c>
    </row>
    <row r="248" spans="1:5">
      <c r="A248" t="s">
        <v>1015</v>
      </c>
      <c r="B248" t="s">
        <v>1016</v>
      </c>
      <c r="C248">
        <v>750</v>
      </c>
      <c r="D248">
        <f>SUMIFS(Horas!R:R,Horas!O:O,Tabla_Consulta_desde_Proyectos7[[#This Row],[Usunombre]])</f>
        <v>0</v>
      </c>
      <c r="E248" s="14">
        <f>Tabla_Consulta_desde_Proyectos7[[#This Row],[Horas]]*Tabla_Consulta_desde_Proyectos7[[#This Row],[PRYUcosto]]/8</f>
        <v>0</v>
      </c>
    </row>
    <row r="249" spans="1:5">
      <c r="A249" t="s">
        <v>6210</v>
      </c>
      <c r="B249" t="s">
        <v>6211</v>
      </c>
      <c r="D249">
        <f>SUMIFS(Horas!R:R,Horas!O:O,Tabla_Consulta_desde_Proyectos7[[#This Row],[Usunombre]])</f>
        <v>0</v>
      </c>
      <c r="E249" s="14">
        <f>Tabla_Consulta_desde_Proyectos7[[#This Row],[Horas]]*Tabla_Consulta_desde_Proyectos7[[#This Row],[PRYUcosto]]/8</f>
        <v>0</v>
      </c>
    </row>
    <row r="250" spans="1:5">
      <c r="A250" t="s">
        <v>5752</v>
      </c>
      <c r="B250" t="s">
        <v>5753</v>
      </c>
      <c r="D250">
        <f>SUMIFS(Horas!R:R,Horas!O:O,Tabla_Consulta_desde_Proyectos7[[#This Row],[Usunombre]])</f>
        <v>0</v>
      </c>
      <c r="E250" s="14">
        <f>Tabla_Consulta_desde_Proyectos7[[#This Row],[Horas]]*Tabla_Consulta_desde_Proyectos7[[#This Row],[PRYUcosto]]/8</f>
        <v>0</v>
      </c>
    </row>
    <row r="251" spans="1:5">
      <c r="A251" t="s">
        <v>1469</v>
      </c>
      <c r="B251" t="s">
        <v>1470</v>
      </c>
      <c r="C251">
        <v>1200</v>
      </c>
      <c r="D251">
        <f>SUMIFS(Horas!R:R,Horas!O:O,Tabla_Consulta_desde_Proyectos7[[#This Row],[Usunombre]])</f>
        <v>0</v>
      </c>
      <c r="E251" s="14">
        <f>Tabla_Consulta_desde_Proyectos7[[#This Row],[Horas]]*Tabla_Consulta_desde_Proyectos7[[#This Row],[PRYUcosto]]/8</f>
        <v>0</v>
      </c>
    </row>
    <row r="252" spans="1:5">
      <c r="A252" t="s">
        <v>6955</v>
      </c>
      <c r="B252" t="s">
        <v>6956</v>
      </c>
      <c r="D252">
        <f>SUMIFS(Horas!R:R,Horas!O:O,Tabla_Consulta_desde_Proyectos7[[#This Row],[Usunombre]])</f>
        <v>0</v>
      </c>
      <c r="E252" s="14">
        <f>Tabla_Consulta_desde_Proyectos7[[#This Row],[Horas]]*Tabla_Consulta_desde_Proyectos7[[#This Row],[PRYUcosto]]/8</f>
        <v>0</v>
      </c>
    </row>
    <row r="253" spans="1:5">
      <c r="A253" t="s">
        <v>1733</v>
      </c>
      <c r="B253" t="s">
        <v>1734</v>
      </c>
      <c r="D253">
        <f>SUMIFS(Horas!R:R,Horas!O:O,Tabla_Consulta_desde_Proyectos7[[#This Row],[Usunombre]])</f>
        <v>0</v>
      </c>
      <c r="E253" s="14">
        <f>Tabla_Consulta_desde_Proyectos7[[#This Row],[Horas]]*Tabla_Consulta_desde_Proyectos7[[#This Row],[PRYUcosto]]/8</f>
        <v>0</v>
      </c>
    </row>
    <row r="254" spans="1:5">
      <c r="A254" t="s">
        <v>1019</v>
      </c>
      <c r="B254" t="s">
        <v>1020</v>
      </c>
      <c r="D254">
        <f>SUMIFS(Horas!R:R,Horas!O:O,Tabla_Consulta_desde_Proyectos7[[#This Row],[Usunombre]])</f>
        <v>0</v>
      </c>
      <c r="E254" s="14">
        <f>Tabla_Consulta_desde_Proyectos7[[#This Row],[Horas]]*Tabla_Consulta_desde_Proyectos7[[#This Row],[PRYUcosto]]/8</f>
        <v>0</v>
      </c>
    </row>
    <row r="255" spans="1:5">
      <c r="A255" t="s">
        <v>1279</v>
      </c>
      <c r="B255" t="s">
        <v>1280</v>
      </c>
      <c r="C255">
        <v>600</v>
      </c>
      <c r="D255">
        <f>SUMIFS(Horas!R:R,Horas!O:O,Tabla_Consulta_desde_Proyectos7[[#This Row],[Usunombre]])</f>
        <v>0</v>
      </c>
      <c r="E255" s="14">
        <f>Tabla_Consulta_desde_Proyectos7[[#This Row],[Horas]]*Tabla_Consulta_desde_Proyectos7[[#This Row],[PRYUcosto]]/8</f>
        <v>0</v>
      </c>
    </row>
    <row r="256" spans="1:5">
      <c r="A256" t="s">
        <v>4929</v>
      </c>
      <c r="B256" t="s">
        <v>4744</v>
      </c>
      <c r="D256">
        <f>SUMIFS(Horas!R:R,Horas!O:O,Tabla_Consulta_desde_Proyectos7[[#This Row],[Usunombre]])</f>
        <v>0</v>
      </c>
      <c r="E256" s="14">
        <f>Tabla_Consulta_desde_Proyectos7[[#This Row],[Horas]]*Tabla_Consulta_desde_Proyectos7[[#This Row],[PRYUcosto]]/8</f>
        <v>0</v>
      </c>
    </row>
    <row r="257" spans="1:5">
      <c r="A257" t="s">
        <v>1023</v>
      </c>
      <c r="B257" t="s">
        <v>1024</v>
      </c>
      <c r="C257">
        <v>600</v>
      </c>
      <c r="D257">
        <f>SUMIFS(Horas!R:R,Horas!O:O,Tabla_Consulta_desde_Proyectos7[[#This Row],[Usunombre]])</f>
        <v>0</v>
      </c>
      <c r="E257" s="14">
        <f>Tabla_Consulta_desde_Proyectos7[[#This Row],[Horas]]*Tabla_Consulta_desde_Proyectos7[[#This Row],[PRYUcosto]]/8</f>
        <v>0</v>
      </c>
    </row>
    <row r="258" spans="1:5">
      <c r="A258" t="s">
        <v>5051</v>
      </c>
      <c r="B258" t="s">
        <v>5052</v>
      </c>
      <c r="D258">
        <f>SUMIFS(Horas!R:R,Horas!O:O,Tabla_Consulta_desde_Proyectos7[[#This Row],[Usunombre]])</f>
        <v>0</v>
      </c>
      <c r="E258" s="14">
        <f>Tabla_Consulta_desde_Proyectos7[[#This Row],[Horas]]*Tabla_Consulta_desde_Proyectos7[[#This Row],[PRYUcosto]]/8</f>
        <v>0</v>
      </c>
    </row>
    <row r="259" spans="1:5">
      <c r="A259" t="s">
        <v>1879</v>
      </c>
      <c r="B259" t="s">
        <v>3921</v>
      </c>
      <c r="C259">
        <v>600</v>
      </c>
      <c r="D259">
        <f>SUMIFS(Horas!R:R,Horas!O:O,Tabla_Consulta_desde_Proyectos7[[#This Row],[Usunombre]])</f>
        <v>0</v>
      </c>
      <c r="E259" s="14">
        <f>Tabla_Consulta_desde_Proyectos7[[#This Row],[Horas]]*Tabla_Consulta_desde_Proyectos7[[#This Row],[PRYUcosto]]/8</f>
        <v>0</v>
      </c>
    </row>
    <row r="260" spans="1:5">
      <c r="A260" t="s">
        <v>1361</v>
      </c>
      <c r="B260" t="s">
        <v>1362</v>
      </c>
      <c r="D260">
        <f>SUMIFS(Horas!R:R,Horas!O:O,Tabla_Consulta_desde_Proyectos7[[#This Row],[Usunombre]])</f>
        <v>0</v>
      </c>
      <c r="E260" s="14">
        <f>Tabla_Consulta_desde_Proyectos7[[#This Row],[Horas]]*Tabla_Consulta_desde_Proyectos7[[#This Row],[PRYUcosto]]/8</f>
        <v>0</v>
      </c>
    </row>
    <row r="261" spans="1:5">
      <c r="A261" t="s">
        <v>1892</v>
      </c>
      <c r="B261" t="s">
        <v>1891</v>
      </c>
      <c r="D261">
        <f>SUMIFS(Horas!R:R,Horas!O:O,Tabla_Consulta_desde_Proyectos7[[#This Row],[Usunombre]])</f>
        <v>0</v>
      </c>
      <c r="E261" s="14">
        <f>Tabla_Consulta_desde_Proyectos7[[#This Row],[Horas]]*Tabla_Consulta_desde_Proyectos7[[#This Row],[PRYUcosto]]/8</f>
        <v>0</v>
      </c>
    </row>
    <row r="262" spans="1:5">
      <c r="A262" t="s">
        <v>1977</v>
      </c>
      <c r="B262" t="s">
        <v>1978</v>
      </c>
      <c r="C262">
        <v>1200</v>
      </c>
      <c r="D262">
        <f>SUMIFS(Horas!R:R,Horas!O:O,Tabla_Consulta_desde_Proyectos7[[#This Row],[Usunombre]])</f>
        <v>0</v>
      </c>
      <c r="E262" s="14">
        <f>Tabla_Consulta_desde_Proyectos7[[#This Row],[Horas]]*Tabla_Consulta_desde_Proyectos7[[#This Row],[PRYUcosto]]/8</f>
        <v>0</v>
      </c>
    </row>
    <row r="263" spans="1:5">
      <c r="A263" t="s">
        <v>1255</v>
      </c>
      <c r="B263" t="s">
        <v>1256</v>
      </c>
      <c r="D263">
        <f>SUMIFS(Horas!R:R,Horas!O:O,Tabla_Consulta_desde_Proyectos7[[#This Row],[Usunombre]])</f>
        <v>0</v>
      </c>
      <c r="E263" s="14">
        <f>Tabla_Consulta_desde_Proyectos7[[#This Row],[Horas]]*Tabla_Consulta_desde_Proyectos7[[#This Row],[PRYUcosto]]/8</f>
        <v>0</v>
      </c>
    </row>
    <row r="264" spans="1:5">
      <c r="A264" t="s">
        <v>1586</v>
      </c>
      <c r="B264" t="s">
        <v>1587</v>
      </c>
      <c r="D264">
        <f>SUMIFS(Horas!R:R,Horas!O:O,Tabla_Consulta_desde_Proyectos7[[#This Row],[Usunombre]])</f>
        <v>0</v>
      </c>
      <c r="E264" s="14">
        <f>Tabla_Consulta_desde_Proyectos7[[#This Row],[Horas]]*Tabla_Consulta_desde_Proyectos7[[#This Row],[PRYUcosto]]/8</f>
        <v>0</v>
      </c>
    </row>
    <row r="265" spans="1:5">
      <c r="A265" t="s">
        <v>1788</v>
      </c>
      <c r="B265" t="s">
        <v>1789</v>
      </c>
      <c r="C265">
        <v>600</v>
      </c>
      <c r="D265">
        <f>SUMIFS(Horas!R:R,Horas!O:O,Tabla_Consulta_desde_Proyectos7[[#This Row],[Usunombre]])</f>
        <v>0</v>
      </c>
      <c r="E265" s="14">
        <f>Tabla_Consulta_desde_Proyectos7[[#This Row],[Horas]]*Tabla_Consulta_desde_Proyectos7[[#This Row],[PRYUcosto]]/8</f>
        <v>0</v>
      </c>
    </row>
    <row r="266" spans="1:5">
      <c r="A266" t="s">
        <v>1800</v>
      </c>
      <c r="B266" t="s">
        <v>1801</v>
      </c>
      <c r="D266">
        <f>SUMIFS(Horas!R:R,Horas!O:O,Tabla_Consulta_desde_Proyectos7[[#This Row],[Usunombre]])</f>
        <v>0</v>
      </c>
      <c r="E266" s="14">
        <f>Tabla_Consulta_desde_Proyectos7[[#This Row],[Horas]]*Tabla_Consulta_desde_Proyectos7[[#This Row],[PRYUcosto]]/8</f>
        <v>0</v>
      </c>
    </row>
    <row r="267" spans="1:5">
      <c r="A267" t="s">
        <v>6816</v>
      </c>
      <c r="B267" t="s">
        <v>6817</v>
      </c>
      <c r="D267">
        <f>SUMIFS(Horas!R:R,Horas!O:O,Tabla_Consulta_desde_Proyectos7[[#This Row],[Usunombre]])</f>
        <v>0</v>
      </c>
      <c r="E267" s="14">
        <f>Tabla_Consulta_desde_Proyectos7[[#This Row],[Horas]]*Tabla_Consulta_desde_Proyectos7[[#This Row],[PRYUcosto]]/8</f>
        <v>0</v>
      </c>
    </row>
    <row r="268" spans="1:5">
      <c r="A268" t="s">
        <v>7519</v>
      </c>
      <c r="B268" t="s">
        <v>7520</v>
      </c>
      <c r="D268">
        <f>SUMIFS(Horas!R:R,Horas!O:O,Tabla_Consulta_desde_Proyectos7[[#This Row],[Usunombre]])</f>
        <v>0</v>
      </c>
      <c r="E268" s="14">
        <f>Tabla_Consulta_desde_Proyectos7[[#This Row],[Horas]]*Tabla_Consulta_desde_Proyectos7[[#This Row],[PRYUcosto]]/8</f>
        <v>0</v>
      </c>
    </row>
    <row r="269" spans="1:5">
      <c r="A269" t="s">
        <v>929</v>
      </c>
      <c r="B269" t="s">
        <v>930</v>
      </c>
      <c r="D269">
        <f>SUMIFS(Horas!R:R,Horas!O:O,Tabla_Consulta_desde_Proyectos7[[#This Row],[Usunombre]])</f>
        <v>0</v>
      </c>
      <c r="E269" s="14">
        <f>Tabla_Consulta_desde_Proyectos7[[#This Row],[Horas]]*Tabla_Consulta_desde_Proyectos7[[#This Row],[PRYUcosto]]/8</f>
        <v>0</v>
      </c>
    </row>
    <row r="270" spans="1:5">
      <c r="A270" t="s">
        <v>1208</v>
      </c>
      <c r="B270" t="s">
        <v>1209</v>
      </c>
      <c r="C270">
        <v>750</v>
      </c>
      <c r="D270">
        <f>SUMIFS(Horas!R:R,Horas!O:O,Tabla_Consulta_desde_Proyectos7[[#This Row],[Usunombre]])</f>
        <v>0</v>
      </c>
      <c r="E270" s="14">
        <f>Tabla_Consulta_desde_Proyectos7[[#This Row],[Horas]]*Tabla_Consulta_desde_Proyectos7[[#This Row],[PRYUcosto]]/8</f>
        <v>0</v>
      </c>
    </row>
    <row r="271" spans="1:5">
      <c r="A271" t="s">
        <v>1471</v>
      </c>
      <c r="B271" t="s">
        <v>1472</v>
      </c>
      <c r="D271">
        <f>SUMIFS(Horas!R:R,Horas!O:O,Tabla_Consulta_desde_Proyectos7[[#This Row],[Usunombre]])</f>
        <v>0</v>
      </c>
      <c r="E271" s="14">
        <f>Tabla_Consulta_desde_Proyectos7[[#This Row],[Horas]]*Tabla_Consulta_desde_Proyectos7[[#This Row],[PRYUcosto]]/8</f>
        <v>0</v>
      </c>
    </row>
    <row r="272" spans="1:5">
      <c r="A272" t="s">
        <v>1985</v>
      </c>
      <c r="B272" t="s">
        <v>4961</v>
      </c>
      <c r="C272">
        <v>600</v>
      </c>
      <c r="D272">
        <f>SUMIFS(Horas!R:R,Horas!O:O,Tabla_Consulta_desde_Proyectos7[[#This Row],[Usunombre]])</f>
        <v>0</v>
      </c>
      <c r="E272" s="14">
        <f>Tabla_Consulta_desde_Proyectos7[[#This Row],[Horas]]*Tabla_Consulta_desde_Proyectos7[[#This Row],[PRYUcosto]]/8</f>
        <v>0</v>
      </c>
    </row>
    <row r="273" spans="1:5">
      <c r="A273" t="s">
        <v>1534</v>
      </c>
      <c r="B273" t="s">
        <v>1535</v>
      </c>
      <c r="D273">
        <f>SUMIFS(Horas!R:R,Horas!O:O,Tabla_Consulta_desde_Proyectos7[[#This Row],[Usunombre]])</f>
        <v>0</v>
      </c>
      <c r="E273" s="14">
        <f>Tabla_Consulta_desde_Proyectos7[[#This Row],[Horas]]*Tabla_Consulta_desde_Proyectos7[[#This Row],[PRYUcosto]]/8</f>
        <v>0</v>
      </c>
    </row>
    <row r="274" spans="1:5">
      <c r="A274" t="s">
        <v>5270</v>
      </c>
      <c r="B274" t="s">
        <v>5271</v>
      </c>
      <c r="D274">
        <f>SUMIFS(Horas!R:R,Horas!O:O,Tabla_Consulta_desde_Proyectos7[[#This Row],[Usunombre]])</f>
        <v>0</v>
      </c>
      <c r="E274" s="14">
        <f>Tabla_Consulta_desde_Proyectos7[[#This Row],[Horas]]*Tabla_Consulta_desde_Proyectos7[[#This Row],[PRYUcosto]]/8</f>
        <v>0</v>
      </c>
    </row>
    <row r="275" spans="1:5">
      <c r="A275" t="s">
        <v>1830</v>
      </c>
      <c r="B275" t="s">
        <v>1831</v>
      </c>
      <c r="D275">
        <f>SUMIFS(Horas!R:R,Horas!O:O,Tabla_Consulta_desde_Proyectos7[[#This Row],[Usunombre]])</f>
        <v>0</v>
      </c>
      <c r="E275" s="14">
        <f>Tabla_Consulta_desde_Proyectos7[[#This Row],[Horas]]*Tabla_Consulta_desde_Proyectos7[[#This Row],[PRYUcosto]]/8</f>
        <v>0</v>
      </c>
    </row>
    <row r="276" spans="1:5">
      <c r="A276" t="s">
        <v>5715</v>
      </c>
      <c r="B276" t="s">
        <v>5716</v>
      </c>
      <c r="C276">
        <v>1200</v>
      </c>
      <c r="D276">
        <f>SUMIFS(Horas!R:R,Horas!O:O,Tabla_Consulta_desde_Proyectos7[[#This Row],[Usunombre]])</f>
        <v>0</v>
      </c>
      <c r="E276" s="14">
        <f>Tabla_Consulta_desde_Proyectos7[[#This Row],[Horas]]*Tabla_Consulta_desde_Proyectos7[[#This Row],[PRYUcosto]]/8</f>
        <v>0</v>
      </c>
    </row>
    <row r="277" spans="1:5">
      <c r="A277" t="s">
        <v>3925</v>
      </c>
      <c r="B277" t="s">
        <v>3926</v>
      </c>
      <c r="D277">
        <f>SUMIFS(Horas!R:R,Horas!O:O,Tabla_Consulta_desde_Proyectos7[[#This Row],[Usunombre]])</f>
        <v>0</v>
      </c>
      <c r="E277" s="14">
        <f>Tabla_Consulta_desde_Proyectos7[[#This Row],[Horas]]*Tabla_Consulta_desde_Proyectos7[[#This Row],[PRYUcosto]]/8</f>
        <v>0</v>
      </c>
    </row>
    <row r="278" spans="1:5">
      <c r="A278" t="s">
        <v>1091</v>
      </c>
      <c r="B278" t="s">
        <v>1092</v>
      </c>
      <c r="C278">
        <v>750</v>
      </c>
      <c r="D278">
        <f>SUMIFS(Horas!R:R,Horas!O:O,Tabla_Consulta_desde_Proyectos7[[#This Row],[Usunombre]])</f>
        <v>0</v>
      </c>
      <c r="E278" s="14">
        <f>Tabla_Consulta_desde_Proyectos7[[#This Row],[Horas]]*Tabla_Consulta_desde_Proyectos7[[#This Row],[PRYUcosto]]/8</f>
        <v>0</v>
      </c>
    </row>
    <row r="279" spans="1:5">
      <c r="A279" t="s">
        <v>1856</v>
      </c>
      <c r="B279" t="s">
        <v>1857</v>
      </c>
      <c r="C279">
        <v>600</v>
      </c>
      <c r="D279">
        <f>SUMIFS(Horas!R:R,Horas!O:O,Tabla_Consulta_desde_Proyectos7[[#This Row],[Usunombre]])</f>
        <v>0</v>
      </c>
      <c r="E279" s="14">
        <f>Tabla_Consulta_desde_Proyectos7[[#This Row],[Horas]]*Tabla_Consulta_desde_Proyectos7[[#This Row],[PRYUcosto]]/8</f>
        <v>0</v>
      </c>
    </row>
    <row r="280" spans="1:5">
      <c r="A280" t="s">
        <v>1347</v>
      </c>
      <c r="B280" t="s">
        <v>1348</v>
      </c>
      <c r="D280">
        <f>SUMIFS(Horas!R:R,Horas!O:O,Tabla_Consulta_desde_Proyectos7[[#This Row],[Usunombre]])</f>
        <v>0</v>
      </c>
      <c r="E280" s="14">
        <f>Tabla_Consulta_desde_Proyectos7[[#This Row],[Horas]]*Tabla_Consulta_desde_Proyectos7[[#This Row],[PRYUcosto]]/8</f>
        <v>0</v>
      </c>
    </row>
    <row r="281" spans="1:5">
      <c r="A281" t="s">
        <v>4993</v>
      </c>
      <c r="B281" t="s">
        <v>4994</v>
      </c>
      <c r="D281">
        <f>SUMIFS(Horas!R:R,Horas!O:O,Tabla_Consulta_desde_Proyectos7[[#This Row],[Usunombre]])</f>
        <v>0</v>
      </c>
      <c r="E281" s="14">
        <f>Tabla_Consulta_desde_Proyectos7[[#This Row],[Horas]]*Tabla_Consulta_desde_Proyectos7[[#This Row],[PRYUcosto]]/8</f>
        <v>0</v>
      </c>
    </row>
    <row r="282" spans="1:5">
      <c r="A282" t="s">
        <v>5453</v>
      </c>
      <c r="B282" t="s">
        <v>5454</v>
      </c>
      <c r="D282">
        <f>SUMIFS(Horas!R:R,Horas!O:O,Tabla_Consulta_desde_Proyectos7[[#This Row],[Usunombre]])</f>
        <v>0</v>
      </c>
      <c r="E282" s="14">
        <f>Tabla_Consulta_desde_Proyectos7[[#This Row],[Horas]]*Tabla_Consulta_desde_Proyectos7[[#This Row],[PRYUcosto]]/8</f>
        <v>0</v>
      </c>
    </row>
    <row r="283" spans="1:5">
      <c r="A283" t="s">
        <v>5252</v>
      </c>
      <c r="B283" t="s">
        <v>5253</v>
      </c>
      <c r="D283">
        <f>SUMIFS(Horas!R:R,Horas!O:O,Tabla_Consulta_desde_Proyectos7[[#This Row],[Usunombre]])</f>
        <v>0</v>
      </c>
      <c r="E283" s="14">
        <f>Tabla_Consulta_desde_Proyectos7[[#This Row],[Horas]]*Tabla_Consulta_desde_Proyectos7[[#This Row],[PRYUcosto]]/8</f>
        <v>0</v>
      </c>
    </row>
    <row r="284" spans="1:5">
      <c r="A284" t="s">
        <v>1993</v>
      </c>
      <c r="B284" t="s">
        <v>1994</v>
      </c>
      <c r="D284">
        <f>SUMIFS(Horas!R:R,Horas!O:O,Tabla_Consulta_desde_Proyectos7[[#This Row],[Usunombre]])</f>
        <v>0</v>
      </c>
      <c r="E284" s="14">
        <f>Tabla_Consulta_desde_Proyectos7[[#This Row],[Horas]]*Tabla_Consulta_desde_Proyectos7[[#This Row],[PRYUcosto]]/8</f>
        <v>0</v>
      </c>
    </row>
    <row r="285" spans="1:5">
      <c r="A285" t="s">
        <v>1225</v>
      </c>
      <c r="B285" t="s">
        <v>1226</v>
      </c>
      <c r="C285">
        <v>750</v>
      </c>
      <c r="D285">
        <f>SUMIFS(Horas!R:R,Horas!O:O,Tabla_Consulta_desde_Proyectos7[[#This Row],[Usunombre]])</f>
        <v>0</v>
      </c>
      <c r="E285" s="14">
        <f>Tabla_Consulta_desde_Proyectos7[[#This Row],[Horas]]*Tabla_Consulta_desde_Proyectos7[[#This Row],[PRYUcosto]]/8</f>
        <v>0</v>
      </c>
    </row>
    <row r="286" spans="1:5">
      <c r="A286" t="s">
        <v>1897</v>
      </c>
      <c r="B286" t="s">
        <v>1898</v>
      </c>
      <c r="C286">
        <v>600</v>
      </c>
      <c r="D286">
        <f>SUMIFS(Horas!R:R,Horas!O:O,Tabla_Consulta_desde_Proyectos7[[#This Row],[Usunombre]])</f>
        <v>0</v>
      </c>
      <c r="E286" s="14">
        <f>Tabla_Consulta_desde_Proyectos7[[#This Row],[Horas]]*Tabla_Consulta_desde_Proyectos7[[#This Row],[PRYUcosto]]/8</f>
        <v>0</v>
      </c>
    </row>
    <row r="287" spans="1:5">
      <c r="A287" t="s">
        <v>1697</v>
      </c>
      <c r="B287" t="s">
        <v>1698</v>
      </c>
      <c r="D287">
        <f>SUMIFS(Horas!R:R,Horas!O:O,Tabla_Consulta_desde_Proyectos7[[#This Row],[Usunombre]])</f>
        <v>0</v>
      </c>
      <c r="E287" s="14">
        <f>Tabla_Consulta_desde_Proyectos7[[#This Row],[Horas]]*Tabla_Consulta_desde_Proyectos7[[#This Row],[PRYUcosto]]/8</f>
        <v>0</v>
      </c>
    </row>
    <row r="288" spans="1:5">
      <c r="A288" t="s">
        <v>1890</v>
      </c>
      <c r="B288" t="s">
        <v>1891</v>
      </c>
      <c r="D288">
        <f>SUMIFS(Horas!R:R,Horas!O:O,Tabla_Consulta_desde_Proyectos7[[#This Row],[Usunombre]])</f>
        <v>0</v>
      </c>
      <c r="E288" s="14">
        <f>Tabla_Consulta_desde_Proyectos7[[#This Row],[Horas]]*Tabla_Consulta_desde_Proyectos7[[#This Row],[PRYUcosto]]/8</f>
        <v>0</v>
      </c>
    </row>
    <row r="289" spans="1:5">
      <c r="A289" t="s">
        <v>6184</v>
      </c>
      <c r="B289" t="s">
        <v>6185</v>
      </c>
      <c r="D289">
        <f>SUMIFS(Horas!R:R,Horas!O:O,Tabla_Consulta_desde_Proyectos7[[#This Row],[Usunombre]])</f>
        <v>0</v>
      </c>
      <c r="E289" s="14">
        <f>Tabla_Consulta_desde_Proyectos7[[#This Row],[Horas]]*Tabla_Consulta_desde_Proyectos7[[#This Row],[PRYUcosto]]/8</f>
        <v>0</v>
      </c>
    </row>
    <row r="290" spans="1:5">
      <c r="A290" t="s">
        <v>1519</v>
      </c>
      <c r="B290" t="s">
        <v>1520</v>
      </c>
      <c r="D290">
        <f>SUMIFS(Horas!R:R,Horas!O:O,Tabla_Consulta_desde_Proyectos7[[#This Row],[Usunombre]])</f>
        <v>0</v>
      </c>
      <c r="E290" s="14">
        <f>Tabla_Consulta_desde_Proyectos7[[#This Row],[Horas]]*Tabla_Consulta_desde_Proyectos7[[#This Row],[PRYUcosto]]/8</f>
        <v>0</v>
      </c>
    </row>
    <row r="291" spans="1:5">
      <c r="A291" t="s">
        <v>1148</v>
      </c>
      <c r="B291" t="s">
        <v>1149</v>
      </c>
      <c r="D291">
        <f>SUMIFS(Horas!R:R,Horas!O:O,Tabla_Consulta_desde_Proyectos7[[#This Row],[Usunombre]])</f>
        <v>0</v>
      </c>
      <c r="E291" s="14">
        <f>Tabla_Consulta_desde_Proyectos7[[#This Row],[Horas]]*Tabla_Consulta_desde_Proyectos7[[#This Row],[PRYUcosto]]/8</f>
        <v>0</v>
      </c>
    </row>
    <row r="292" spans="1:5">
      <c r="A292" t="s">
        <v>1060</v>
      </c>
      <c r="B292" t="s">
        <v>1061</v>
      </c>
      <c r="D292">
        <f>SUMIFS(Horas!R:R,Horas!O:O,Tabla_Consulta_desde_Proyectos7[[#This Row],[Usunombre]])</f>
        <v>0</v>
      </c>
      <c r="E292" s="14">
        <f>Tabla_Consulta_desde_Proyectos7[[#This Row],[Horas]]*Tabla_Consulta_desde_Proyectos7[[#This Row],[PRYUcosto]]/8</f>
        <v>0</v>
      </c>
    </row>
    <row r="293" spans="1:5">
      <c r="A293" t="s">
        <v>1259</v>
      </c>
      <c r="B293" t="s">
        <v>1260</v>
      </c>
      <c r="C293">
        <v>600</v>
      </c>
      <c r="D293">
        <f>SUMIFS(Horas!R:R,Horas!O:O,Tabla_Consulta_desde_Proyectos7[[#This Row],[Usunombre]])</f>
        <v>0</v>
      </c>
      <c r="E293" s="14">
        <f>Tabla_Consulta_desde_Proyectos7[[#This Row],[Horas]]*Tabla_Consulta_desde_Proyectos7[[#This Row],[PRYUcosto]]/8</f>
        <v>0</v>
      </c>
    </row>
    <row r="294" spans="1:5">
      <c r="A294" t="s">
        <v>6236</v>
      </c>
      <c r="B294" t="s">
        <v>6237</v>
      </c>
      <c r="D294">
        <f>SUMIFS(Horas!R:R,Horas!O:O,Tabla_Consulta_desde_Proyectos7[[#This Row],[Usunombre]])</f>
        <v>0</v>
      </c>
      <c r="E294" s="14">
        <f>Tabla_Consulta_desde_Proyectos7[[#This Row],[Horas]]*Tabla_Consulta_desde_Proyectos7[[#This Row],[PRYUcosto]]/8</f>
        <v>0</v>
      </c>
    </row>
    <row r="295" spans="1:5">
      <c r="A295" t="s">
        <v>5413</v>
      </c>
      <c r="B295" t="s">
        <v>5414</v>
      </c>
      <c r="D295">
        <f>SUMIFS(Horas!R:R,Horas!O:O,Tabla_Consulta_desde_Proyectos7[[#This Row],[Usunombre]])</f>
        <v>0</v>
      </c>
      <c r="E295" s="14">
        <f>Tabla_Consulta_desde_Proyectos7[[#This Row],[Horas]]*Tabla_Consulta_desde_Proyectos7[[#This Row],[PRYUcosto]]/8</f>
        <v>0</v>
      </c>
    </row>
    <row r="296" spans="1:5">
      <c r="A296" t="s">
        <v>1229</v>
      </c>
      <c r="B296" t="s">
        <v>1230</v>
      </c>
      <c r="C296">
        <v>1200</v>
      </c>
      <c r="D296">
        <f>SUMIFS(Horas!R:R,Horas!O:O,Tabla_Consulta_desde_Proyectos7[[#This Row],[Usunombre]])</f>
        <v>0</v>
      </c>
      <c r="E296" s="14">
        <f>Tabla_Consulta_desde_Proyectos7[[#This Row],[Horas]]*Tabla_Consulta_desde_Proyectos7[[#This Row],[PRYUcosto]]/8</f>
        <v>0</v>
      </c>
    </row>
    <row r="297" spans="1:5">
      <c r="A297" t="s">
        <v>1135</v>
      </c>
      <c r="B297" t="s">
        <v>1136</v>
      </c>
      <c r="D297">
        <f>SUMIFS(Horas!R:R,Horas!O:O,Tabla_Consulta_desde_Proyectos7[[#This Row],[Usunombre]])</f>
        <v>0</v>
      </c>
      <c r="E297" s="14">
        <f>Tabla_Consulta_desde_Proyectos7[[#This Row],[Horas]]*Tabla_Consulta_desde_Proyectos7[[#This Row],[PRYUcosto]]/8</f>
        <v>0</v>
      </c>
    </row>
    <row r="298" spans="1:5">
      <c r="A298" t="s">
        <v>1141</v>
      </c>
      <c r="B298" t="s">
        <v>1142</v>
      </c>
      <c r="D298">
        <f>SUMIFS(Horas!R:R,Horas!O:O,Tabla_Consulta_desde_Proyectos7[[#This Row],[Usunombre]])</f>
        <v>0</v>
      </c>
      <c r="E298" s="14">
        <f>Tabla_Consulta_desde_Proyectos7[[#This Row],[Horas]]*Tabla_Consulta_desde_Proyectos7[[#This Row],[PRYUcosto]]/8</f>
        <v>0</v>
      </c>
    </row>
    <row r="299" spans="1:5">
      <c r="A299" t="s">
        <v>1938</v>
      </c>
      <c r="B299" t="s">
        <v>1939</v>
      </c>
      <c r="D299">
        <f>SUMIFS(Horas!R:R,Horas!O:O,Tabla_Consulta_desde_Proyectos7[[#This Row],[Usunombre]])</f>
        <v>0</v>
      </c>
      <c r="E299" s="14">
        <f>Tabla_Consulta_desde_Proyectos7[[#This Row],[Horas]]*Tabla_Consulta_desde_Proyectos7[[#This Row],[PRYUcosto]]/8</f>
        <v>0</v>
      </c>
    </row>
    <row r="300" spans="1:5">
      <c r="A300" t="s">
        <v>1717</v>
      </c>
      <c r="B300" t="s">
        <v>1718</v>
      </c>
      <c r="D300">
        <f>SUMIFS(Horas!R:R,Horas!O:O,Tabla_Consulta_desde_Proyectos7[[#This Row],[Usunombre]])</f>
        <v>0</v>
      </c>
      <c r="E300" s="14">
        <f>Tabla_Consulta_desde_Proyectos7[[#This Row],[Horas]]*Tabla_Consulta_desde_Proyectos7[[#This Row],[PRYUcosto]]/8</f>
        <v>0</v>
      </c>
    </row>
    <row r="301" spans="1:5">
      <c r="A301" t="s">
        <v>1465</v>
      </c>
      <c r="B301" t="s">
        <v>1466</v>
      </c>
      <c r="D301">
        <f>SUMIFS(Horas!R:R,Horas!O:O,Tabla_Consulta_desde_Proyectos7[[#This Row],[Usunombre]])</f>
        <v>0</v>
      </c>
      <c r="E301" s="14">
        <f>Tabla_Consulta_desde_Proyectos7[[#This Row],[Horas]]*Tabla_Consulta_desde_Proyectos7[[#This Row],[PRYUcosto]]/8</f>
        <v>0</v>
      </c>
    </row>
    <row r="302" spans="1:5">
      <c r="A302" t="s">
        <v>1786</v>
      </c>
      <c r="B302" t="s">
        <v>1787</v>
      </c>
      <c r="D302">
        <f>SUMIFS(Horas!R:R,Horas!O:O,Tabla_Consulta_desde_Proyectos7[[#This Row],[Usunombre]])</f>
        <v>0</v>
      </c>
      <c r="E302" s="14">
        <f>Tabla_Consulta_desde_Proyectos7[[#This Row],[Horas]]*Tabla_Consulta_desde_Proyectos7[[#This Row],[PRYUcosto]]/8</f>
        <v>0</v>
      </c>
    </row>
    <row r="303" spans="1:5">
      <c r="A303" t="s">
        <v>1459</v>
      </c>
      <c r="B303" t="s">
        <v>1460</v>
      </c>
      <c r="D303">
        <f>SUMIFS(Horas!R:R,Horas!O:O,Tabla_Consulta_desde_Proyectos7[[#This Row],[Usunombre]])</f>
        <v>0</v>
      </c>
      <c r="E303" s="14">
        <f>Tabla_Consulta_desde_Proyectos7[[#This Row],[Horas]]*Tabla_Consulta_desde_Proyectos7[[#This Row],[PRYUcosto]]/8</f>
        <v>0</v>
      </c>
    </row>
    <row r="304" spans="1:5">
      <c r="A304" t="s">
        <v>1819</v>
      </c>
      <c r="B304" t="s">
        <v>1820</v>
      </c>
      <c r="C304">
        <v>600</v>
      </c>
      <c r="D304">
        <f>SUMIFS(Horas!R:R,Horas!O:O,Tabla_Consulta_desde_Proyectos7[[#This Row],[Usunombre]])</f>
        <v>0</v>
      </c>
      <c r="E304" s="14">
        <f>Tabla_Consulta_desde_Proyectos7[[#This Row],[Horas]]*Tabla_Consulta_desde_Proyectos7[[#This Row],[PRYUcosto]]/8</f>
        <v>0</v>
      </c>
    </row>
    <row r="305" spans="1:5">
      <c r="A305" t="s">
        <v>5469</v>
      </c>
      <c r="B305" t="s">
        <v>5470</v>
      </c>
      <c r="D305">
        <f>SUMIFS(Horas!R:R,Horas!O:O,Tabla_Consulta_desde_Proyectos7[[#This Row],[Usunombre]])</f>
        <v>0</v>
      </c>
      <c r="E305" s="14">
        <f>Tabla_Consulta_desde_Proyectos7[[#This Row],[Horas]]*Tabla_Consulta_desde_Proyectos7[[#This Row],[PRYUcosto]]/8</f>
        <v>0</v>
      </c>
    </row>
    <row r="306" spans="1:5">
      <c r="A306" t="s">
        <v>5675</v>
      </c>
      <c r="B306" t="s">
        <v>5676</v>
      </c>
      <c r="C306">
        <v>600</v>
      </c>
      <c r="D306">
        <f>SUMIFS(Horas!R:R,Horas!O:O,Tabla_Consulta_desde_Proyectos7[[#This Row],[Usunombre]])</f>
        <v>0</v>
      </c>
      <c r="E306" s="14">
        <f>Tabla_Consulta_desde_Proyectos7[[#This Row],[Horas]]*Tabla_Consulta_desde_Proyectos7[[#This Row],[PRYUcosto]]/8</f>
        <v>0</v>
      </c>
    </row>
    <row r="307" spans="1:5">
      <c r="A307" t="s">
        <v>6667</v>
      </c>
      <c r="B307" t="s">
        <v>6668</v>
      </c>
      <c r="D307">
        <f>SUMIFS(Horas!R:R,Horas!O:O,Tabla_Consulta_desde_Proyectos7[[#This Row],[Usunombre]])</f>
        <v>0</v>
      </c>
      <c r="E307" s="14">
        <f>Tabla_Consulta_desde_Proyectos7[[#This Row],[Horas]]*Tabla_Consulta_desde_Proyectos7[[#This Row],[PRYUcosto]]/8</f>
        <v>0</v>
      </c>
    </row>
    <row r="308" spans="1:5">
      <c r="A308" t="s">
        <v>1877</v>
      </c>
      <c r="B308" t="s">
        <v>1878</v>
      </c>
      <c r="D308">
        <f>SUMIFS(Horas!R:R,Horas!O:O,Tabla_Consulta_desde_Proyectos7[[#This Row],[Usunombre]])</f>
        <v>0</v>
      </c>
      <c r="E308" s="14">
        <f>Tabla_Consulta_desde_Proyectos7[[#This Row],[Horas]]*Tabla_Consulta_desde_Proyectos7[[#This Row],[PRYUcosto]]/8</f>
        <v>0</v>
      </c>
    </row>
    <row r="309" spans="1:5">
      <c r="A309" t="s">
        <v>1968</v>
      </c>
      <c r="B309" t="s">
        <v>1969</v>
      </c>
      <c r="D309">
        <f>SUMIFS(Horas!R:R,Horas!O:O,Tabla_Consulta_desde_Proyectos7[[#This Row],[Usunombre]])</f>
        <v>0</v>
      </c>
      <c r="E309" s="14">
        <f>Tabla_Consulta_desde_Proyectos7[[#This Row],[Horas]]*Tabla_Consulta_desde_Proyectos7[[#This Row],[PRYUcosto]]/8</f>
        <v>0</v>
      </c>
    </row>
    <row r="310" spans="1:5">
      <c r="A310" t="s">
        <v>999</v>
      </c>
      <c r="B310" t="s">
        <v>1000</v>
      </c>
      <c r="C310">
        <v>600</v>
      </c>
      <c r="D310">
        <f>SUMIFS(Horas!R:R,Horas!O:O,Tabla_Consulta_desde_Proyectos7[[#This Row],[Usunombre]])</f>
        <v>0</v>
      </c>
      <c r="E310" s="14">
        <f>Tabla_Consulta_desde_Proyectos7[[#This Row],[Horas]]*Tabla_Consulta_desde_Proyectos7[[#This Row],[PRYUcosto]]/8</f>
        <v>0</v>
      </c>
    </row>
    <row r="311" spans="1:5">
      <c r="A311" t="s">
        <v>987</v>
      </c>
      <c r="B311" t="s">
        <v>988</v>
      </c>
      <c r="D311">
        <f>SUMIFS(Horas!R:R,Horas!O:O,Tabla_Consulta_desde_Proyectos7[[#This Row],[Usunombre]])</f>
        <v>0</v>
      </c>
      <c r="E311" s="14">
        <f>Tabla_Consulta_desde_Proyectos7[[#This Row],[Horas]]*Tabla_Consulta_desde_Proyectos7[[#This Row],[PRYUcosto]]/8</f>
        <v>0</v>
      </c>
    </row>
    <row r="312" spans="1:5">
      <c r="A312" t="s">
        <v>7011</v>
      </c>
      <c r="B312" t="s">
        <v>7012</v>
      </c>
      <c r="D312">
        <f>SUMIFS(Horas!R:R,Horas!O:O,Tabla_Consulta_desde_Proyectos7[[#This Row],[Usunombre]])</f>
        <v>0</v>
      </c>
      <c r="E312" s="14">
        <f>Tabla_Consulta_desde_Proyectos7[[#This Row],[Horas]]*Tabla_Consulta_desde_Proyectos7[[#This Row],[PRYUcosto]]/8</f>
        <v>0</v>
      </c>
    </row>
    <row r="313" spans="1:5">
      <c r="A313" t="s">
        <v>6119</v>
      </c>
      <c r="B313" t="s">
        <v>6120</v>
      </c>
      <c r="C313">
        <v>600</v>
      </c>
      <c r="D313">
        <f>SUMIFS(Horas!R:R,Horas!O:O,Tabla_Consulta_desde_Proyectos7[[#This Row],[Usunombre]])</f>
        <v>0</v>
      </c>
      <c r="E313" s="14">
        <f>Tabla_Consulta_desde_Proyectos7[[#This Row],[Horas]]*Tabla_Consulta_desde_Proyectos7[[#This Row],[PRYUcosto]]/8</f>
        <v>0</v>
      </c>
    </row>
    <row r="314" spans="1:5">
      <c r="A314" t="s">
        <v>6973</v>
      </c>
      <c r="B314" t="s">
        <v>6974</v>
      </c>
      <c r="D314">
        <f>SUMIFS(Horas!R:R,Horas!O:O,Tabla_Consulta_desde_Proyectos7[[#This Row],[Usunombre]])</f>
        <v>0</v>
      </c>
      <c r="E314" s="14">
        <f>Tabla_Consulta_desde_Proyectos7[[#This Row],[Horas]]*Tabla_Consulta_desde_Proyectos7[[#This Row],[PRYUcosto]]/8</f>
        <v>0</v>
      </c>
    </row>
    <row r="315" spans="1:5">
      <c r="A315" t="s">
        <v>6834</v>
      </c>
      <c r="B315" t="s">
        <v>6835</v>
      </c>
      <c r="D315">
        <f>SUMIFS(Horas!R:R,Horas!O:O,Tabla_Consulta_desde_Proyectos7[[#This Row],[Usunombre]])</f>
        <v>0</v>
      </c>
      <c r="E315" s="14">
        <f>Tabla_Consulta_desde_Proyectos7[[#This Row],[Horas]]*Tabla_Consulta_desde_Proyectos7[[#This Row],[PRYUcosto]]/8</f>
        <v>0</v>
      </c>
    </row>
    <row r="316" spans="1:5">
      <c r="A316" t="s">
        <v>1886</v>
      </c>
      <c r="B316" t="s">
        <v>1887</v>
      </c>
      <c r="D316">
        <f>SUMIFS(Horas!R:R,Horas!O:O,Tabla_Consulta_desde_Proyectos7[[#This Row],[Usunombre]])</f>
        <v>0</v>
      </c>
      <c r="E316" s="14">
        <f>Tabla_Consulta_desde_Proyectos7[[#This Row],[Horas]]*Tabla_Consulta_desde_Proyectos7[[#This Row],[PRYUcosto]]/8</f>
        <v>0</v>
      </c>
    </row>
    <row r="317" spans="1:5">
      <c r="A317" t="s">
        <v>1707</v>
      </c>
      <c r="B317" t="s">
        <v>1708</v>
      </c>
      <c r="C317">
        <v>600</v>
      </c>
      <c r="D317">
        <f>SUMIFS(Horas!R:R,Horas!O:O,Tabla_Consulta_desde_Proyectos7[[#This Row],[Usunombre]])</f>
        <v>0</v>
      </c>
      <c r="E317" s="14">
        <f>Tabla_Consulta_desde_Proyectos7[[#This Row],[Horas]]*Tabla_Consulta_desde_Proyectos7[[#This Row],[PRYUcosto]]/8</f>
        <v>0</v>
      </c>
    </row>
    <row r="318" spans="1:5">
      <c r="A318" t="s">
        <v>1780</v>
      </c>
      <c r="B318" t="s">
        <v>1781</v>
      </c>
      <c r="D318">
        <f>SUMIFS(Horas!R:R,Horas!O:O,Tabla_Consulta_desde_Proyectos7[[#This Row],[Usunombre]])</f>
        <v>0</v>
      </c>
      <c r="E318" s="14">
        <f>Tabla_Consulta_desde_Proyectos7[[#This Row],[Horas]]*Tabla_Consulta_desde_Proyectos7[[#This Row],[PRYUcosto]]/8</f>
        <v>0</v>
      </c>
    </row>
    <row r="319" spans="1:5">
      <c r="A319" t="s">
        <v>5036</v>
      </c>
      <c r="B319" t="s">
        <v>5037</v>
      </c>
      <c r="C319">
        <v>600</v>
      </c>
      <c r="D319">
        <f>SUMIFS(Horas!R:R,Horas!O:O,Tabla_Consulta_desde_Proyectos7[[#This Row],[Usunombre]])</f>
        <v>0</v>
      </c>
      <c r="E319" s="14">
        <f>Tabla_Consulta_desde_Proyectos7[[#This Row],[Horas]]*Tabla_Consulta_desde_Proyectos7[[#This Row],[PRYUcosto]]/8</f>
        <v>0</v>
      </c>
    </row>
    <row r="320" spans="1:5">
      <c r="A320" t="s">
        <v>4726</v>
      </c>
      <c r="B320" t="s">
        <v>4727</v>
      </c>
      <c r="D320">
        <f>SUMIFS(Horas!R:R,Horas!O:O,Tabla_Consulta_desde_Proyectos7[[#This Row],[Usunombre]])</f>
        <v>0</v>
      </c>
      <c r="E320" s="14">
        <f>Tabla_Consulta_desde_Proyectos7[[#This Row],[Horas]]*Tabla_Consulta_desde_Proyectos7[[#This Row],[PRYUcosto]]/8</f>
        <v>0</v>
      </c>
    </row>
    <row r="321" spans="1:5">
      <c r="A321" t="s">
        <v>5289</v>
      </c>
      <c r="B321" t="s">
        <v>5290</v>
      </c>
      <c r="D321">
        <f>SUMIFS(Horas!R:R,Horas!O:O,Tabla_Consulta_desde_Proyectos7[[#This Row],[Usunombre]])</f>
        <v>0</v>
      </c>
      <c r="E321" s="14">
        <f>Tabla_Consulta_desde_Proyectos7[[#This Row],[Horas]]*Tabla_Consulta_desde_Proyectos7[[#This Row],[PRYUcosto]]/8</f>
        <v>0</v>
      </c>
    </row>
    <row r="322" spans="1:5">
      <c r="A322" t="s">
        <v>5053</v>
      </c>
      <c r="B322" t="s">
        <v>5054</v>
      </c>
      <c r="C322">
        <v>600</v>
      </c>
      <c r="D322">
        <f>SUMIFS(Horas!R:R,Horas!O:O,Tabla_Consulta_desde_Proyectos7[[#This Row],[Usunombre]])</f>
        <v>0</v>
      </c>
      <c r="E322" s="14">
        <f>Tabla_Consulta_desde_Proyectos7[[#This Row],[Horas]]*Tabla_Consulta_desde_Proyectos7[[#This Row],[PRYUcosto]]/8</f>
        <v>0</v>
      </c>
    </row>
    <row r="323" spans="1:5">
      <c r="A323" t="s">
        <v>1493</v>
      </c>
      <c r="B323" t="s">
        <v>1494</v>
      </c>
      <c r="D323">
        <f>SUMIFS(Horas!R:R,Horas!O:O,Tabla_Consulta_desde_Proyectos7[[#This Row],[Usunombre]])</f>
        <v>0</v>
      </c>
      <c r="E323" s="14">
        <f>Tabla_Consulta_desde_Proyectos7[[#This Row],[Horas]]*Tabla_Consulta_desde_Proyectos7[[#This Row],[PRYUcosto]]/8</f>
        <v>0</v>
      </c>
    </row>
    <row r="324" spans="1:5">
      <c r="A324" t="s">
        <v>4736</v>
      </c>
      <c r="B324" t="s">
        <v>4737</v>
      </c>
      <c r="D324">
        <f>SUMIFS(Horas!R:R,Horas!O:O,Tabla_Consulta_desde_Proyectos7[[#This Row],[Usunombre]])</f>
        <v>0</v>
      </c>
      <c r="E324" s="14">
        <f>Tabla_Consulta_desde_Proyectos7[[#This Row],[Horas]]*Tabla_Consulta_desde_Proyectos7[[#This Row],[PRYUcosto]]/8</f>
        <v>0</v>
      </c>
    </row>
    <row r="325" spans="1:5">
      <c r="A325" t="s">
        <v>7502</v>
      </c>
      <c r="B325" t="s">
        <v>7503</v>
      </c>
      <c r="D325">
        <f>SUMIFS(Horas!R:R,Horas!O:O,Tabla_Consulta_desde_Proyectos7[[#This Row],[Usunombre]])</f>
        <v>0</v>
      </c>
      <c r="E325" s="14">
        <f>Tabla_Consulta_desde_Proyectos7[[#This Row],[Horas]]*Tabla_Consulta_desde_Proyectos7[[#This Row],[PRYUcosto]]/8</f>
        <v>0</v>
      </c>
    </row>
    <row r="326" spans="1:5">
      <c r="A326" t="s">
        <v>1130</v>
      </c>
      <c r="B326" t="s">
        <v>1131</v>
      </c>
      <c r="D326">
        <f>SUMIFS(Horas!R:R,Horas!O:O,Tabla_Consulta_desde_Proyectos7[[#This Row],[Usunombre]])</f>
        <v>0</v>
      </c>
      <c r="E326" s="14">
        <f>Tabla_Consulta_desde_Proyectos7[[#This Row],[Horas]]*Tabla_Consulta_desde_Proyectos7[[#This Row],[PRYUcosto]]/8</f>
        <v>0</v>
      </c>
    </row>
    <row r="327" spans="1:5">
      <c r="A327" t="s">
        <v>5248</v>
      </c>
      <c r="B327" t="s">
        <v>5249</v>
      </c>
      <c r="D327">
        <f>SUMIFS(Horas!R:R,Horas!O:O,Tabla_Consulta_desde_Proyectos7[[#This Row],[Usunombre]])</f>
        <v>0</v>
      </c>
      <c r="E327" s="14">
        <f>Tabla_Consulta_desde_Proyectos7[[#This Row],[Horas]]*Tabla_Consulta_desde_Proyectos7[[#This Row],[PRYUcosto]]/8</f>
        <v>0</v>
      </c>
    </row>
    <row r="328" spans="1:5">
      <c r="A328" t="s">
        <v>6689</v>
      </c>
      <c r="B328" t="s">
        <v>6690</v>
      </c>
      <c r="D328">
        <f>SUMIFS(Horas!R:R,Horas!O:O,Tabla_Consulta_desde_Proyectos7[[#This Row],[Usunombre]])</f>
        <v>0</v>
      </c>
      <c r="E328" s="14">
        <f>Tabla_Consulta_desde_Proyectos7[[#This Row],[Horas]]*Tabla_Consulta_desde_Proyectos7[[#This Row],[PRYUcosto]]/8</f>
        <v>0</v>
      </c>
    </row>
    <row r="329" spans="1:5">
      <c r="A329" t="s">
        <v>1401</v>
      </c>
      <c r="B329" t="s">
        <v>1402</v>
      </c>
      <c r="D329">
        <f>SUMIFS(Horas!R:R,Horas!O:O,Tabla_Consulta_desde_Proyectos7[[#This Row],[Usunombre]])</f>
        <v>0</v>
      </c>
      <c r="E329" s="14">
        <f>Tabla_Consulta_desde_Proyectos7[[#This Row],[Horas]]*Tabla_Consulta_desde_Proyectos7[[#This Row],[PRYUcosto]]/8</f>
        <v>0</v>
      </c>
    </row>
    <row r="330" spans="1:5">
      <c r="A330" t="s">
        <v>1241</v>
      </c>
      <c r="B330" t="s">
        <v>1242</v>
      </c>
      <c r="D330">
        <f>SUMIFS(Horas!R:R,Horas!O:O,Tabla_Consulta_desde_Proyectos7[[#This Row],[Usunombre]])</f>
        <v>0</v>
      </c>
      <c r="E330" s="14">
        <f>Tabla_Consulta_desde_Proyectos7[[#This Row],[Horas]]*Tabla_Consulta_desde_Proyectos7[[#This Row],[PRYUcosto]]/8</f>
        <v>0</v>
      </c>
    </row>
    <row r="331" spans="1:5">
      <c r="A331" t="s">
        <v>1104</v>
      </c>
      <c r="B331" t="s">
        <v>4693</v>
      </c>
      <c r="D331">
        <f>SUMIFS(Horas!R:R,Horas!O:O,Tabla_Consulta_desde_Proyectos7[[#This Row],[Usunombre]])</f>
        <v>0</v>
      </c>
      <c r="E331" s="14">
        <f>Tabla_Consulta_desde_Proyectos7[[#This Row],[Horas]]*Tabla_Consulta_desde_Proyectos7[[#This Row],[PRYUcosto]]/8</f>
        <v>0</v>
      </c>
    </row>
    <row r="332" spans="1:5">
      <c r="A332" t="s">
        <v>1293</v>
      </c>
      <c r="B332" t="s">
        <v>1294</v>
      </c>
      <c r="C332">
        <v>600</v>
      </c>
      <c r="D332">
        <f>SUMIFS(Horas!R:R,Horas!O:O,Tabla_Consulta_desde_Proyectos7[[#This Row],[Usunombre]])</f>
        <v>0</v>
      </c>
      <c r="E332" s="14">
        <f>Tabla_Consulta_desde_Proyectos7[[#This Row],[Horas]]*Tabla_Consulta_desde_Proyectos7[[#This Row],[PRYUcosto]]/8</f>
        <v>0</v>
      </c>
    </row>
    <row r="333" spans="1:5">
      <c r="A333" t="s">
        <v>1997</v>
      </c>
      <c r="B333" t="s">
        <v>1998</v>
      </c>
      <c r="D333">
        <f>SUMIFS(Horas!R:R,Horas!O:O,Tabla_Consulta_desde_Proyectos7[[#This Row],[Usunombre]])</f>
        <v>0</v>
      </c>
      <c r="E333" s="14">
        <f>Tabla_Consulta_desde_Proyectos7[[#This Row],[Horas]]*Tabla_Consulta_desde_Proyectos7[[#This Row],[PRYUcosto]]/8</f>
        <v>0</v>
      </c>
    </row>
    <row r="334" spans="1:5">
      <c r="A334" t="s">
        <v>952</v>
      </c>
      <c r="B334" t="s">
        <v>953</v>
      </c>
      <c r="C334">
        <v>750</v>
      </c>
      <c r="D334">
        <f>SUMIFS(Horas!R:R,Horas!O:O,Tabla_Consulta_desde_Proyectos7[[#This Row],[Usunombre]])</f>
        <v>0</v>
      </c>
      <c r="E334" s="14">
        <f>Tabla_Consulta_desde_Proyectos7[[#This Row],[Horas]]*Tabla_Consulta_desde_Proyectos7[[#This Row],[PRYUcosto]]/8</f>
        <v>0</v>
      </c>
    </row>
    <row r="335" spans="1:5">
      <c r="A335" t="s">
        <v>1739</v>
      </c>
      <c r="B335" t="s">
        <v>1740</v>
      </c>
      <c r="D335">
        <f>SUMIFS(Horas!R:R,Horas!O:O,Tabla_Consulta_desde_Proyectos7[[#This Row],[Usunombre]])</f>
        <v>0</v>
      </c>
      <c r="E335" s="14">
        <f>Tabla_Consulta_desde_Proyectos7[[#This Row],[Horas]]*Tabla_Consulta_desde_Proyectos7[[#This Row],[PRYUcosto]]/8</f>
        <v>0</v>
      </c>
    </row>
    <row r="336" spans="1:5">
      <c r="A336" t="s">
        <v>5750</v>
      </c>
      <c r="B336" t="s">
        <v>5751</v>
      </c>
      <c r="D336">
        <f>SUMIFS(Horas!R:R,Horas!O:O,Tabla_Consulta_desde_Proyectos7[[#This Row],[Usunombre]])</f>
        <v>0</v>
      </c>
      <c r="E336" s="14">
        <f>Tabla_Consulta_desde_Proyectos7[[#This Row],[Horas]]*Tabla_Consulta_desde_Proyectos7[[#This Row],[PRYUcosto]]/8</f>
        <v>0</v>
      </c>
    </row>
    <row r="337" spans="1:5">
      <c r="A337" t="s">
        <v>5285</v>
      </c>
      <c r="B337" t="s">
        <v>5286</v>
      </c>
      <c r="C337">
        <v>600</v>
      </c>
      <c r="D337">
        <f>SUMIFS(Horas!R:R,Horas!O:O,Tabla_Consulta_desde_Proyectos7[[#This Row],[Usunombre]])</f>
        <v>0</v>
      </c>
      <c r="E337" s="14">
        <f>Tabla_Consulta_desde_Proyectos7[[#This Row],[Horas]]*Tabla_Consulta_desde_Proyectos7[[#This Row],[PRYUcosto]]/8</f>
        <v>0</v>
      </c>
    </row>
    <row r="338" spans="1:5">
      <c r="A338" t="s">
        <v>1267</v>
      </c>
      <c r="B338" t="s">
        <v>4699</v>
      </c>
      <c r="D338">
        <f>SUMIFS(Horas!R:R,Horas!O:O,Tabla_Consulta_desde_Proyectos7[[#This Row],[Usunombre]])</f>
        <v>0</v>
      </c>
      <c r="E338" s="14">
        <f>Tabla_Consulta_desde_Proyectos7[[#This Row],[Horas]]*Tabla_Consulta_desde_Proyectos7[[#This Row],[PRYUcosto]]/8</f>
        <v>0</v>
      </c>
    </row>
    <row r="339" spans="1:5">
      <c r="A339" t="s">
        <v>1842</v>
      </c>
      <c r="B339" t="s">
        <v>1843</v>
      </c>
      <c r="D339">
        <f>SUMIFS(Horas!R:R,Horas!O:O,Tabla_Consulta_desde_Proyectos7[[#This Row],[Usunombre]])</f>
        <v>0</v>
      </c>
      <c r="E339" s="14">
        <f>Tabla_Consulta_desde_Proyectos7[[#This Row],[Horas]]*Tabla_Consulta_desde_Proyectos7[[#This Row],[PRYUcosto]]/8</f>
        <v>0</v>
      </c>
    </row>
    <row r="340" spans="1:5">
      <c r="A340" t="s">
        <v>4718</v>
      </c>
      <c r="B340" t="s">
        <v>4719</v>
      </c>
      <c r="D340">
        <f>SUMIFS(Horas!R:R,Horas!O:O,Tabla_Consulta_desde_Proyectos7[[#This Row],[Usunombre]])</f>
        <v>0</v>
      </c>
      <c r="E340" s="14">
        <f>Tabla_Consulta_desde_Proyectos7[[#This Row],[Horas]]*Tabla_Consulta_desde_Proyectos7[[#This Row],[PRYUcosto]]/8</f>
        <v>0</v>
      </c>
    </row>
    <row r="341" spans="1:5">
      <c r="A341" t="s">
        <v>1619</v>
      </c>
      <c r="B341" t="s">
        <v>1620</v>
      </c>
      <c r="C341">
        <v>750</v>
      </c>
      <c r="D341">
        <f>SUMIFS(Horas!R:R,Horas!O:O,Tabla_Consulta_desde_Proyectos7[[#This Row],[Usunombre]])</f>
        <v>0</v>
      </c>
      <c r="E341" s="14">
        <f>Tabla_Consulta_desde_Proyectos7[[#This Row],[Horas]]*Tabla_Consulta_desde_Proyectos7[[#This Row],[PRYUcosto]]/8</f>
        <v>0</v>
      </c>
    </row>
    <row r="342" spans="1:5">
      <c r="A342" t="s">
        <v>1284</v>
      </c>
      <c r="B342" t="s">
        <v>4702</v>
      </c>
      <c r="D342">
        <f>SUMIFS(Horas!R:R,Horas!O:O,Tabla_Consulta_desde_Proyectos7[[#This Row],[Usunombre]])</f>
        <v>0</v>
      </c>
      <c r="E342" s="14">
        <f>Tabla_Consulta_desde_Proyectos7[[#This Row],[Horas]]*Tabla_Consulta_desde_Proyectos7[[#This Row],[PRYUcosto]]/8</f>
        <v>0</v>
      </c>
    </row>
    <row r="343" spans="1:5">
      <c r="A343" t="s">
        <v>1013</v>
      </c>
      <c r="B343" t="s">
        <v>1014</v>
      </c>
      <c r="C343">
        <v>1200</v>
      </c>
      <c r="D343">
        <f>SUMIFS(Horas!R:R,Horas!O:O,Tabla_Consulta_desde_Proyectos7[[#This Row],[Usunombre]])</f>
        <v>0</v>
      </c>
      <c r="E343" s="14">
        <f>Tabla_Consulta_desde_Proyectos7[[#This Row],[Horas]]*Tabla_Consulta_desde_Proyectos7[[#This Row],[PRYUcosto]]/8</f>
        <v>0</v>
      </c>
    </row>
    <row r="344" spans="1:5">
      <c r="A344" t="s">
        <v>1134</v>
      </c>
      <c r="B344" t="s">
        <v>4695</v>
      </c>
      <c r="D344">
        <f>SUMIFS(Horas!R:R,Horas!O:O,Tabla_Consulta_desde_Proyectos7[[#This Row],[Usunombre]])</f>
        <v>0</v>
      </c>
      <c r="E344" s="14">
        <f>Tabla_Consulta_desde_Proyectos7[[#This Row],[Horas]]*Tabla_Consulta_desde_Proyectos7[[#This Row],[PRYUcosto]]/8</f>
        <v>0</v>
      </c>
    </row>
    <row r="345" spans="1:5">
      <c r="A345" t="s">
        <v>2019</v>
      </c>
      <c r="B345" t="s">
        <v>2020</v>
      </c>
      <c r="C345">
        <v>600</v>
      </c>
      <c r="D345">
        <f>SUMIFS(Horas!R:R,Horas!O:O,Tabla_Consulta_desde_Proyectos7[[#This Row],[Usunombre]])</f>
        <v>0</v>
      </c>
      <c r="E345" s="14">
        <f>Tabla_Consulta_desde_Proyectos7[[#This Row],[Horas]]*Tabla_Consulta_desde_Proyectos7[[#This Row],[PRYUcosto]]/8</f>
        <v>0</v>
      </c>
    </row>
    <row r="346" spans="1:5">
      <c r="A346" t="s">
        <v>1309</v>
      </c>
      <c r="B346" t="s">
        <v>1310</v>
      </c>
      <c r="D346">
        <f>SUMIFS(Horas!R:R,Horas!O:O,Tabla_Consulta_desde_Proyectos7[[#This Row],[Usunombre]])</f>
        <v>0</v>
      </c>
      <c r="E346" s="14">
        <f>Tabla_Consulta_desde_Proyectos7[[#This Row],[Horas]]*Tabla_Consulta_desde_Proyectos7[[#This Row],[PRYUcosto]]/8</f>
        <v>0</v>
      </c>
    </row>
    <row r="347" spans="1:5">
      <c r="A347" t="s">
        <v>1373</v>
      </c>
      <c r="B347" t="s">
        <v>1374</v>
      </c>
      <c r="D347">
        <f>SUMIFS(Horas!R:R,Horas!O:O,Tabla_Consulta_desde_Proyectos7[[#This Row],[Usunombre]])</f>
        <v>0</v>
      </c>
      <c r="E347" s="14">
        <f>Tabla_Consulta_desde_Proyectos7[[#This Row],[Horas]]*Tabla_Consulta_desde_Proyectos7[[#This Row],[PRYUcosto]]/8</f>
        <v>0</v>
      </c>
    </row>
    <row r="348" spans="1:5">
      <c r="A348" t="s">
        <v>1027</v>
      </c>
      <c r="B348" t="s">
        <v>1028</v>
      </c>
      <c r="C348">
        <v>1200</v>
      </c>
      <c r="D348">
        <f>SUMIFS(Horas!R:R,Horas!O:O,Tabla_Consulta_desde_Proyectos7[[#This Row],[Usunombre]])</f>
        <v>0</v>
      </c>
      <c r="E348" s="14">
        <f>Tabla_Consulta_desde_Proyectos7[[#This Row],[Horas]]*Tabla_Consulta_desde_Proyectos7[[#This Row],[PRYUcosto]]/8</f>
        <v>0</v>
      </c>
    </row>
    <row r="349" spans="1:5">
      <c r="A349" t="s">
        <v>5431</v>
      </c>
      <c r="B349" t="s">
        <v>5432</v>
      </c>
      <c r="C349">
        <v>600</v>
      </c>
      <c r="D349">
        <f>SUMIFS(Horas!R:R,Horas!O:O,Tabla_Consulta_desde_Proyectos7[[#This Row],[Usunombre]])</f>
        <v>0</v>
      </c>
      <c r="E349" s="14">
        <f>Tabla_Consulta_desde_Proyectos7[[#This Row],[Horas]]*Tabla_Consulta_desde_Proyectos7[[#This Row],[PRYUcosto]]/8</f>
        <v>0</v>
      </c>
    </row>
    <row r="350" spans="1:5">
      <c r="A350" t="s">
        <v>6985</v>
      </c>
      <c r="B350" t="s">
        <v>6986</v>
      </c>
      <c r="D350">
        <f>SUMIFS(Horas!R:R,Horas!O:O,Tabla_Consulta_desde_Proyectos7[[#This Row],[Usunombre]])</f>
        <v>0</v>
      </c>
      <c r="E350" s="14">
        <f>Tabla_Consulta_desde_Proyectos7[[#This Row],[Horas]]*Tabla_Consulta_desde_Proyectos7[[#This Row],[PRYUcosto]]/8</f>
        <v>0</v>
      </c>
    </row>
    <row r="351" spans="1:5">
      <c r="A351" t="s">
        <v>6192</v>
      </c>
      <c r="B351" t="s">
        <v>6193</v>
      </c>
      <c r="C351">
        <v>1200</v>
      </c>
      <c r="D351">
        <f>SUMIFS(Horas!R:R,Horas!O:O,Tabla_Consulta_desde_Proyectos7[[#This Row],[Usunombre]])</f>
        <v>0</v>
      </c>
      <c r="E351" s="14">
        <f>Tabla_Consulta_desde_Proyectos7[[#This Row],[Horas]]*Tabla_Consulta_desde_Proyectos7[[#This Row],[PRYUcosto]]/8</f>
        <v>0</v>
      </c>
    </row>
    <row r="352" spans="1:5">
      <c r="A352" t="s">
        <v>1150</v>
      </c>
      <c r="B352" t="s">
        <v>1151</v>
      </c>
      <c r="D352">
        <f>SUMIFS(Horas!R:R,Horas!O:O,Tabla_Consulta_desde_Proyectos7[[#This Row],[Usunombre]])</f>
        <v>0</v>
      </c>
      <c r="E352" s="14">
        <f>Tabla_Consulta_desde_Proyectos7[[#This Row],[Horas]]*Tabla_Consulta_desde_Proyectos7[[#This Row],[PRYUcosto]]/8</f>
        <v>0</v>
      </c>
    </row>
    <row r="353" spans="1:5">
      <c r="A353" t="s">
        <v>5042</v>
      </c>
      <c r="B353" t="s">
        <v>5043</v>
      </c>
      <c r="C353">
        <v>600</v>
      </c>
      <c r="D353">
        <f>SUMIFS(Horas!R:R,Horas!O:O,Tabla_Consulta_desde_Proyectos7[[#This Row],[Usunombre]])</f>
        <v>0</v>
      </c>
      <c r="E353" s="14">
        <f>Tabla_Consulta_desde_Proyectos7[[#This Row],[Horas]]*Tabla_Consulta_desde_Proyectos7[[#This Row],[PRYUcosto]]/8</f>
        <v>0</v>
      </c>
    </row>
    <row r="354" spans="1:5">
      <c r="A354" t="s">
        <v>1505</v>
      </c>
      <c r="B354" t="s">
        <v>1506</v>
      </c>
      <c r="D354">
        <f>SUMIFS(Horas!R:R,Horas!O:O,Tabla_Consulta_desde_Proyectos7[[#This Row],[Usunombre]])</f>
        <v>0</v>
      </c>
      <c r="E354" s="14">
        <f>Tabla_Consulta_desde_Proyectos7[[#This Row],[Horas]]*Tabla_Consulta_desde_Proyectos7[[#This Row],[PRYUcosto]]/8</f>
        <v>0</v>
      </c>
    </row>
    <row r="355" spans="1:5">
      <c r="A355" t="s">
        <v>1657</v>
      </c>
      <c r="B355" t="s">
        <v>1658</v>
      </c>
      <c r="D355">
        <f>SUMIFS(Horas!R:R,Horas!O:O,Tabla_Consulta_desde_Proyectos7[[#This Row],[Usunombre]])</f>
        <v>0</v>
      </c>
      <c r="E355" s="14">
        <f>Tabla_Consulta_desde_Proyectos7[[#This Row],[Horas]]*Tabla_Consulta_desde_Proyectos7[[#This Row],[PRYUcosto]]/8</f>
        <v>0</v>
      </c>
    </row>
    <row r="356" spans="1:5">
      <c r="A356" t="s">
        <v>1337</v>
      </c>
      <c r="B356" t="s">
        <v>1338</v>
      </c>
      <c r="D356">
        <f>SUMIFS(Horas!R:R,Horas!O:O,Tabla_Consulta_desde_Proyectos7[[#This Row],[Usunombre]])</f>
        <v>0</v>
      </c>
      <c r="E356" s="14">
        <f>Tabla_Consulta_desde_Proyectos7[[#This Row],[Horas]]*Tabla_Consulta_desde_Proyectos7[[#This Row],[PRYUcosto]]/8</f>
        <v>0</v>
      </c>
    </row>
    <row r="357" spans="1:5">
      <c r="A357" t="s">
        <v>1475</v>
      </c>
      <c r="B357" t="s">
        <v>1476</v>
      </c>
      <c r="D357">
        <f>SUMIFS(Horas!R:R,Horas!O:O,Tabla_Consulta_desde_Proyectos7[[#This Row],[Usunombre]])</f>
        <v>0</v>
      </c>
      <c r="E357" s="14">
        <f>Tabla_Consulta_desde_Proyectos7[[#This Row],[Horas]]*Tabla_Consulta_desde_Proyectos7[[#This Row],[PRYUcosto]]/8</f>
        <v>0</v>
      </c>
    </row>
    <row r="358" spans="1:5">
      <c r="A358" t="s">
        <v>6983</v>
      </c>
      <c r="B358" t="s">
        <v>6984</v>
      </c>
      <c r="C358">
        <v>600</v>
      </c>
      <c r="D358">
        <f>SUMIFS(Horas!R:R,Horas!O:O,Tabla_Consulta_desde_Proyectos7[[#This Row],[Usunombre]])</f>
        <v>0</v>
      </c>
      <c r="E358" s="14">
        <f>Tabla_Consulta_desde_Proyectos7[[#This Row],[Horas]]*Tabla_Consulta_desde_Proyectos7[[#This Row],[PRYUcosto]]/8</f>
        <v>0</v>
      </c>
    </row>
    <row r="359" spans="1:5">
      <c r="A359" t="s">
        <v>4722</v>
      </c>
      <c r="B359" t="s">
        <v>4723</v>
      </c>
      <c r="D359">
        <f>SUMIFS(Horas!R:R,Horas!O:O,Tabla_Consulta_desde_Proyectos7[[#This Row],[Usunombre]])</f>
        <v>0</v>
      </c>
      <c r="E359" s="14">
        <f>Tabla_Consulta_desde_Proyectos7[[#This Row],[Horas]]*Tabla_Consulta_desde_Proyectos7[[#This Row],[PRYUcosto]]/8</f>
        <v>0</v>
      </c>
    </row>
    <row r="360" spans="1:5">
      <c r="A360" t="s">
        <v>6991</v>
      </c>
      <c r="B360" t="s">
        <v>6992</v>
      </c>
      <c r="D360">
        <f>SUMIFS(Horas!R:R,Horas!O:O,Tabla_Consulta_desde_Proyectos7[[#This Row],[Usunombre]])</f>
        <v>0</v>
      </c>
      <c r="E360" s="14">
        <f>Tabla_Consulta_desde_Proyectos7[[#This Row],[Horas]]*Tabla_Consulta_desde_Proyectos7[[#This Row],[PRYUcosto]]/8</f>
        <v>0</v>
      </c>
    </row>
    <row r="361" spans="1:5">
      <c r="A361" t="s">
        <v>3927</v>
      </c>
      <c r="B361" t="s">
        <v>3928</v>
      </c>
      <c r="D361">
        <f>SUMIFS(Horas!R:R,Horas!O:O,Tabla_Consulta_desde_Proyectos7[[#This Row],[Usunombre]])</f>
        <v>0</v>
      </c>
      <c r="E361" s="14">
        <f>Tabla_Consulta_desde_Proyectos7[[#This Row],[Horas]]*Tabla_Consulta_desde_Proyectos7[[#This Row],[PRYUcosto]]/8</f>
        <v>0</v>
      </c>
    </row>
    <row r="362" spans="1:5">
      <c r="A362" t="s">
        <v>1629</v>
      </c>
      <c r="B362" t="s">
        <v>1630</v>
      </c>
      <c r="D362">
        <f>SUMIFS(Horas!R:R,Horas!O:O,Tabla_Consulta_desde_Proyectos7[[#This Row],[Usunombre]])</f>
        <v>0</v>
      </c>
      <c r="E362" s="14">
        <f>Tabla_Consulta_desde_Proyectos7[[#This Row],[Horas]]*Tabla_Consulta_desde_Proyectos7[[#This Row],[PRYUcosto]]/8</f>
        <v>0</v>
      </c>
    </row>
    <row r="363" spans="1:5">
      <c r="A363" t="s">
        <v>1305</v>
      </c>
      <c r="B363" t="s">
        <v>1306</v>
      </c>
      <c r="D363">
        <f>SUMIFS(Horas!R:R,Horas!O:O,Tabla_Consulta_desde_Proyectos7[[#This Row],[Usunombre]])</f>
        <v>0</v>
      </c>
      <c r="E363" s="14">
        <f>Tabla_Consulta_desde_Proyectos7[[#This Row],[Horas]]*Tabla_Consulta_desde_Proyectos7[[#This Row],[PRYUcosto]]/8</f>
        <v>0</v>
      </c>
    </row>
    <row r="364" spans="1:5">
      <c r="A364" t="s">
        <v>6653</v>
      </c>
      <c r="B364" t="s">
        <v>6654</v>
      </c>
      <c r="D364">
        <f>SUMIFS(Horas!R:R,Horas!O:O,Tabla_Consulta_desde_Proyectos7[[#This Row],[Usunombre]])</f>
        <v>0</v>
      </c>
      <c r="E364" s="14">
        <f>Tabla_Consulta_desde_Proyectos7[[#This Row],[Horas]]*Tabla_Consulta_desde_Proyectos7[[#This Row],[PRYUcosto]]/8</f>
        <v>0</v>
      </c>
    </row>
    <row r="365" spans="1:5">
      <c r="A365" t="s">
        <v>1381</v>
      </c>
      <c r="B365" t="s">
        <v>1382</v>
      </c>
      <c r="D365">
        <f>SUMIFS(Horas!R:R,Horas!O:O,Tabla_Consulta_desde_Proyectos7[[#This Row],[Usunombre]])</f>
        <v>0</v>
      </c>
      <c r="E365" s="14">
        <f>Tabla_Consulta_desde_Proyectos7[[#This Row],[Horas]]*Tabla_Consulta_desde_Proyectos7[[#This Row],[PRYUcosto]]/8</f>
        <v>0</v>
      </c>
    </row>
    <row r="366" spans="1:5">
      <c r="A366" t="s">
        <v>7005</v>
      </c>
      <c r="B366" t="s">
        <v>7006</v>
      </c>
      <c r="C366">
        <v>600</v>
      </c>
      <c r="D366">
        <f>SUMIFS(Horas!R:R,Horas!O:O,Tabla_Consulta_desde_Proyectos7[[#This Row],[Usunombre]])</f>
        <v>0</v>
      </c>
      <c r="E366" s="14">
        <f>Tabla_Consulta_desde_Proyectos7[[#This Row],[Horas]]*Tabla_Consulta_desde_Proyectos7[[#This Row],[PRYUcosto]]/8</f>
        <v>0</v>
      </c>
    </row>
    <row r="367" spans="1:5">
      <c r="A367" t="s">
        <v>4740</v>
      </c>
      <c r="B367" t="s">
        <v>4741</v>
      </c>
      <c r="D367">
        <f>SUMIFS(Horas!R:R,Horas!O:O,Tabla_Consulta_desde_Proyectos7[[#This Row],[Usunombre]])</f>
        <v>0</v>
      </c>
      <c r="E367" s="14">
        <f>Tabla_Consulta_desde_Proyectos7[[#This Row],[Horas]]*Tabla_Consulta_desde_Proyectos7[[#This Row],[PRYUcosto]]/8</f>
        <v>0</v>
      </c>
    </row>
    <row r="368" spans="1:5">
      <c r="A368" t="s">
        <v>1057</v>
      </c>
      <c r="B368" t="s">
        <v>4087</v>
      </c>
      <c r="C368">
        <v>750</v>
      </c>
      <c r="D368">
        <f>SUMIFS(Horas!R:R,Horas!O:O,Tabla_Consulta_desde_Proyectos7[[#This Row],[Usunombre]])</f>
        <v>0</v>
      </c>
      <c r="E368" s="14">
        <f>Tabla_Consulta_desde_Proyectos7[[#This Row],[Horas]]*Tabla_Consulta_desde_Proyectos7[[#This Row],[PRYUcosto]]/8</f>
        <v>0</v>
      </c>
    </row>
    <row r="369" spans="1:5">
      <c r="A369" t="s">
        <v>1387</v>
      </c>
      <c r="B369" t="s">
        <v>1388</v>
      </c>
      <c r="D369">
        <f>SUMIFS(Horas!R:R,Horas!O:O,Tabla_Consulta_desde_Proyectos7[[#This Row],[Usunombre]])</f>
        <v>0</v>
      </c>
      <c r="E369" s="14">
        <f>Tabla_Consulta_desde_Proyectos7[[#This Row],[Horas]]*Tabla_Consulta_desde_Proyectos7[[#This Row],[PRYUcosto]]/8</f>
        <v>0</v>
      </c>
    </row>
    <row r="370" spans="1:5">
      <c r="A370" t="s">
        <v>1962</v>
      </c>
      <c r="B370" t="s">
        <v>1963</v>
      </c>
      <c r="C370">
        <v>600</v>
      </c>
      <c r="D370">
        <f>SUMIFS(Horas!R:R,Horas!O:O,Tabla_Consulta_desde_Proyectos7[[#This Row],[Usunombre]])</f>
        <v>0</v>
      </c>
      <c r="E370" s="14">
        <f>Tabla_Consulta_desde_Proyectos7[[#This Row],[Horas]]*Tabla_Consulta_desde_Proyectos7[[#This Row],[PRYUcosto]]/8</f>
        <v>0</v>
      </c>
    </row>
    <row r="371" spans="1:5">
      <c r="A371" t="s">
        <v>1989</v>
      </c>
      <c r="B371" t="s">
        <v>1990</v>
      </c>
      <c r="C371">
        <v>600</v>
      </c>
      <c r="D371">
        <f>SUMIFS(Horas!R:R,Horas!O:O,Tabla_Consulta_desde_Proyectos7[[#This Row],[Usunombre]])</f>
        <v>0</v>
      </c>
      <c r="E371" s="14">
        <f>Tabla_Consulta_desde_Proyectos7[[#This Row],[Horas]]*Tabla_Consulta_desde_Proyectos7[[#This Row],[PRYUcosto]]/8</f>
        <v>0</v>
      </c>
    </row>
    <row r="372" spans="1:5">
      <c r="A372" t="s">
        <v>938</v>
      </c>
      <c r="B372" t="s">
        <v>939</v>
      </c>
      <c r="C372">
        <v>750</v>
      </c>
      <c r="D372">
        <f>SUMIFS(Horas!R:R,Horas!O:O,Tabla_Consulta_desde_Proyectos7[[#This Row],[Usunombre]])</f>
        <v>0</v>
      </c>
      <c r="E372" s="14">
        <f>Tabla_Consulta_desde_Proyectos7[[#This Row],[Horas]]*Tabla_Consulta_desde_Proyectos7[[#This Row],[PRYUcosto]]/8</f>
        <v>0</v>
      </c>
    </row>
    <row r="373" spans="1:5">
      <c r="A373" t="s">
        <v>1033</v>
      </c>
      <c r="B373" t="s">
        <v>1034</v>
      </c>
      <c r="C373">
        <v>750</v>
      </c>
      <c r="D373">
        <f>SUMIFS(Horas!R:R,Horas!O:O,Tabla_Consulta_desde_Proyectos7[[#This Row],[Usunombre]])</f>
        <v>0</v>
      </c>
      <c r="E373" s="14">
        <f>Tabla_Consulta_desde_Proyectos7[[#This Row],[Horas]]*Tabla_Consulta_desde_Proyectos7[[#This Row],[PRYUcosto]]/8</f>
        <v>0</v>
      </c>
    </row>
    <row r="374" spans="1:5">
      <c r="A374" t="s">
        <v>6838</v>
      </c>
      <c r="B374" t="s">
        <v>6839</v>
      </c>
      <c r="D374">
        <f>SUMIFS(Horas!R:R,Horas!O:O,Tabla_Consulta_desde_Proyectos7[[#This Row],[Usunombre]])</f>
        <v>0</v>
      </c>
      <c r="E374" s="14">
        <f>Tabla_Consulta_desde_Proyectos7[[#This Row],[Horas]]*Tabla_Consulta_desde_Proyectos7[[#This Row],[PRYUcosto]]/8</f>
        <v>0</v>
      </c>
    </row>
    <row r="375" spans="1:5">
      <c r="A375" t="s">
        <v>6631</v>
      </c>
      <c r="B375" t="s">
        <v>6632</v>
      </c>
      <c r="D375">
        <f>SUMIFS(Horas!R:R,Horas!O:O,Tabla_Consulta_desde_Proyectos7[[#This Row],[Usunombre]])</f>
        <v>0</v>
      </c>
      <c r="E375" s="14">
        <f>Tabla_Consulta_desde_Proyectos7[[#This Row],[Horas]]*Tabla_Consulta_desde_Proyectos7[[#This Row],[PRYUcosto]]/8</f>
        <v>0</v>
      </c>
    </row>
    <row r="376" spans="1:5">
      <c r="A376" t="s">
        <v>5718</v>
      </c>
      <c r="B376" t="s">
        <v>5719</v>
      </c>
      <c r="C376">
        <v>1200</v>
      </c>
      <c r="D376">
        <f>SUMIFS(Horas!R:R,Horas!O:O,Tabla_Consulta_desde_Proyectos7[[#This Row],[Usunombre]])</f>
        <v>0</v>
      </c>
      <c r="E376" s="14">
        <f>Tabla_Consulta_desde_Proyectos7[[#This Row],[Horas]]*Tabla_Consulta_desde_Proyectos7[[#This Row],[PRYUcosto]]/8</f>
        <v>0</v>
      </c>
    </row>
    <row r="377" spans="1:5">
      <c r="A377" t="s">
        <v>1802</v>
      </c>
      <c r="B377" t="s">
        <v>1803</v>
      </c>
      <c r="D377">
        <f>SUMIFS(Horas!R:R,Horas!O:O,Tabla_Consulta_desde_Proyectos7[[#This Row],[Usunombre]])</f>
        <v>0</v>
      </c>
      <c r="E377" s="14">
        <f>Tabla_Consulta_desde_Proyectos7[[#This Row],[Horas]]*Tabla_Consulta_desde_Proyectos7[[#This Row],[PRYUcosto]]/8</f>
        <v>0</v>
      </c>
    </row>
    <row r="378" spans="1:5">
      <c r="A378" t="s">
        <v>1771</v>
      </c>
      <c r="B378" t="s">
        <v>1772</v>
      </c>
      <c r="C378">
        <v>800</v>
      </c>
      <c r="D378">
        <f>SUMIFS(Horas!R:R,Horas!O:O,Tabla_Consulta_desde_Proyectos7[[#This Row],[Usunombre]])</f>
        <v>0</v>
      </c>
      <c r="E378" s="14">
        <f>Tabla_Consulta_desde_Proyectos7[[#This Row],[Horas]]*Tabla_Consulta_desde_Proyectos7[[#This Row],[PRYUcosto]]/8</f>
        <v>0</v>
      </c>
    </row>
    <row r="379" spans="1:5">
      <c r="A379" t="s">
        <v>5280</v>
      </c>
      <c r="B379" t="s">
        <v>5281</v>
      </c>
      <c r="D379">
        <f>SUMIFS(Horas!R:R,Horas!O:O,Tabla_Consulta_desde_Proyectos7[[#This Row],[Usunombre]])</f>
        <v>0</v>
      </c>
      <c r="E379" s="14">
        <f>Tabla_Consulta_desde_Proyectos7[[#This Row],[Horas]]*Tabla_Consulta_desde_Proyectos7[[#This Row],[PRYUcosto]]/8</f>
        <v>0</v>
      </c>
    </row>
    <row r="380" spans="1:5">
      <c r="A380" t="s">
        <v>1001</v>
      </c>
      <c r="B380" t="s">
        <v>1002</v>
      </c>
      <c r="D380">
        <f>SUMIFS(Horas!R:R,Horas!O:O,Tabla_Consulta_desde_Proyectos7[[#This Row],[Usunombre]])</f>
        <v>0</v>
      </c>
      <c r="E380" s="14">
        <f>Tabla_Consulta_desde_Proyectos7[[#This Row],[Horas]]*Tabla_Consulta_desde_Proyectos7[[#This Row],[PRYUcosto]]/8</f>
        <v>0</v>
      </c>
    </row>
    <row r="381" spans="1:5">
      <c r="A381" t="s">
        <v>5055</v>
      </c>
      <c r="B381" t="s">
        <v>5056</v>
      </c>
      <c r="C381">
        <v>600</v>
      </c>
      <c r="D381">
        <f>SUMIFS(Horas!R:R,Horas!O:O,Tabla_Consulta_desde_Proyectos7[[#This Row],[Usunombre]])</f>
        <v>0</v>
      </c>
      <c r="E381" s="14">
        <f>Tabla_Consulta_desde_Proyectos7[[#This Row],[Horas]]*Tabla_Consulta_desde_Proyectos7[[#This Row],[PRYUcosto]]/8</f>
        <v>0</v>
      </c>
    </row>
    <row r="382" spans="1:5">
      <c r="A382" t="s">
        <v>1355</v>
      </c>
      <c r="B382" t="s">
        <v>1356</v>
      </c>
      <c r="D382">
        <f>SUMIFS(Horas!R:R,Horas!O:O,Tabla_Consulta_desde_Proyectos7[[#This Row],[Usunombre]])</f>
        <v>0</v>
      </c>
      <c r="E382" s="14">
        <f>Tabla_Consulta_desde_Proyectos7[[#This Row],[Horas]]*Tabla_Consulta_desde_Proyectos7[[#This Row],[PRYUcosto]]/8</f>
        <v>0</v>
      </c>
    </row>
    <row r="383" spans="1:5">
      <c r="A383" t="s">
        <v>1594</v>
      </c>
      <c r="B383" t="s">
        <v>1595</v>
      </c>
      <c r="D383">
        <f>SUMIFS(Horas!R:R,Horas!O:O,Tabla_Consulta_desde_Proyectos7[[#This Row],[Usunombre]])</f>
        <v>0</v>
      </c>
      <c r="E383" s="14">
        <f>Tabla_Consulta_desde_Proyectos7[[#This Row],[Horas]]*Tabla_Consulta_desde_Proyectos7[[#This Row],[PRYUcosto]]/8</f>
        <v>0</v>
      </c>
    </row>
    <row r="384" spans="1:5">
      <c r="A384" t="s">
        <v>1907</v>
      </c>
      <c r="B384" t="s">
        <v>1908</v>
      </c>
      <c r="D384">
        <f>SUMIFS(Horas!R:R,Horas!O:O,Tabla_Consulta_desde_Proyectos7[[#This Row],[Usunombre]])</f>
        <v>0</v>
      </c>
      <c r="E384" s="14">
        <f>Tabla_Consulta_desde_Proyectos7[[#This Row],[Horas]]*Tabla_Consulta_desde_Proyectos7[[#This Row],[PRYUcosto]]/8</f>
        <v>0</v>
      </c>
    </row>
    <row r="385" spans="1:5">
      <c r="A385" t="s">
        <v>6720</v>
      </c>
      <c r="B385" t="s">
        <v>6721</v>
      </c>
      <c r="D385">
        <f>SUMIFS(Horas!R:R,Horas!O:O,Tabla_Consulta_desde_Proyectos7[[#This Row],[Usunombre]])</f>
        <v>0</v>
      </c>
      <c r="E385" s="14">
        <f>Tabla_Consulta_desde_Proyectos7[[#This Row],[Horas]]*Tabla_Consulta_desde_Proyectos7[[#This Row],[PRYUcosto]]/8</f>
        <v>0</v>
      </c>
    </row>
    <row r="386" spans="1:5">
      <c r="A386" t="s">
        <v>1950</v>
      </c>
      <c r="B386" t="s">
        <v>1951</v>
      </c>
      <c r="D386">
        <f>SUMIFS(Horas!R:R,Horas!O:O,Tabla_Consulta_desde_Proyectos7[[#This Row],[Usunombre]])</f>
        <v>0</v>
      </c>
      <c r="E386" s="14">
        <f>Tabla_Consulta_desde_Proyectos7[[#This Row],[Horas]]*Tabla_Consulta_desde_Proyectos7[[#This Row],[PRYUcosto]]/8</f>
        <v>0</v>
      </c>
    </row>
    <row r="387" spans="1:5">
      <c r="A387" t="s">
        <v>1767</v>
      </c>
      <c r="B387" t="s">
        <v>1768</v>
      </c>
      <c r="D387">
        <f>SUMIFS(Horas!R:R,Horas!O:O,Tabla_Consulta_desde_Proyectos7[[#This Row],[Usunombre]])</f>
        <v>0</v>
      </c>
      <c r="E387" s="14">
        <f>Tabla_Consulta_desde_Proyectos7[[#This Row],[Horas]]*Tabla_Consulta_desde_Proyectos7[[#This Row],[PRYUcosto]]/8</f>
        <v>0</v>
      </c>
    </row>
    <row r="388" spans="1:5">
      <c r="A388" t="s">
        <v>1251</v>
      </c>
      <c r="B388" t="s">
        <v>1252</v>
      </c>
      <c r="D388">
        <f>SUMIFS(Horas!R:R,Horas!O:O,Tabla_Consulta_desde_Proyectos7[[#This Row],[Usunombre]])</f>
        <v>0</v>
      </c>
      <c r="E388" s="14">
        <f>Tabla_Consulta_desde_Proyectos7[[#This Row],[Horas]]*Tabla_Consulta_desde_Proyectos7[[#This Row],[PRYUcosto]]/8</f>
        <v>0</v>
      </c>
    </row>
    <row r="389" spans="1:5">
      <c r="A389" t="s">
        <v>1379</v>
      </c>
      <c r="B389" t="s">
        <v>1380</v>
      </c>
      <c r="D389">
        <f>SUMIFS(Horas!R:R,Horas!O:O,Tabla_Consulta_desde_Proyectos7[[#This Row],[Usunombre]])</f>
        <v>0</v>
      </c>
      <c r="E389" s="14">
        <f>Tabla_Consulta_desde_Proyectos7[[#This Row],[Horas]]*Tabla_Consulta_desde_Proyectos7[[#This Row],[PRYUcosto]]/8</f>
        <v>0</v>
      </c>
    </row>
    <row r="390" spans="1:5">
      <c r="A390" t="s">
        <v>1948</v>
      </c>
      <c r="B390" t="s">
        <v>1949</v>
      </c>
      <c r="D390">
        <f>SUMIFS(Horas!R:R,Horas!O:O,Tabla_Consulta_desde_Proyectos7[[#This Row],[Usunombre]])</f>
        <v>0</v>
      </c>
      <c r="E390" s="14">
        <f>Tabla_Consulta_desde_Proyectos7[[#This Row],[Horas]]*Tabla_Consulta_desde_Proyectos7[[#This Row],[PRYUcosto]]/8</f>
        <v>0</v>
      </c>
    </row>
    <row r="391" spans="1:5">
      <c r="A391" t="s">
        <v>6824</v>
      </c>
      <c r="B391" t="s">
        <v>6825</v>
      </c>
      <c r="D391">
        <f>SUMIFS(Horas!R:R,Horas!O:O,Tabla_Consulta_desde_Proyectos7[[#This Row],[Usunombre]])</f>
        <v>0</v>
      </c>
      <c r="E391" s="14">
        <f>Tabla_Consulta_desde_Proyectos7[[#This Row],[Horas]]*Tabla_Consulta_desde_Proyectos7[[#This Row],[PRYUcosto]]/8</f>
        <v>0</v>
      </c>
    </row>
    <row r="392" spans="1:5">
      <c r="A392" t="s">
        <v>1359</v>
      </c>
      <c r="B392" t="s">
        <v>1360</v>
      </c>
      <c r="D392">
        <f>SUMIFS(Horas!R:R,Horas!O:O,Tabla_Consulta_desde_Proyectos7[[#This Row],[Usunombre]])</f>
        <v>0</v>
      </c>
      <c r="E392" s="14">
        <f>Tabla_Consulta_desde_Proyectos7[[#This Row],[Horas]]*Tabla_Consulta_desde_Proyectos7[[#This Row],[PRYUcosto]]/8</f>
        <v>0</v>
      </c>
    </row>
    <row r="393" spans="1:5">
      <c r="A393" t="s">
        <v>6655</v>
      </c>
      <c r="B393" t="s">
        <v>6656</v>
      </c>
      <c r="D393">
        <f>SUMIFS(Horas!R:R,Horas!O:O,Tabla_Consulta_desde_Proyectos7[[#This Row],[Usunombre]])</f>
        <v>0</v>
      </c>
      <c r="E393" s="14">
        <f>Tabla_Consulta_desde_Proyectos7[[#This Row],[Horas]]*Tabla_Consulta_desde_Proyectos7[[#This Row],[PRYUcosto]]/8</f>
        <v>0</v>
      </c>
    </row>
    <row r="394" spans="1:5">
      <c r="A394" t="s">
        <v>6957</v>
      </c>
      <c r="B394" t="s">
        <v>6958</v>
      </c>
      <c r="D394">
        <f>SUMIFS(Horas!R:R,Horas!O:O,Tabla_Consulta_desde_Proyectos7[[#This Row],[Usunombre]])</f>
        <v>0</v>
      </c>
      <c r="E394" s="14">
        <f>Tabla_Consulta_desde_Proyectos7[[#This Row],[Horas]]*Tabla_Consulta_desde_Proyectos7[[#This Row],[PRYUcosto]]/8</f>
        <v>0</v>
      </c>
    </row>
    <row r="395" spans="1:5">
      <c r="A395" t="s">
        <v>1025</v>
      </c>
      <c r="B395" t="s">
        <v>1026</v>
      </c>
      <c r="C395">
        <v>1400</v>
      </c>
      <c r="D395">
        <f>SUMIFS(Horas!R:R,Horas!O:O,Tabla_Consulta_desde_Proyectos7[[#This Row],[Usunombre]])</f>
        <v>0</v>
      </c>
      <c r="E395" s="14">
        <f>Tabla_Consulta_desde_Proyectos7[[#This Row],[Horas]]*Tabla_Consulta_desde_Proyectos7[[#This Row],[PRYUcosto]]/8</f>
        <v>0</v>
      </c>
    </row>
    <row r="396" spans="1:5">
      <c r="A396" t="s">
        <v>1389</v>
      </c>
      <c r="B396" t="s">
        <v>1390</v>
      </c>
      <c r="C396">
        <v>600</v>
      </c>
      <c r="D396">
        <f>SUMIFS(Horas!R:R,Horas!O:O,Tabla_Consulta_desde_Proyectos7[[#This Row],[Usunombre]])</f>
        <v>0</v>
      </c>
      <c r="E396" s="14">
        <f>Tabla_Consulta_desde_Proyectos7[[#This Row],[Horas]]*Tabla_Consulta_desde_Proyectos7[[#This Row],[PRYUcosto]]/8</f>
        <v>0</v>
      </c>
    </row>
    <row r="397" spans="1:5">
      <c r="A397" t="s">
        <v>1190</v>
      </c>
      <c r="B397" t="s">
        <v>1191</v>
      </c>
      <c r="C397">
        <v>800</v>
      </c>
      <c r="D397">
        <f>SUMIFS(Horas!R:R,Horas!O:O,Tabla_Consulta_desde_Proyectos7[[#This Row],[Usunombre]])</f>
        <v>0</v>
      </c>
      <c r="E397" s="14">
        <f>Tabla_Consulta_desde_Proyectos7[[#This Row],[Horas]]*Tabla_Consulta_desde_Proyectos7[[#This Row],[PRYUcosto]]/8</f>
        <v>0</v>
      </c>
    </row>
    <row r="398" spans="1:5">
      <c r="A398" t="s">
        <v>1485</v>
      </c>
      <c r="B398" t="s">
        <v>1486</v>
      </c>
      <c r="D398">
        <f>SUMIFS(Horas!R:R,Horas!O:O,Tabla_Consulta_desde_Proyectos7[[#This Row],[Usunombre]])</f>
        <v>0</v>
      </c>
      <c r="E398" s="14">
        <f>Tabla_Consulta_desde_Proyectos7[[#This Row],[Horas]]*Tabla_Consulta_desde_Proyectos7[[#This Row],[PRYUcosto]]/8</f>
        <v>0</v>
      </c>
    </row>
    <row r="399" spans="1:5">
      <c r="A399" t="s">
        <v>6133</v>
      </c>
      <c r="B399" t="s">
        <v>6134</v>
      </c>
      <c r="C399">
        <v>1200</v>
      </c>
      <c r="D399">
        <f>SUMIFS(Horas!R:R,Horas!O:O,Tabla_Consulta_desde_Proyectos7[[#This Row],[Usunombre]])</f>
        <v>0</v>
      </c>
      <c r="E399" s="14">
        <f>Tabla_Consulta_desde_Proyectos7[[#This Row],[Horas]]*Tabla_Consulta_desde_Proyectos7[[#This Row],[PRYUcosto]]/8</f>
        <v>0</v>
      </c>
    </row>
    <row r="400" spans="1:5">
      <c r="A400" t="s">
        <v>6969</v>
      </c>
      <c r="B400" t="s">
        <v>6970</v>
      </c>
      <c r="C400">
        <v>600</v>
      </c>
      <c r="D400">
        <f>SUMIFS(Horas!R:R,Horas!O:O,Tabla_Consulta_desde_Proyectos7[[#This Row],[Usunombre]])</f>
        <v>0</v>
      </c>
      <c r="E400" s="14">
        <f>Tabla_Consulta_desde_Proyectos7[[#This Row],[Horas]]*Tabla_Consulta_desde_Proyectos7[[#This Row],[PRYUcosto]]/8</f>
        <v>0</v>
      </c>
    </row>
    <row r="401" spans="1:5">
      <c r="A401" t="s">
        <v>5720</v>
      </c>
      <c r="B401" t="s">
        <v>5721</v>
      </c>
      <c r="C401">
        <v>1200</v>
      </c>
      <c r="D401">
        <f>SUMIFS(Horas!R:R,Horas!O:O,Tabla_Consulta_desde_Proyectos7[[#This Row],[Usunombre]])</f>
        <v>0</v>
      </c>
      <c r="E401" s="14">
        <f>Tabla_Consulta_desde_Proyectos7[[#This Row],[Horas]]*Tabla_Consulta_desde_Proyectos7[[#This Row],[PRYUcosto]]/8</f>
        <v>0</v>
      </c>
    </row>
    <row r="402" spans="1:5">
      <c r="A402" t="s">
        <v>1049</v>
      </c>
      <c r="B402" t="s">
        <v>1050</v>
      </c>
      <c r="D402">
        <f>SUMIFS(Horas!R:R,Horas!O:O,Tabla_Consulta_desde_Proyectos7[[#This Row],[Usunombre]])</f>
        <v>0</v>
      </c>
      <c r="E402" s="14">
        <f>Tabla_Consulta_desde_Proyectos7[[#This Row],[Horas]]*Tabla_Consulta_desde_Proyectos7[[#This Row],[PRYUcosto]]/8</f>
        <v>0</v>
      </c>
    </row>
    <row r="403" spans="1:5">
      <c r="A403" t="s">
        <v>1608</v>
      </c>
      <c r="B403" t="s">
        <v>1609</v>
      </c>
      <c r="D403">
        <f>SUMIFS(Horas!R:R,Horas!O:O,Tabla_Consulta_desde_Proyectos7[[#This Row],[Usunombre]])</f>
        <v>0</v>
      </c>
      <c r="E403" s="14">
        <f>Tabla_Consulta_desde_Proyectos7[[#This Row],[Horas]]*Tabla_Consulta_desde_Proyectos7[[#This Row],[PRYUcosto]]/8</f>
        <v>0</v>
      </c>
    </row>
    <row r="404" spans="1:5">
      <c r="A404" t="s">
        <v>1419</v>
      </c>
      <c r="B404" t="s">
        <v>1420</v>
      </c>
      <c r="D404">
        <f>SUMIFS(Horas!R:R,Horas!O:O,Tabla_Consulta_desde_Proyectos7[[#This Row],[Usunombre]])</f>
        <v>0</v>
      </c>
      <c r="E404" s="14">
        <f>Tabla_Consulta_desde_Proyectos7[[#This Row],[Horas]]*Tabla_Consulta_desde_Proyectos7[[#This Row],[PRYUcosto]]/8</f>
        <v>0</v>
      </c>
    </row>
    <row r="405" spans="1:5">
      <c r="A405" t="s">
        <v>1836</v>
      </c>
      <c r="B405" t="s">
        <v>1837</v>
      </c>
      <c r="D405">
        <f>SUMIFS(Horas!R:R,Horas!O:O,Tabla_Consulta_desde_Proyectos7[[#This Row],[Usunombre]])</f>
        <v>0</v>
      </c>
      <c r="E405" s="14">
        <f>Tabla_Consulta_desde_Proyectos7[[#This Row],[Horas]]*Tabla_Consulta_desde_Proyectos7[[#This Row],[PRYUcosto]]/8</f>
        <v>0</v>
      </c>
    </row>
    <row r="406" spans="1:5">
      <c r="A406" t="s">
        <v>4730</v>
      </c>
      <c r="B406" t="s">
        <v>4731</v>
      </c>
      <c r="D406">
        <f>SUMIFS(Horas!R:R,Horas!O:O,Tabla_Consulta_desde_Proyectos7[[#This Row],[Usunombre]])</f>
        <v>0</v>
      </c>
      <c r="E406" s="14">
        <f>Tabla_Consulta_desde_Proyectos7[[#This Row],[Horas]]*Tabla_Consulta_desde_Proyectos7[[#This Row],[PRYUcosto]]/8</f>
        <v>0</v>
      </c>
    </row>
    <row r="407" spans="1:5">
      <c r="A407" t="s">
        <v>7531</v>
      </c>
      <c r="B407" t="s">
        <v>7532</v>
      </c>
      <c r="D407">
        <f>SUMIFS(Horas!R:R,Horas!O:O,Tabla_Consulta_desde_Proyectos7[[#This Row],[Usunombre]])</f>
        <v>0</v>
      </c>
      <c r="E407" s="14">
        <f>Tabla_Consulta_desde_Proyectos7[[#This Row],[Horas]]*Tabla_Consulta_desde_Proyectos7[[#This Row],[PRYUcosto]]/8</f>
        <v>0</v>
      </c>
    </row>
    <row r="408" spans="1:5">
      <c r="A408" t="s">
        <v>1612</v>
      </c>
      <c r="B408" t="s">
        <v>1613</v>
      </c>
      <c r="C408">
        <v>600</v>
      </c>
      <c r="D408">
        <f>SUMIFS(Horas!R:R,Horas!O:O,Tabla_Consulta_desde_Proyectos7[[#This Row],[Usunombre]])</f>
        <v>0</v>
      </c>
      <c r="E408" s="14">
        <f>Tabla_Consulta_desde_Proyectos7[[#This Row],[Horas]]*Tabla_Consulta_desde_Proyectos7[[#This Row],[PRYUcosto]]/8</f>
        <v>0</v>
      </c>
    </row>
    <row r="409" spans="1:5">
      <c r="A409" t="s">
        <v>1854</v>
      </c>
      <c r="B409" t="s">
        <v>1855</v>
      </c>
      <c r="C409">
        <v>200</v>
      </c>
      <c r="D409">
        <f>SUMIFS(Horas!R:R,Horas!O:O,Tabla_Consulta_desde_Proyectos7[[#This Row],[Usunombre]])</f>
        <v>0</v>
      </c>
      <c r="E409" s="14">
        <f>Tabla_Consulta_desde_Proyectos7[[#This Row],[Horas]]*Tabla_Consulta_desde_Proyectos7[[#This Row],[PRYUcosto]]/8</f>
        <v>0</v>
      </c>
    </row>
    <row r="410" spans="1:5">
      <c r="A410" t="s">
        <v>961</v>
      </c>
      <c r="B410" t="s">
        <v>962</v>
      </c>
      <c r="C410">
        <v>750</v>
      </c>
      <c r="D410">
        <f>SUMIFS(Horas!R:R,Horas!O:O,Tabla_Consulta_desde_Proyectos7[[#This Row],[Usunombre]])</f>
        <v>0</v>
      </c>
      <c r="E410" s="14">
        <f>Tabla_Consulta_desde_Proyectos7[[#This Row],[Horas]]*Tabla_Consulta_desde_Proyectos7[[#This Row],[PRYUcosto]]/8</f>
        <v>0</v>
      </c>
    </row>
    <row r="411" spans="1:5">
      <c r="A411" t="s">
        <v>1433</v>
      </c>
      <c r="B411" t="s">
        <v>1434</v>
      </c>
      <c r="D411">
        <f>SUMIFS(Horas!R:R,Horas!O:O,Tabla_Consulta_desde_Proyectos7[[#This Row],[Usunombre]])</f>
        <v>0</v>
      </c>
      <c r="E411" s="14">
        <f>Tabla_Consulta_desde_Proyectos7[[#This Row],[Horas]]*Tabla_Consulta_desde_Proyectos7[[#This Row],[PRYUcosto]]/8</f>
        <v>0</v>
      </c>
    </row>
    <row r="412" spans="1:5">
      <c r="A412" t="s">
        <v>975</v>
      </c>
      <c r="B412" t="s">
        <v>976</v>
      </c>
      <c r="C412">
        <v>750</v>
      </c>
      <c r="D412">
        <f>SUMIFS(Horas!R:R,Horas!O:O,Tabla_Consulta_desde_Proyectos7[[#This Row],[Usunombre]])</f>
        <v>0</v>
      </c>
      <c r="E412" s="14">
        <f>Tabla_Consulta_desde_Proyectos7[[#This Row],[Horas]]*Tabla_Consulta_desde_Proyectos7[[#This Row],[PRYUcosto]]/8</f>
        <v>0</v>
      </c>
    </row>
    <row r="413" spans="1:5">
      <c r="A413" t="s">
        <v>7516</v>
      </c>
      <c r="B413" t="s">
        <v>7517</v>
      </c>
      <c r="D413">
        <f>SUMIFS(Horas!R:R,Horas!O:O,Tabla_Consulta_desde_Proyectos7[[#This Row],[Usunombre]])</f>
        <v>0</v>
      </c>
      <c r="E413" s="14">
        <f>Tabla_Consulta_desde_Proyectos7[[#This Row],[Horas]]*Tabla_Consulta_desde_Proyectos7[[#This Row],[PRYUcosto]]/8</f>
        <v>0</v>
      </c>
    </row>
    <row r="414" spans="1:5">
      <c r="A414" t="s">
        <v>5274</v>
      </c>
      <c r="B414" t="s">
        <v>5275</v>
      </c>
      <c r="D414">
        <f>SUMIFS(Horas!R:R,Horas!O:O,Tabla_Consulta_desde_Proyectos7[[#This Row],[Usunombre]])</f>
        <v>0</v>
      </c>
      <c r="E414" s="14">
        <f>Tabla_Consulta_desde_Proyectos7[[#This Row],[Horas]]*Tabla_Consulta_desde_Proyectos7[[#This Row],[PRYUcosto]]/8</f>
        <v>0</v>
      </c>
    </row>
    <row r="415" spans="1:5">
      <c r="A415" t="s">
        <v>6675</v>
      </c>
      <c r="B415" t="s">
        <v>6676</v>
      </c>
      <c r="D415">
        <f>SUMIFS(Horas!R:R,Horas!O:O,Tabla_Consulta_desde_Proyectos7[[#This Row],[Usunombre]])</f>
        <v>0</v>
      </c>
      <c r="E415" s="14">
        <f>Tabla_Consulta_desde_Proyectos7[[#This Row],[Horas]]*Tabla_Consulta_desde_Proyectos7[[#This Row],[PRYUcosto]]/8</f>
        <v>0</v>
      </c>
    </row>
    <row r="416" spans="1:5">
      <c r="A416" t="s">
        <v>1946</v>
      </c>
      <c r="B416" t="s">
        <v>1947</v>
      </c>
      <c r="D416">
        <f>SUMIFS(Horas!R:R,Horas!O:O,Tabla_Consulta_desde_Proyectos7[[#This Row],[Usunombre]])</f>
        <v>0</v>
      </c>
      <c r="E416" s="14">
        <f>Tabla_Consulta_desde_Proyectos7[[#This Row],[Horas]]*Tabla_Consulta_desde_Proyectos7[[#This Row],[PRYUcosto]]/8</f>
        <v>0</v>
      </c>
    </row>
    <row r="417" spans="1:5">
      <c r="A417" t="s">
        <v>1005</v>
      </c>
      <c r="B417" t="s">
        <v>1006</v>
      </c>
      <c r="C417">
        <v>600</v>
      </c>
      <c r="D417">
        <f>SUMIFS(Horas!R:R,Horas!O:O,Tabla_Consulta_desde_Proyectos7[[#This Row],[Usunombre]])</f>
        <v>0</v>
      </c>
      <c r="E417" s="14">
        <f>Tabla_Consulta_desde_Proyectos7[[#This Row],[Horas]]*Tabla_Consulta_desde_Proyectos7[[#This Row],[PRYUcosto]]/8</f>
        <v>0</v>
      </c>
    </row>
    <row r="418" spans="1:5">
      <c r="A418" t="s">
        <v>1673</v>
      </c>
      <c r="B418" t="s">
        <v>1674</v>
      </c>
      <c r="D418">
        <f>SUMIFS(Horas!R:R,Horas!O:O,Tabla_Consulta_desde_Proyectos7[[#This Row],[Usunombre]])</f>
        <v>0</v>
      </c>
      <c r="E418" s="14">
        <f>Tabla_Consulta_desde_Proyectos7[[#This Row],[Horas]]*Tabla_Consulta_desde_Proyectos7[[#This Row],[PRYUcosto]]/8</f>
        <v>0</v>
      </c>
    </row>
    <row r="419" spans="1:5">
      <c r="A419" t="s">
        <v>1212</v>
      </c>
      <c r="B419" t="s">
        <v>1213</v>
      </c>
      <c r="C419">
        <v>600</v>
      </c>
      <c r="D419">
        <f>SUMIFS(Horas!R:R,Horas!O:O,Tabla_Consulta_desde_Proyectos7[[#This Row],[Usunombre]])</f>
        <v>0</v>
      </c>
      <c r="E419" s="14">
        <f>Tabla_Consulta_desde_Proyectos7[[#This Row],[Horas]]*Tabla_Consulta_desde_Proyectos7[[#This Row],[PRYUcosto]]/8</f>
        <v>0</v>
      </c>
    </row>
    <row r="420" spans="1:5">
      <c r="A420" t="s">
        <v>6965</v>
      </c>
      <c r="B420" t="s">
        <v>6966</v>
      </c>
      <c r="C420">
        <v>600</v>
      </c>
      <c r="D420">
        <f>SUMIFS(Horas!R:R,Horas!O:O,Tabla_Consulta_desde_Proyectos7[[#This Row],[Usunombre]])</f>
        <v>0</v>
      </c>
      <c r="E420" s="14">
        <f>Tabla_Consulta_desde_Proyectos7[[#This Row],[Horas]]*Tabla_Consulta_desde_Proyectos7[[#This Row],[PRYUcosto]]/8</f>
        <v>0</v>
      </c>
    </row>
    <row r="421" spans="1:5">
      <c r="A421" t="s">
        <v>3865</v>
      </c>
      <c r="B421" t="s">
        <v>4096</v>
      </c>
      <c r="D421">
        <f>SUMIFS(Horas!R:R,Horas!O:O,Tabla_Consulta_desde_Proyectos7[[#This Row],[Usunombre]])</f>
        <v>0</v>
      </c>
      <c r="E421" s="14">
        <f>Tabla_Consulta_desde_Proyectos7[[#This Row],[Horas]]*Tabla_Consulta_desde_Proyectos7[[#This Row],[PRYUcosto]]/8</f>
        <v>0</v>
      </c>
    </row>
    <row r="422" spans="1:5">
      <c r="A422" t="s">
        <v>5455</v>
      </c>
      <c r="B422" t="s">
        <v>5456</v>
      </c>
      <c r="C422">
        <v>600</v>
      </c>
      <c r="D422">
        <f>SUMIFS(Horas!R:R,Horas!O:O,Tabla_Consulta_desde_Proyectos7[[#This Row],[Usunombre]])</f>
        <v>0</v>
      </c>
      <c r="E422" s="14">
        <f>Tabla_Consulta_desde_Proyectos7[[#This Row],[Horas]]*Tabla_Consulta_desde_Proyectos7[[#This Row],[PRYUcosto]]/8</f>
        <v>0</v>
      </c>
    </row>
    <row r="423" spans="1:5">
      <c r="A423" t="s">
        <v>1113</v>
      </c>
      <c r="B423" t="s">
        <v>1114</v>
      </c>
      <c r="C423">
        <v>1200</v>
      </c>
      <c r="D423">
        <f>SUMIFS(Horas!R:R,Horas!O:O,Tabla_Consulta_desde_Proyectos7[[#This Row],[Usunombre]])</f>
        <v>0</v>
      </c>
      <c r="E423" s="14">
        <f>Tabla_Consulta_desde_Proyectos7[[#This Row],[Horas]]*Tabla_Consulta_desde_Proyectos7[[#This Row],[PRYUcosto]]/8</f>
        <v>0</v>
      </c>
    </row>
    <row r="424" spans="1:5">
      <c r="A424" t="s">
        <v>5429</v>
      </c>
      <c r="B424" t="s">
        <v>5430</v>
      </c>
      <c r="C424">
        <v>600</v>
      </c>
      <c r="D424">
        <f>SUMIFS(Horas!R:R,Horas!O:O,Tabla_Consulta_desde_Proyectos7[[#This Row],[Usunombre]])</f>
        <v>0</v>
      </c>
      <c r="E424" s="14">
        <f>Tabla_Consulta_desde_Proyectos7[[#This Row],[Horas]]*Tabla_Consulta_desde_Proyectos7[[#This Row],[PRYUcosto]]/8</f>
        <v>0</v>
      </c>
    </row>
    <row r="425" spans="1:5">
      <c r="A425" t="s">
        <v>1850</v>
      </c>
      <c r="B425" t="s">
        <v>1851</v>
      </c>
      <c r="D425">
        <f>SUMIFS(Horas!R:R,Horas!O:O,Tabla_Consulta_desde_Proyectos7[[#This Row],[Usunombre]])</f>
        <v>0</v>
      </c>
      <c r="E425" s="14">
        <f>Tabla_Consulta_desde_Proyectos7[[#This Row],[Horas]]*Tabla_Consulta_desde_Proyectos7[[#This Row],[PRYUcosto]]/8</f>
        <v>0</v>
      </c>
    </row>
    <row r="426" spans="1:5">
      <c r="A426" t="s">
        <v>1621</v>
      </c>
      <c r="B426" t="s">
        <v>1622</v>
      </c>
      <c r="C426">
        <v>800</v>
      </c>
      <c r="D426">
        <f>SUMIFS(Horas!R:R,Horas!O:O,Tabla_Consulta_desde_Proyectos7[[#This Row],[Usunombre]])</f>
        <v>0</v>
      </c>
      <c r="E426" s="14">
        <f>Tabla_Consulta_desde_Proyectos7[[#This Row],[Horas]]*Tabla_Consulta_desde_Proyectos7[[#This Row],[PRYUcosto]]/8</f>
        <v>0</v>
      </c>
    </row>
    <row r="427" spans="1:5">
      <c r="A427" t="s">
        <v>1808</v>
      </c>
      <c r="B427" t="s">
        <v>1809</v>
      </c>
      <c r="D427">
        <f>SUMIFS(Horas!R:R,Horas!O:O,Tabla_Consulta_desde_Proyectos7[[#This Row],[Usunombre]])</f>
        <v>0</v>
      </c>
      <c r="E427" s="14">
        <f>Tabla_Consulta_desde_Proyectos7[[#This Row],[Horas]]*Tabla_Consulta_desde_Proyectos7[[#This Row],[PRYUcosto]]/8</f>
        <v>0</v>
      </c>
    </row>
    <row r="428" spans="1:5">
      <c r="A428" t="s">
        <v>6641</v>
      </c>
      <c r="B428" t="s">
        <v>6642</v>
      </c>
      <c r="D428">
        <f>SUMIFS(Horas!R:R,Horas!O:O,Tabla_Consulta_desde_Proyectos7[[#This Row],[Usunombre]])</f>
        <v>0</v>
      </c>
      <c r="E428" s="14">
        <f>Tabla_Consulta_desde_Proyectos7[[#This Row],[Horas]]*Tabla_Consulta_desde_Proyectos7[[#This Row],[PRYUcosto]]/8</f>
        <v>0</v>
      </c>
    </row>
    <row r="429" spans="1:5">
      <c r="A429" t="s">
        <v>1499</v>
      </c>
      <c r="B429" t="s">
        <v>1500</v>
      </c>
      <c r="C429">
        <v>600</v>
      </c>
      <c r="D429">
        <f>SUMIFS(Horas!R:R,Horas!O:O,Tabla_Consulta_desde_Proyectos7[[#This Row],[Usunombre]])</f>
        <v>0</v>
      </c>
      <c r="E429" s="14">
        <f>Tabla_Consulta_desde_Proyectos7[[#This Row],[Horas]]*Tabla_Consulta_desde_Proyectos7[[#This Row],[PRYUcosto]]/8</f>
        <v>0</v>
      </c>
    </row>
    <row r="430" spans="1:5">
      <c r="A430" t="s">
        <v>6190</v>
      </c>
      <c r="B430" t="s">
        <v>6191</v>
      </c>
      <c r="D430">
        <f>SUMIFS(Horas!R:R,Horas!O:O,Tabla_Consulta_desde_Proyectos7[[#This Row],[Usunombre]])</f>
        <v>0</v>
      </c>
      <c r="E430" s="14">
        <f>Tabla_Consulta_desde_Proyectos7[[#This Row],[Horas]]*Tabla_Consulta_desde_Proyectos7[[#This Row],[PRYUcosto]]/8</f>
        <v>0</v>
      </c>
    </row>
    <row r="431" spans="1:5">
      <c r="A431" t="s">
        <v>4714</v>
      </c>
      <c r="B431" t="s">
        <v>4715</v>
      </c>
      <c r="D431">
        <f>SUMIFS(Horas!R:R,Horas!O:O,Tabla_Consulta_desde_Proyectos7[[#This Row],[Usunombre]])</f>
        <v>0</v>
      </c>
      <c r="E431" s="14">
        <f>Tabla_Consulta_desde_Proyectos7[[#This Row],[Horas]]*Tabla_Consulta_desde_Proyectos7[[#This Row],[PRYUcosto]]/8</f>
        <v>0</v>
      </c>
    </row>
    <row r="432" spans="1:5">
      <c r="A432" t="s">
        <v>2011</v>
      </c>
      <c r="B432" t="s">
        <v>2012</v>
      </c>
      <c r="D432">
        <f>SUMIFS(Horas!R:R,Horas!O:O,Tabla_Consulta_desde_Proyectos7[[#This Row],[Usunombre]])</f>
        <v>0</v>
      </c>
      <c r="E432" s="14">
        <f>Tabla_Consulta_desde_Proyectos7[[#This Row],[Horas]]*Tabla_Consulta_desde_Proyectos7[[#This Row],[PRYUcosto]]/8</f>
        <v>0</v>
      </c>
    </row>
    <row r="433" spans="1:5">
      <c r="A433" t="s">
        <v>5236</v>
      </c>
      <c r="B433" t="s">
        <v>5237</v>
      </c>
      <c r="C433">
        <v>1200</v>
      </c>
      <c r="D433">
        <f>SUMIFS(Horas!R:R,Horas!O:O,Tabla_Consulta_desde_Proyectos7[[#This Row],[Usunombre]])</f>
        <v>0</v>
      </c>
      <c r="E433" s="14">
        <f>Tabla_Consulta_desde_Proyectos7[[#This Row],[Horas]]*Tabla_Consulta_desde_Proyectos7[[#This Row],[PRYUcosto]]/8</f>
        <v>0</v>
      </c>
    </row>
    <row r="434" spans="1:5">
      <c r="A434" t="s">
        <v>1677</v>
      </c>
      <c r="B434" t="s">
        <v>1678</v>
      </c>
      <c r="D434">
        <f>SUMIFS(Horas!R:R,Horas!O:O,Tabla_Consulta_desde_Proyectos7[[#This Row],[Usunombre]])</f>
        <v>0</v>
      </c>
      <c r="E434" s="14">
        <f>Tabla_Consulta_desde_Proyectos7[[#This Row],[Horas]]*Tabla_Consulta_desde_Proyectos7[[#This Row],[PRYUcosto]]/8</f>
        <v>0</v>
      </c>
    </row>
    <row r="435" spans="1:5">
      <c r="A435" t="s">
        <v>5293</v>
      </c>
      <c r="B435" t="s">
        <v>5294</v>
      </c>
      <c r="C435">
        <v>600</v>
      </c>
      <c r="D435">
        <f>SUMIFS(Horas!R:R,Horas!O:O,Tabla_Consulta_desde_Proyectos7[[#This Row],[Usunombre]])</f>
        <v>0</v>
      </c>
      <c r="E435" s="14">
        <f>Tabla_Consulta_desde_Proyectos7[[#This Row],[Horas]]*Tabla_Consulta_desde_Proyectos7[[#This Row],[PRYUcosto]]/8</f>
        <v>0</v>
      </c>
    </row>
    <row r="436" spans="1:5">
      <c r="A436" t="s">
        <v>1210</v>
      </c>
      <c r="B436" t="s">
        <v>1211</v>
      </c>
      <c r="C436">
        <v>750</v>
      </c>
      <c r="D436">
        <f>SUMIFS(Horas!R:R,Horas!O:O,Tabla_Consulta_desde_Proyectos7[[#This Row],[Usunombre]])</f>
        <v>0</v>
      </c>
      <c r="E436" s="14">
        <f>Tabla_Consulta_desde_Proyectos7[[#This Row],[Horas]]*Tabla_Consulta_desde_Proyectos7[[#This Row],[PRYUcosto]]/8</f>
        <v>0</v>
      </c>
    </row>
    <row r="437" spans="1:5">
      <c r="A437" t="s">
        <v>6125</v>
      </c>
      <c r="B437" t="s">
        <v>6126</v>
      </c>
      <c r="D437">
        <f>SUMIFS(Horas!R:R,Horas!O:O,Tabla_Consulta_desde_Proyectos7[[#This Row],[Usunombre]])</f>
        <v>0</v>
      </c>
      <c r="E437" s="14">
        <f>Tabla_Consulta_desde_Proyectos7[[#This Row],[Horas]]*Tabla_Consulta_desde_Proyectos7[[#This Row],[PRYUcosto]]/8</f>
        <v>0</v>
      </c>
    </row>
    <row r="438" spans="1:5">
      <c r="A438" t="s">
        <v>1604</v>
      </c>
      <c r="B438" t="s">
        <v>1605</v>
      </c>
      <c r="D438">
        <f>SUMIFS(Horas!R:R,Horas!O:O,Tabla_Consulta_desde_Proyectos7[[#This Row],[Usunombre]])</f>
        <v>0</v>
      </c>
      <c r="E438" s="14">
        <f>Tabla_Consulta_desde_Proyectos7[[#This Row],[Horas]]*Tabla_Consulta_desde_Proyectos7[[#This Row],[PRYUcosto]]/8</f>
        <v>0</v>
      </c>
    </row>
    <row r="439" spans="1:5">
      <c r="A439" t="s">
        <v>1895</v>
      </c>
      <c r="B439" t="s">
        <v>1896</v>
      </c>
      <c r="D439">
        <f>SUMIFS(Horas!R:R,Horas!O:O,Tabla_Consulta_desde_Proyectos7[[#This Row],[Usunombre]])</f>
        <v>0</v>
      </c>
      <c r="E439" s="14">
        <f>Tabla_Consulta_desde_Proyectos7[[#This Row],[Horas]]*Tabla_Consulta_desde_Proyectos7[[#This Row],[PRYUcosto]]/8</f>
        <v>0</v>
      </c>
    </row>
    <row r="440" spans="1:5">
      <c r="A440" t="s">
        <v>4946</v>
      </c>
      <c r="B440" t="s">
        <v>4947</v>
      </c>
      <c r="D440">
        <f>SUMIFS(Horas!R:R,Horas!O:O,Tabla_Consulta_desde_Proyectos7[[#This Row],[Usunombre]])</f>
        <v>0</v>
      </c>
      <c r="E440" s="14">
        <f>Tabla_Consulta_desde_Proyectos7[[#This Row],[Horas]]*Tabla_Consulta_desde_Proyectos7[[#This Row],[PRYUcosto]]/8</f>
        <v>0</v>
      </c>
    </row>
    <row r="441" spans="1:5">
      <c r="A441" t="s">
        <v>4724</v>
      </c>
      <c r="B441" t="s">
        <v>4725</v>
      </c>
      <c r="D441">
        <f>SUMIFS(Horas!R:R,Horas!O:O,Tabla_Consulta_desde_Proyectos7[[#This Row],[Usunombre]])</f>
        <v>0</v>
      </c>
      <c r="E441" s="14">
        <f>Tabla_Consulta_desde_Proyectos7[[#This Row],[Horas]]*Tabla_Consulta_desde_Proyectos7[[#This Row],[PRYUcosto]]/8</f>
        <v>0</v>
      </c>
    </row>
    <row r="442" spans="1:5">
      <c r="A442" t="s">
        <v>4738</v>
      </c>
      <c r="B442" t="s">
        <v>4739</v>
      </c>
      <c r="D442">
        <f>SUMIFS(Horas!R:R,Horas!O:O,Tabla_Consulta_desde_Proyectos7[[#This Row],[Usunombre]])</f>
        <v>0</v>
      </c>
      <c r="E442" s="14">
        <f>Tabla_Consulta_desde_Proyectos7[[#This Row],[Horas]]*Tabla_Consulta_desde_Proyectos7[[#This Row],[PRYUcosto]]/8</f>
        <v>0</v>
      </c>
    </row>
    <row r="443" spans="1:5">
      <c r="A443" t="s">
        <v>6663</v>
      </c>
      <c r="B443" t="s">
        <v>6664</v>
      </c>
      <c r="D443">
        <f>SUMIFS(Horas!R:R,Horas!O:O,Tabla_Consulta_desde_Proyectos7[[#This Row],[Usunombre]])</f>
        <v>0</v>
      </c>
      <c r="E443" s="14">
        <f>Tabla_Consulta_desde_Proyectos7[[#This Row],[Horas]]*Tabla_Consulta_desde_Proyectos7[[#This Row],[PRYUcosto]]/8</f>
        <v>0</v>
      </c>
    </row>
    <row r="444" spans="1:5">
      <c r="A444" t="s">
        <v>5006</v>
      </c>
      <c r="B444" t="s">
        <v>5007</v>
      </c>
      <c r="D444">
        <f>SUMIFS(Horas!R:R,Horas!O:O,Tabla_Consulta_desde_Proyectos7[[#This Row],[Usunombre]])</f>
        <v>0</v>
      </c>
      <c r="E444" s="14">
        <f>Tabla_Consulta_desde_Proyectos7[[#This Row],[Horas]]*Tabla_Consulta_desde_Proyectos7[[#This Row],[PRYUcosto]]/8</f>
        <v>0</v>
      </c>
    </row>
    <row r="445" spans="1:5">
      <c r="A445" t="s">
        <v>1981</v>
      </c>
      <c r="B445" t="s">
        <v>1982</v>
      </c>
      <c r="C445">
        <v>600</v>
      </c>
      <c r="D445">
        <f>SUMIFS(Horas!R:R,Horas!O:O,Tabla_Consulta_desde_Proyectos7[[#This Row],[Usunombre]])</f>
        <v>0</v>
      </c>
      <c r="E445" s="14">
        <f>Tabla_Consulta_desde_Proyectos7[[#This Row],[Horas]]*Tabla_Consulta_desde_Proyectos7[[#This Row],[PRYUcosto]]/8</f>
        <v>0</v>
      </c>
    </row>
    <row r="446" spans="1:5">
      <c r="A446" t="s">
        <v>911</v>
      </c>
      <c r="B446" t="s">
        <v>912</v>
      </c>
      <c r="C446">
        <v>800</v>
      </c>
      <c r="D446">
        <f>SUMIFS(Horas!R:R,Horas!O:O,Tabla_Consulta_desde_Proyectos7[[#This Row],[Usunombre]])</f>
        <v>0</v>
      </c>
      <c r="E446" s="14">
        <f>Tabla_Consulta_desde_Proyectos7[[#This Row],[Horas]]*Tabla_Consulta_desde_Proyectos7[[#This Row],[PRYUcosto]]/8</f>
        <v>0</v>
      </c>
    </row>
    <row r="447" spans="1:5">
      <c r="A447" t="s">
        <v>6171</v>
      </c>
      <c r="B447" t="s">
        <v>6172</v>
      </c>
      <c r="D447">
        <f>SUMIFS(Horas!R:R,Horas!O:O,Tabla_Consulta_desde_Proyectos7[[#This Row],[Usunombre]])</f>
        <v>0</v>
      </c>
      <c r="E447" s="14">
        <f>Tabla_Consulta_desde_Proyectos7[[#This Row],[Horas]]*Tabla_Consulta_desde_Proyectos7[[#This Row],[PRYUcosto]]/8</f>
        <v>0</v>
      </c>
    </row>
    <row r="448" spans="1:5">
      <c r="A448" t="s">
        <v>6196</v>
      </c>
      <c r="B448" t="s">
        <v>6197</v>
      </c>
      <c r="D448">
        <f>SUMIFS(Horas!R:R,Horas!O:O,Tabla_Consulta_desde_Proyectos7[[#This Row],[Usunombre]])</f>
        <v>0</v>
      </c>
      <c r="E448" s="14">
        <f>Tabla_Consulta_desde_Proyectos7[[#This Row],[Horas]]*Tabla_Consulta_desde_Proyectos7[[#This Row],[PRYUcosto]]/8</f>
        <v>0</v>
      </c>
    </row>
    <row r="449" spans="1:5">
      <c r="A449" t="s">
        <v>6188</v>
      </c>
      <c r="B449" t="s">
        <v>6189</v>
      </c>
      <c r="D449">
        <f>SUMIFS(Horas!R:R,Horas!O:O,Tabla_Consulta_desde_Proyectos7[[#This Row],[Usunombre]])</f>
        <v>0</v>
      </c>
      <c r="E449" s="14">
        <f>Tabla_Consulta_desde_Proyectos7[[#This Row],[Horas]]*Tabla_Consulta_desde_Proyectos7[[#This Row],[PRYUcosto]]/8</f>
        <v>0</v>
      </c>
    </row>
    <row r="450" spans="1:5">
      <c r="A450" t="s">
        <v>1003</v>
      </c>
      <c r="B450" t="s">
        <v>1004</v>
      </c>
      <c r="C450">
        <v>600</v>
      </c>
      <c r="D450">
        <f>SUMIFS(Horas!R:R,Horas!O:O,Tabla_Consulta_desde_Proyectos7[[#This Row],[Usunombre]])</f>
        <v>0</v>
      </c>
      <c r="E450" s="14">
        <f>Tabla_Consulta_desde_Proyectos7[[#This Row],[Horas]]*Tabla_Consulta_desde_Proyectos7[[#This Row],[PRYUcosto]]/8</f>
        <v>0</v>
      </c>
    </row>
    <row r="451" spans="1:5">
      <c r="A451" t="s">
        <v>5730</v>
      </c>
      <c r="B451" t="s">
        <v>5731</v>
      </c>
      <c r="C451">
        <v>1200</v>
      </c>
      <c r="D451">
        <f>SUMIFS(Horas!R:R,Horas!O:O,Tabla_Consulta_desde_Proyectos7[[#This Row],[Usunombre]])</f>
        <v>0</v>
      </c>
      <c r="E451" s="14">
        <f>Tabla_Consulta_desde_Proyectos7[[#This Row],[Horas]]*Tabla_Consulta_desde_Proyectos7[[#This Row],[PRYUcosto]]/8</f>
        <v>0</v>
      </c>
    </row>
    <row r="452" spans="1:5">
      <c r="A452" t="s">
        <v>1524</v>
      </c>
      <c r="B452" t="s">
        <v>1525</v>
      </c>
      <c r="C452">
        <v>600</v>
      </c>
      <c r="D452">
        <f>SUMIFS(Horas!R:R,Horas!O:O,Tabla_Consulta_desde_Proyectos7[[#This Row],[Usunombre]])</f>
        <v>0</v>
      </c>
      <c r="E452" s="14">
        <f>Tabla_Consulta_desde_Proyectos7[[#This Row],[Horas]]*Tabla_Consulta_desde_Proyectos7[[#This Row],[PRYUcosto]]/8</f>
        <v>0</v>
      </c>
    </row>
    <row r="453" spans="1:5">
      <c r="A453" t="s">
        <v>1759</v>
      </c>
      <c r="B453" t="s">
        <v>1760</v>
      </c>
      <c r="D453">
        <f>SUMIFS(Horas!R:R,Horas!O:O,Tabla_Consulta_desde_Proyectos7[[#This Row],[Usunombre]])</f>
        <v>0</v>
      </c>
      <c r="E453" s="14">
        <f>Tabla_Consulta_desde_Proyectos7[[#This Row],[Horas]]*Tabla_Consulta_desde_Proyectos7[[#This Row],[PRYUcosto]]/8</f>
        <v>0</v>
      </c>
    </row>
    <row r="454" spans="1:5">
      <c r="A454" t="s">
        <v>1602</v>
      </c>
      <c r="B454" t="s">
        <v>1603</v>
      </c>
      <c r="D454">
        <f>SUMIFS(Horas!R:R,Horas!O:O,Tabla_Consulta_desde_Proyectos7[[#This Row],[Usunombre]])</f>
        <v>0</v>
      </c>
      <c r="E454" s="14">
        <f>Tabla_Consulta_desde_Proyectos7[[#This Row],[Horas]]*Tabla_Consulta_desde_Proyectos7[[#This Row],[PRYUcosto]]/8</f>
        <v>0</v>
      </c>
    </row>
    <row r="455" spans="1:5">
      <c r="A455" t="s">
        <v>1554</v>
      </c>
      <c r="B455" t="s">
        <v>1555</v>
      </c>
      <c r="D455">
        <f>SUMIFS(Horas!R:R,Horas!O:O,Tabla_Consulta_desde_Proyectos7[[#This Row],[Usunombre]])</f>
        <v>0</v>
      </c>
      <c r="E455" s="14">
        <f>Tabla_Consulta_desde_Proyectos7[[#This Row],[Horas]]*Tabla_Consulta_desde_Proyectos7[[#This Row],[PRYUcosto]]/8</f>
        <v>0</v>
      </c>
    </row>
    <row r="456" spans="1:5">
      <c r="A456" t="s">
        <v>5008</v>
      </c>
      <c r="B456" t="s">
        <v>5009</v>
      </c>
      <c r="D456">
        <f>SUMIFS(Horas!R:R,Horas!O:O,Tabla_Consulta_desde_Proyectos7[[#This Row],[Usunombre]])</f>
        <v>0</v>
      </c>
      <c r="E456" s="14">
        <f>Tabla_Consulta_desde_Proyectos7[[#This Row],[Horas]]*Tabla_Consulta_desde_Proyectos7[[#This Row],[PRYUcosto]]/8</f>
        <v>0</v>
      </c>
    </row>
    <row r="457" spans="1:5">
      <c r="A457" t="s">
        <v>1824</v>
      </c>
      <c r="B457" t="s">
        <v>1825</v>
      </c>
      <c r="D457">
        <f>SUMIFS(Horas!R:R,Horas!O:O,Tabla_Consulta_desde_Proyectos7[[#This Row],[Usunombre]])</f>
        <v>0</v>
      </c>
      <c r="E457" s="14">
        <f>Tabla_Consulta_desde_Proyectos7[[#This Row],[Horas]]*Tabla_Consulta_desde_Proyectos7[[#This Row],[PRYUcosto]]/8</f>
        <v>0</v>
      </c>
    </row>
    <row r="458" spans="1:5">
      <c r="A458" t="s">
        <v>5057</v>
      </c>
      <c r="B458" t="s">
        <v>5058</v>
      </c>
      <c r="D458">
        <f>SUMIFS(Horas!R:R,Horas!O:O,Tabla_Consulta_desde_Proyectos7[[#This Row],[Usunombre]])</f>
        <v>0</v>
      </c>
      <c r="E458" s="14">
        <f>Tabla_Consulta_desde_Proyectos7[[#This Row],[Horas]]*Tabla_Consulta_desde_Proyectos7[[#This Row],[PRYUcosto]]/8</f>
        <v>0</v>
      </c>
    </row>
    <row r="459" spans="1:5">
      <c r="A459" t="s">
        <v>5443</v>
      </c>
      <c r="B459" t="s">
        <v>5444</v>
      </c>
      <c r="C459">
        <v>1200</v>
      </c>
      <c r="D459">
        <f>SUMIFS(Horas!R:R,Horas!O:O,Tabla_Consulta_desde_Proyectos7[[#This Row],[Usunombre]])</f>
        <v>0</v>
      </c>
      <c r="E459" s="14">
        <f>Tabla_Consulta_desde_Proyectos7[[#This Row],[Horas]]*Tabla_Consulta_desde_Proyectos7[[#This Row],[PRYUcosto]]/8</f>
        <v>0</v>
      </c>
    </row>
    <row r="460" spans="1:5">
      <c r="A460" t="s">
        <v>1029</v>
      </c>
      <c r="B460" t="s">
        <v>1030</v>
      </c>
      <c r="C460">
        <v>750</v>
      </c>
      <c r="D460">
        <f>SUMIFS(Horas!R:R,Horas!O:O,Tabla_Consulta_desde_Proyectos7[[#This Row],[Usunombre]])</f>
        <v>0</v>
      </c>
      <c r="E460" s="14">
        <f>Tabla_Consulta_desde_Proyectos7[[#This Row],[Horas]]*Tabla_Consulta_desde_Proyectos7[[#This Row],[PRYUcosto]]/8</f>
        <v>0</v>
      </c>
    </row>
    <row r="461" spans="1:5">
      <c r="A461" t="s">
        <v>1930</v>
      </c>
      <c r="B461" t="s">
        <v>1931</v>
      </c>
      <c r="D461">
        <f>SUMIFS(Horas!R:R,Horas!O:O,Tabla_Consulta_desde_Proyectos7[[#This Row],[Usunombre]])</f>
        <v>0</v>
      </c>
      <c r="E461" s="14">
        <f>Tabla_Consulta_desde_Proyectos7[[#This Row],[Horas]]*Tabla_Consulta_desde_Proyectos7[[#This Row],[PRYUcosto]]/8</f>
        <v>0</v>
      </c>
    </row>
    <row r="462" spans="1:5">
      <c r="A462" t="s">
        <v>1641</v>
      </c>
      <c r="B462" t="s">
        <v>1642</v>
      </c>
      <c r="D462">
        <f>SUMIFS(Horas!R:R,Horas!O:O,Tabla_Consulta_desde_Proyectos7[[#This Row],[Usunombre]])</f>
        <v>0</v>
      </c>
      <c r="E462" s="14">
        <f>Tabla_Consulta_desde_Proyectos7[[#This Row],[Horas]]*Tabla_Consulta_desde_Proyectos7[[#This Row],[PRYUcosto]]/8</f>
        <v>0</v>
      </c>
    </row>
    <row r="463" spans="1:5">
      <c r="A463" t="s">
        <v>1755</v>
      </c>
      <c r="B463" t="s">
        <v>1756</v>
      </c>
      <c r="D463">
        <f>SUMIFS(Horas!R:R,Horas!O:O,Tabla_Consulta_desde_Proyectos7[[#This Row],[Usunombre]])</f>
        <v>0</v>
      </c>
      <c r="E463" s="14">
        <f>Tabla_Consulta_desde_Proyectos7[[#This Row],[Horas]]*Tabla_Consulta_desde_Proyectos7[[#This Row],[PRYUcosto]]/8</f>
        <v>0</v>
      </c>
    </row>
    <row r="464" spans="1:5">
      <c r="A464" t="s">
        <v>1123</v>
      </c>
      <c r="B464" t="s">
        <v>1124</v>
      </c>
      <c r="D464">
        <f>SUMIFS(Horas!R:R,Horas!O:O,Tabla_Consulta_desde_Proyectos7[[#This Row],[Usunombre]])</f>
        <v>0</v>
      </c>
      <c r="E464" s="14">
        <f>Tabla_Consulta_desde_Proyectos7[[#This Row],[Horas]]*Tabla_Consulta_desde_Proyectos7[[#This Row],[PRYUcosto]]/8</f>
        <v>0</v>
      </c>
    </row>
    <row r="465" spans="1:5">
      <c r="A465" t="s">
        <v>6169</v>
      </c>
      <c r="B465" t="s">
        <v>6170</v>
      </c>
      <c r="D465">
        <f>SUMIFS(Horas!R:R,Horas!O:O,Tabla_Consulta_desde_Proyectos7[[#This Row],[Usunombre]])</f>
        <v>0</v>
      </c>
      <c r="E465" s="14">
        <f>Tabla_Consulta_desde_Proyectos7[[#This Row],[Horas]]*Tabla_Consulta_desde_Proyectos7[[#This Row],[PRYUcosto]]/8</f>
        <v>0</v>
      </c>
    </row>
    <row r="466" spans="1:5">
      <c r="A466" t="s">
        <v>6693</v>
      </c>
      <c r="B466" t="s">
        <v>6694</v>
      </c>
      <c r="D466">
        <f>SUMIFS(Horas!R:R,Horas!O:O,Tabla_Consulta_desde_Proyectos7[[#This Row],[Usunombre]])</f>
        <v>0</v>
      </c>
      <c r="E466" s="14">
        <f>Tabla_Consulta_desde_Proyectos7[[#This Row],[Horas]]*Tabla_Consulta_desde_Proyectos7[[#This Row],[PRYUcosto]]/8</f>
        <v>0</v>
      </c>
    </row>
    <row r="467" spans="1:5">
      <c r="A467" t="s">
        <v>5451</v>
      </c>
      <c r="B467" t="s">
        <v>5452</v>
      </c>
      <c r="D467">
        <f>SUMIFS(Horas!R:R,Horas!O:O,Tabla_Consulta_desde_Proyectos7[[#This Row],[Usunombre]])</f>
        <v>0</v>
      </c>
      <c r="E467" s="14">
        <f>Tabla_Consulta_desde_Proyectos7[[#This Row],[Horas]]*Tabla_Consulta_desde_Proyectos7[[#This Row],[PRYUcosto]]/8</f>
        <v>0</v>
      </c>
    </row>
    <row r="468" spans="1:5">
      <c r="A468" t="s">
        <v>4100</v>
      </c>
      <c r="B468" t="s">
        <v>4101</v>
      </c>
      <c r="D468">
        <f>SUMIFS(Horas!R:R,Horas!O:O,Tabla_Consulta_desde_Proyectos7[[#This Row],[Usunombre]])</f>
        <v>0</v>
      </c>
      <c r="E468" s="14">
        <f>Tabla_Consulta_desde_Proyectos7[[#This Row],[Horas]]*Tabla_Consulta_desde_Proyectos7[[#This Row],[PRYUcosto]]/8</f>
        <v>0</v>
      </c>
    </row>
    <row r="469" spans="1:5">
      <c r="A469" t="s">
        <v>1635</v>
      </c>
      <c r="B469" t="s">
        <v>1636</v>
      </c>
      <c r="C469">
        <v>600</v>
      </c>
      <c r="D469">
        <f>SUMIFS(Horas!R:R,Horas!O:O,Tabla_Consulta_desde_Proyectos7[[#This Row],[Usunombre]])</f>
        <v>0</v>
      </c>
      <c r="E469" s="14">
        <f>Tabla_Consulta_desde_Proyectos7[[#This Row],[Horas]]*Tabla_Consulta_desde_Proyectos7[[#This Row],[PRYUcosto]]/8</f>
        <v>0</v>
      </c>
    </row>
    <row r="470" spans="1:5">
      <c r="A470" t="s">
        <v>6157</v>
      </c>
      <c r="B470" t="s">
        <v>6158</v>
      </c>
      <c r="D470">
        <f>SUMIFS(Horas!R:R,Horas!O:O,Tabla_Consulta_desde_Proyectos7[[#This Row],[Usunombre]])</f>
        <v>0</v>
      </c>
      <c r="E470" s="14">
        <f>Tabla_Consulta_desde_Proyectos7[[#This Row],[Horas]]*Tabla_Consulta_desde_Proyectos7[[#This Row],[PRYUcosto]]/8</f>
        <v>0</v>
      </c>
    </row>
    <row r="471" spans="1:5">
      <c r="A471" t="s">
        <v>1431</v>
      </c>
      <c r="B471" t="s">
        <v>1432</v>
      </c>
      <c r="D471">
        <f>SUMIFS(Horas!R:R,Horas!O:O,Tabla_Consulta_desde_Proyectos7[[#This Row],[Usunombre]])</f>
        <v>0</v>
      </c>
      <c r="E471" s="14">
        <f>Tabla_Consulta_desde_Proyectos7[[#This Row],[Horas]]*Tabla_Consulta_desde_Proyectos7[[#This Row],[PRYUcosto]]/8</f>
        <v>0</v>
      </c>
    </row>
    <row r="472" spans="1:5">
      <c r="A472" t="s">
        <v>5457</v>
      </c>
      <c r="B472" t="s">
        <v>5458</v>
      </c>
      <c r="C472">
        <v>1200</v>
      </c>
      <c r="D472">
        <f>SUMIFS(Horas!R:R,Horas!O:O,Tabla_Consulta_desde_Proyectos7[[#This Row],[Usunombre]])</f>
        <v>0</v>
      </c>
      <c r="E472" s="14">
        <f>Tabla_Consulta_desde_Proyectos7[[#This Row],[Horas]]*Tabla_Consulta_desde_Proyectos7[[#This Row],[PRYUcosto]]/8</f>
        <v>0</v>
      </c>
    </row>
    <row r="473" spans="1:5">
      <c r="A473" t="s">
        <v>1509</v>
      </c>
      <c r="B473" t="s">
        <v>1510</v>
      </c>
      <c r="C473">
        <v>750</v>
      </c>
      <c r="D473">
        <f>SUMIFS(Horas!R:R,Horas!O:O,Tabla_Consulta_desde_Proyectos7[[#This Row],[Usunombre]])</f>
        <v>0</v>
      </c>
      <c r="E473" s="14">
        <f>Tabla_Consulta_desde_Proyectos7[[#This Row],[Horas]]*Tabla_Consulta_desde_Proyectos7[[#This Row],[PRYUcosto]]/8</f>
        <v>0</v>
      </c>
    </row>
    <row r="474" spans="1:5">
      <c r="A474" t="s">
        <v>1521</v>
      </c>
      <c r="B474" t="s">
        <v>1522</v>
      </c>
      <c r="C474">
        <v>600</v>
      </c>
      <c r="D474">
        <f>SUMIFS(Horas!R:R,Horas!O:O,Tabla_Consulta_desde_Proyectos7[[#This Row],[Usunombre]])</f>
        <v>0</v>
      </c>
      <c r="E474" s="14">
        <f>Tabla_Consulta_desde_Proyectos7[[#This Row],[Horas]]*Tabla_Consulta_desde_Proyectos7[[#This Row],[PRYUcosto]]/8</f>
        <v>0</v>
      </c>
    </row>
    <row r="475" spans="1:5">
      <c r="A475" t="s">
        <v>6812</v>
      </c>
      <c r="B475" t="s">
        <v>6813</v>
      </c>
      <c r="D475">
        <f>SUMIFS(Horas!R:R,Horas!O:O,Tabla_Consulta_desde_Proyectos7[[#This Row],[Usunombre]])</f>
        <v>0</v>
      </c>
      <c r="E475" s="14">
        <f>Tabla_Consulta_desde_Proyectos7[[#This Row],[Horas]]*Tabla_Consulta_desde_Proyectos7[[#This Row],[PRYUcosto]]/8</f>
        <v>0</v>
      </c>
    </row>
    <row r="476" spans="1:5">
      <c r="A476" t="s">
        <v>7521</v>
      </c>
      <c r="B476" t="s">
        <v>7522</v>
      </c>
      <c r="D476">
        <f>SUMIFS(Horas!R:R,Horas!O:O,Tabla_Consulta_desde_Proyectos7[[#This Row],[Usunombre]])</f>
        <v>0</v>
      </c>
      <c r="E476" s="14">
        <f>Tabla_Consulta_desde_Proyectos7[[#This Row],[Horas]]*Tabla_Consulta_desde_Proyectos7[[#This Row],[PRYUcosto]]/8</f>
        <v>0</v>
      </c>
    </row>
    <row r="477" spans="1:5">
      <c r="A477" t="s">
        <v>1367</v>
      </c>
      <c r="B477" t="s">
        <v>1368</v>
      </c>
      <c r="D477">
        <f>SUMIFS(Horas!R:R,Horas!O:O,Tabla_Consulta_desde_Proyectos7[[#This Row],[Usunombre]])</f>
        <v>0</v>
      </c>
      <c r="E477" s="14">
        <f>Tabla_Consulta_desde_Proyectos7[[#This Row],[Horas]]*Tabla_Consulta_desde_Proyectos7[[#This Row],[PRYUcosto]]/8</f>
        <v>0</v>
      </c>
    </row>
    <row r="478" spans="1:5">
      <c r="A478" t="s">
        <v>1237</v>
      </c>
      <c r="B478" t="s">
        <v>1238</v>
      </c>
      <c r="D478">
        <f>SUMIFS(Horas!R:R,Horas!O:O,Tabla_Consulta_desde_Proyectos7[[#This Row],[Usunombre]])</f>
        <v>0</v>
      </c>
      <c r="E478" s="14">
        <f>Tabla_Consulta_desde_Proyectos7[[#This Row],[Horas]]*Tabla_Consulta_desde_Proyectos7[[#This Row],[PRYUcosto]]/8</f>
        <v>0</v>
      </c>
    </row>
    <row r="479" spans="1:5">
      <c r="A479" t="s">
        <v>1568</v>
      </c>
      <c r="B479" t="s">
        <v>1569</v>
      </c>
      <c r="D479">
        <f>SUMIFS(Horas!R:R,Horas!O:O,Tabla_Consulta_desde_Proyectos7[[#This Row],[Usunombre]])</f>
        <v>0</v>
      </c>
      <c r="E479" s="14">
        <f>Tabla_Consulta_desde_Proyectos7[[#This Row],[Horas]]*Tabla_Consulta_desde_Proyectos7[[#This Row],[PRYUcosto]]/8</f>
        <v>0</v>
      </c>
    </row>
    <row r="480" spans="1:5">
      <c r="A480" t="s">
        <v>956</v>
      </c>
      <c r="B480" t="s">
        <v>957</v>
      </c>
      <c r="C480">
        <v>600</v>
      </c>
      <c r="D480">
        <f>SUMIFS(Horas!R:R,Horas!O:O,Tabla_Consulta_desde_Proyectos7[[#This Row],[Usunombre]])</f>
        <v>0</v>
      </c>
      <c r="E480" s="14">
        <f>Tabla_Consulta_desde_Proyectos7[[#This Row],[Horas]]*Tabla_Consulta_desde_Proyectos7[[#This Row],[PRYUcosto]]/8</f>
        <v>0</v>
      </c>
    </row>
    <row r="481" spans="1:5">
      <c r="A481" t="s">
        <v>1202</v>
      </c>
      <c r="B481" t="s">
        <v>1203</v>
      </c>
      <c r="C481">
        <v>600</v>
      </c>
      <c r="D481">
        <f>SUMIFS(Horas!R:R,Horas!O:O,Tabla_Consulta_desde_Proyectos7[[#This Row],[Usunombre]])</f>
        <v>0</v>
      </c>
      <c r="E481" s="14">
        <f>Tabla_Consulta_desde_Proyectos7[[#This Row],[Horas]]*Tabla_Consulta_desde_Proyectos7[[#This Row],[PRYUcosto]]/8</f>
        <v>0</v>
      </c>
    </row>
    <row r="482" spans="1:5">
      <c r="A482" t="s">
        <v>1353</v>
      </c>
      <c r="B482" t="s">
        <v>1354</v>
      </c>
      <c r="D482">
        <f>SUMIFS(Horas!R:R,Horas!O:O,Tabla_Consulta_desde_Proyectos7[[#This Row],[Usunombre]])</f>
        <v>0</v>
      </c>
      <c r="E482" s="14">
        <f>Tabla_Consulta_desde_Proyectos7[[#This Row],[Horas]]*Tabla_Consulta_desde_Proyectos7[[#This Row],[PRYUcosto]]/8</f>
        <v>0</v>
      </c>
    </row>
    <row r="483" spans="1:5">
      <c r="A483" t="s">
        <v>1313</v>
      </c>
      <c r="B483" t="s">
        <v>1314</v>
      </c>
      <c r="D483">
        <f>SUMIFS(Horas!R:R,Horas!O:O,Tabla_Consulta_desde_Proyectos7[[#This Row],[Usunombre]])</f>
        <v>0</v>
      </c>
      <c r="E483" s="14">
        <f>Tabla_Consulta_desde_Proyectos7[[#This Row],[Horas]]*Tabla_Consulta_desde_Proyectos7[[#This Row],[PRYUcosto]]/8</f>
        <v>0</v>
      </c>
    </row>
    <row r="484" spans="1:5">
      <c r="A484" t="s">
        <v>1045</v>
      </c>
      <c r="B484" t="s">
        <v>1046</v>
      </c>
      <c r="C484">
        <v>600</v>
      </c>
      <c r="D484">
        <f>SUMIFS(Horas!R:R,Horas!O:O,Tabla_Consulta_desde_Proyectos7[[#This Row],[Usunombre]])</f>
        <v>0</v>
      </c>
      <c r="E484" s="14">
        <f>Tabla_Consulta_desde_Proyectos7[[#This Row],[Horas]]*Tabla_Consulta_desde_Proyectos7[[#This Row],[PRYUcosto]]/8</f>
        <v>0</v>
      </c>
    </row>
    <row r="485" spans="1:5">
      <c r="A485" t="s">
        <v>1552</v>
      </c>
      <c r="B485" t="s">
        <v>1553</v>
      </c>
      <c r="D485">
        <f>SUMIFS(Horas!R:R,Horas!O:O,Tabla_Consulta_desde_Proyectos7[[#This Row],[Usunombre]])</f>
        <v>0</v>
      </c>
      <c r="E485" s="14">
        <f>Tabla_Consulta_desde_Proyectos7[[#This Row],[Horas]]*Tabla_Consulta_desde_Proyectos7[[#This Row],[PRYUcosto]]/8</f>
        <v>0</v>
      </c>
    </row>
    <row r="486" spans="1:5">
      <c r="A486" t="s">
        <v>1126</v>
      </c>
      <c r="B486" t="s">
        <v>1127</v>
      </c>
      <c r="D486">
        <f>SUMIFS(Horas!R:R,Horas!O:O,Tabla_Consulta_desde_Proyectos7[[#This Row],[Usunombre]])</f>
        <v>0</v>
      </c>
      <c r="E486" s="14">
        <f>Tabla_Consulta_desde_Proyectos7[[#This Row],[Horas]]*Tabla_Consulta_desde_Proyectos7[[#This Row],[PRYUcosto]]/8</f>
        <v>0</v>
      </c>
    </row>
    <row r="487" spans="1:5">
      <c r="A487" t="s">
        <v>1848</v>
      </c>
      <c r="B487" t="s">
        <v>1849</v>
      </c>
      <c r="D487">
        <f>SUMIFS(Horas!R:R,Horas!O:O,Tabla_Consulta_desde_Proyectos7[[#This Row],[Usunombre]])</f>
        <v>0</v>
      </c>
      <c r="E487" s="14">
        <f>Tabla_Consulta_desde_Proyectos7[[#This Row],[Horas]]*Tabla_Consulta_desde_Proyectos7[[#This Row],[PRYUcosto]]/8</f>
        <v>0</v>
      </c>
    </row>
    <row r="488" spans="1:5">
      <c r="A488" t="s">
        <v>991</v>
      </c>
      <c r="B488" t="s">
        <v>992</v>
      </c>
      <c r="D488">
        <f>SUMIFS(Horas!R:R,Horas!O:O,Tabla_Consulta_desde_Proyectos7[[#This Row],[Usunombre]])</f>
        <v>0</v>
      </c>
      <c r="E488" s="14">
        <f>Tabla_Consulta_desde_Proyectos7[[#This Row],[Horas]]*Tabla_Consulta_desde_Proyectos7[[#This Row],[PRYUcosto]]/8</f>
        <v>0</v>
      </c>
    </row>
    <row r="489" spans="1:5">
      <c r="A489" t="s">
        <v>6220</v>
      </c>
      <c r="B489" t="s">
        <v>6221</v>
      </c>
      <c r="D489">
        <f>SUMIFS(Horas!R:R,Horas!O:O,Tabla_Consulta_desde_Proyectos7[[#This Row],[Usunombre]])</f>
        <v>0</v>
      </c>
      <c r="E489" s="14">
        <f>Tabla_Consulta_desde_Proyectos7[[#This Row],[Horas]]*Tabla_Consulta_desde_Proyectos7[[#This Row],[PRYUcosto]]/8</f>
        <v>0</v>
      </c>
    </row>
    <row r="490" spans="1:5">
      <c r="A490" t="s">
        <v>5459</v>
      </c>
      <c r="B490" t="s">
        <v>5460</v>
      </c>
      <c r="C490">
        <v>1200</v>
      </c>
      <c r="D490">
        <f>SUMIFS(Horas!R:R,Horas!O:O,Tabla_Consulta_desde_Proyectos7[[#This Row],[Usunombre]])</f>
        <v>0</v>
      </c>
      <c r="E490" s="14">
        <f>Tabla_Consulta_desde_Proyectos7[[#This Row],[Horas]]*Tabla_Consulta_desde_Proyectos7[[#This Row],[PRYUcosto]]/8</f>
        <v>0</v>
      </c>
    </row>
    <row r="491" spans="1:5">
      <c r="A491" t="s">
        <v>5040</v>
      </c>
      <c r="B491" t="s">
        <v>5041</v>
      </c>
      <c r="D491">
        <f>SUMIFS(Horas!R:R,Horas!O:O,Tabla_Consulta_desde_Proyectos7[[#This Row],[Usunombre]])</f>
        <v>0</v>
      </c>
      <c r="E491" s="14">
        <f>Tabla_Consulta_desde_Proyectos7[[#This Row],[Horas]]*Tabla_Consulta_desde_Proyectos7[[#This Row],[PRYUcosto]]/8</f>
        <v>0</v>
      </c>
    </row>
    <row r="492" spans="1:5">
      <c r="A492" t="s">
        <v>1899</v>
      </c>
      <c r="B492" t="s">
        <v>1900</v>
      </c>
      <c r="C492">
        <v>600</v>
      </c>
      <c r="D492">
        <f>SUMIFS(Horas!R:R,Horas!O:O,Tabla_Consulta_desde_Proyectos7[[#This Row],[Usunombre]])</f>
        <v>0</v>
      </c>
      <c r="E492" s="14">
        <f>Tabla_Consulta_desde_Proyectos7[[#This Row],[Horas]]*Tabla_Consulta_desde_Proyectos7[[#This Row],[PRYUcosto]]/8</f>
        <v>0</v>
      </c>
    </row>
    <row r="493" spans="1:5">
      <c r="A493" t="s">
        <v>6679</v>
      </c>
      <c r="B493" t="s">
        <v>6680</v>
      </c>
      <c r="D493">
        <f>SUMIFS(Horas!R:R,Horas!O:O,Tabla_Consulta_desde_Proyectos7[[#This Row],[Usunombre]])</f>
        <v>0</v>
      </c>
      <c r="E493" s="14">
        <f>Tabla_Consulta_desde_Proyectos7[[#This Row],[Horas]]*Tabla_Consulta_desde_Proyectos7[[#This Row],[PRYUcosto]]/8</f>
        <v>0</v>
      </c>
    </row>
    <row r="494" spans="1:5">
      <c r="A494" t="s">
        <v>1828</v>
      </c>
      <c r="B494" t="s">
        <v>1829</v>
      </c>
      <c r="D494">
        <f>SUMIFS(Horas!R:R,Horas!O:O,Tabla_Consulta_desde_Proyectos7[[#This Row],[Usunombre]])</f>
        <v>0</v>
      </c>
      <c r="E494" s="14">
        <f>Tabla_Consulta_desde_Proyectos7[[#This Row],[Horas]]*Tabla_Consulta_desde_Proyectos7[[#This Row],[PRYUcosto]]/8</f>
        <v>0</v>
      </c>
    </row>
    <row r="495" spans="1:5">
      <c r="A495" t="s">
        <v>6147</v>
      </c>
      <c r="B495" t="s">
        <v>6148</v>
      </c>
      <c r="D495">
        <f>SUMIFS(Horas!R:R,Horas!O:O,Tabla_Consulta_desde_Proyectos7[[#This Row],[Usunombre]])</f>
        <v>0</v>
      </c>
      <c r="E495" s="14">
        <f>Tabla_Consulta_desde_Proyectos7[[#This Row],[Horas]]*Tabla_Consulta_desde_Proyectos7[[#This Row],[PRYUcosto]]/8</f>
        <v>0</v>
      </c>
    </row>
    <row r="496" spans="1:5">
      <c r="A496" t="s">
        <v>7501</v>
      </c>
      <c r="B496" t="s">
        <v>6173</v>
      </c>
      <c r="D496">
        <f>SUMIFS(Horas!R:R,Horas!O:O,Tabla_Consulta_desde_Proyectos7[[#This Row],[Usunombre]])</f>
        <v>0</v>
      </c>
      <c r="E496" s="14">
        <f>Tabla_Consulta_desde_Proyectos7[[#This Row],[Horas]]*Tabla_Consulta_desde_Proyectos7[[#This Row],[PRYUcosto]]/8</f>
        <v>0</v>
      </c>
    </row>
    <row r="497" spans="1:5">
      <c r="A497" t="s">
        <v>921</v>
      </c>
      <c r="B497" t="s">
        <v>922</v>
      </c>
      <c r="C497">
        <v>0</v>
      </c>
      <c r="D497">
        <f>SUMIFS(Horas!R:R,Horas!O:O,Tabla_Consulta_desde_Proyectos7[[#This Row],[Usunombre]])</f>
        <v>0</v>
      </c>
      <c r="E497" s="14">
        <f>Tabla_Consulta_desde_Proyectos7[[#This Row],[Horas]]*Tabla_Consulta_desde_Proyectos7[[#This Row],[PRYUcosto]]/8</f>
        <v>0</v>
      </c>
    </row>
    <row r="498" spans="1:5">
      <c r="A498" t="s">
        <v>6214</v>
      </c>
      <c r="B498" t="s">
        <v>6215</v>
      </c>
      <c r="C498">
        <v>1200</v>
      </c>
      <c r="D498">
        <f>SUMIFS(Horas!R:R,Horas!O:O,Tabla_Consulta_desde_Proyectos7[[#This Row],[Usunombre]])</f>
        <v>0</v>
      </c>
      <c r="E498" s="14">
        <f>Tabla_Consulta_desde_Proyectos7[[#This Row],[Horas]]*Tabla_Consulta_desde_Proyectos7[[#This Row],[PRYUcosto]]/8</f>
        <v>0</v>
      </c>
    </row>
    <row r="499" spans="1:5">
      <c r="A499" t="s">
        <v>5013</v>
      </c>
      <c r="B499" t="s">
        <v>5014</v>
      </c>
      <c r="D499">
        <f>SUMIFS(Horas!R:R,Horas!O:O,Tabla_Consulta_desde_Proyectos7[[#This Row],[Usunombre]])</f>
        <v>0</v>
      </c>
      <c r="E499" s="14">
        <f>Tabla_Consulta_desde_Proyectos7[[#This Row],[Horas]]*Tabla_Consulta_desde_Proyectos7[[#This Row],[PRYUcosto]]/8</f>
        <v>0</v>
      </c>
    </row>
    <row r="500" spans="1:5">
      <c r="A500" t="s">
        <v>1095</v>
      </c>
      <c r="B500" t="s">
        <v>4692</v>
      </c>
      <c r="D500">
        <f>SUMIFS(Horas!R:R,Horas!O:O,Tabla_Consulta_desde_Proyectos7[[#This Row],[Usunombre]])</f>
        <v>0</v>
      </c>
      <c r="E500" s="14">
        <f>Tabla_Consulta_desde_Proyectos7[[#This Row],[Horas]]*Tabla_Consulta_desde_Proyectos7[[#This Row],[PRYUcosto]]/8</f>
        <v>0</v>
      </c>
    </row>
    <row r="501" spans="1:5">
      <c r="A501" t="s">
        <v>1491</v>
      </c>
      <c r="B501" t="s">
        <v>1492</v>
      </c>
      <c r="D501">
        <f>SUMIFS(Horas!R:R,Horas!O:O,Tabla_Consulta_desde_Proyectos7[[#This Row],[Usunombre]])</f>
        <v>0</v>
      </c>
      <c r="E501" s="14">
        <f>Tabla_Consulta_desde_Proyectos7[[#This Row],[Horas]]*Tabla_Consulta_desde_Proyectos7[[#This Row],[PRYUcosto]]/8</f>
        <v>0</v>
      </c>
    </row>
    <row r="502" spans="1:5">
      <c r="A502" t="s">
        <v>4098</v>
      </c>
      <c r="B502" t="s">
        <v>4099</v>
      </c>
      <c r="D502">
        <f>SUMIFS(Horas!R:R,Horas!O:O,Tabla_Consulta_desde_Proyectos7[[#This Row],[Usunombre]])</f>
        <v>0</v>
      </c>
      <c r="E502" s="14">
        <f>Tabla_Consulta_desde_Proyectos7[[#This Row],[Horas]]*Tabla_Consulta_desde_Proyectos7[[#This Row],[PRYUcosto]]/8</f>
        <v>0</v>
      </c>
    </row>
    <row r="503" spans="1:5">
      <c r="A503" t="s">
        <v>1417</v>
      </c>
      <c r="B503" t="s">
        <v>1418</v>
      </c>
      <c r="C503">
        <v>600</v>
      </c>
      <c r="D503">
        <f>SUMIFS(Horas!R:R,Horas!O:O,Tabla_Consulta_desde_Proyectos7[[#This Row],[Usunombre]])</f>
        <v>0</v>
      </c>
      <c r="E503" s="14">
        <f>Tabla_Consulta_desde_Proyectos7[[#This Row],[Horas]]*Tabla_Consulta_desde_Proyectos7[[#This Row],[PRYUcosto]]/8</f>
        <v>0</v>
      </c>
    </row>
    <row r="504" spans="1:5">
      <c r="A504" t="s">
        <v>1463</v>
      </c>
      <c r="B504" t="s">
        <v>1464</v>
      </c>
      <c r="D504">
        <f>SUMIFS(Horas!R:R,Horas!O:O,Tabla_Consulta_desde_Proyectos7[[#This Row],[Usunombre]])</f>
        <v>0</v>
      </c>
      <c r="E504" s="14">
        <f>Tabla_Consulta_desde_Proyectos7[[#This Row],[Horas]]*Tabla_Consulta_desde_Proyectos7[[#This Row],[PRYUcosto]]/8</f>
        <v>0</v>
      </c>
    </row>
    <row r="505" spans="1:5">
      <c r="A505" t="s">
        <v>1105</v>
      </c>
      <c r="B505" t="s">
        <v>1106</v>
      </c>
      <c r="D505">
        <f>SUMIFS(Horas!R:R,Horas!O:O,Tabla_Consulta_desde_Proyectos7[[#This Row],[Usunombre]])</f>
        <v>0</v>
      </c>
      <c r="E505" s="14">
        <f>Tabla_Consulta_desde_Proyectos7[[#This Row],[Horas]]*Tabla_Consulta_desde_Proyectos7[[#This Row],[PRYUcosto]]/8</f>
        <v>0</v>
      </c>
    </row>
    <row r="506" spans="1:5">
      <c r="A506" t="s">
        <v>2001</v>
      </c>
      <c r="B506" t="s">
        <v>2002</v>
      </c>
      <c r="C506">
        <v>800</v>
      </c>
      <c r="D506">
        <f>SUMIFS(Horas!R:R,Horas!O:O,Tabla_Consulta_desde_Proyectos7[[#This Row],[Usunombre]])</f>
        <v>0</v>
      </c>
      <c r="E506" s="14">
        <f>Tabla_Consulta_desde_Proyectos7[[#This Row],[Horas]]*Tabla_Consulta_desde_Proyectos7[[#This Row],[PRYUcosto]]/8</f>
        <v>0</v>
      </c>
    </row>
    <row r="507" spans="1:5">
      <c r="A507" t="s">
        <v>1556</v>
      </c>
      <c r="B507" t="s">
        <v>1557</v>
      </c>
      <c r="D507">
        <f>SUMIFS(Horas!R:R,Horas!O:O,Tabla_Consulta_desde_Proyectos7[[#This Row],[Usunombre]])</f>
        <v>0</v>
      </c>
      <c r="E507" s="14">
        <f>Tabla_Consulta_desde_Proyectos7[[#This Row],[Horas]]*Tabla_Consulta_desde_Proyectos7[[#This Row],[PRYUcosto]]/8</f>
        <v>0</v>
      </c>
    </row>
    <row r="508" spans="1:5">
      <c r="A508" t="s">
        <v>1487</v>
      </c>
      <c r="B508" t="s">
        <v>1488</v>
      </c>
      <c r="D508">
        <f>SUMIFS(Horas!R:R,Horas!O:O,Tabla_Consulta_desde_Proyectos7[[#This Row],[Usunombre]])</f>
        <v>0</v>
      </c>
      <c r="E508" s="14">
        <f>Tabla_Consulta_desde_Proyectos7[[#This Row],[Horas]]*Tabla_Consulta_desde_Proyectos7[[#This Row],[PRYUcosto]]/8</f>
        <v>0</v>
      </c>
    </row>
    <row r="509" spans="1:5">
      <c r="A509" t="s">
        <v>1391</v>
      </c>
      <c r="B509" t="s">
        <v>1392</v>
      </c>
      <c r="D509">
        <f>SUMIFS(Horas!R:R,Horas!O:O,Tabla_Consulta_desde_Proyectos7[[#This Row],[Usunombre]])</f>
        <v>0</v>
      </c>
      <c r="E509" s="14">
        <f>Tabla_Consulta_desde_Proyectos7[[#This Row],[Horas]]*Tabla_Consulta_desde_Proyectos7[[#This Row],[PRYUcosto]]/8</f>
        <v>0</v>
      </c>
    </row>
    <row r="510" spans="1:5">
      <c r="A510" t="s">
        <v>1335</v>
      </c>
      <c r="B510" t="s">
        <v>1336</v>
      </c>
      <c r="D510">
        <f>SUMIFS(Horas!R:R,Horas!O:O,Tabla_Consulta_desde_Proyectos7[[#This Row],[Usunombre]])</f>
        <v>0</v>
      </c>
      <c r="E510" s="14">
        <f>Tabla_Consulta_desde_Proyectos7[[#This Row],[Horas]]*Tabla_Consulta_desde_Proyectos7[[#This Row],[PRYUcosto]]/8</f>
        <v>0</v>
      </c>
    </row>
    <row r="511" spans="1:5">
      <c r="A511" t="s">
        <v>1928</v>
      </c>
      <c r="B511" t="s">
        <v>1929</v>
      </c>
      <c r="D511">
        <f>SUMIFS(Horas!R:R,Horas!O:O,Tabla_Consulta_desde_Proyectos7[[#This Row],[Usunombre]])</f>
        <v>0</v>
      </c>
      <c r="E511" s="14">
        <f>Tabla_Consulta_desde_Proyectos7[[#This Row],[Horas]]*Tabla_Consulta_desde_Proyectos7[[#This Row],[PRYUcosto]]/8</f>
        <v>0</v>
      </c>
    </row>
    <row r="512" spans="1:5">
      <c r="A512" t="s">
        <v>5467</v>
      </c>
      <c r="B512" t="s">
        <v>5468</v>
      </c>
      <c r="C512">
        <v>600</v>
      </c>
      <c r="D512">
        <f>SUMIFS(Horas!R:R,Horas!O:O,Tabla_Consulta_desde_Proyectos7[[#This Row],[Usunombre]])</f>
        <v>0</v>
      </c>
      <c r="E512" s="14">
        <f>Tabla_Consulta_desde_Proyectos7[[#This Row],[Horas]]*Tabla_Consulta_desde_Proyectos7[[#This Row],[PRYUcosto]]/8</f>
        <v>0</v>
      </c>
    </row>
    <row r="513" spans="1:5">
      <c r="A513" t="s">
        <v>4705</v>
      </c>
      <c r="B513" t="s">
        <v>4706</v>
      </c>
      <c r="D513">
        <f>SUMIFS(Horas!R:R,Horas!O:O,Tabla_Consulta_desde_Proyectos7[[#This Row],[Usunombre]])</f>
        <v>0</v>
      </c>
      <c r="E513" s="14">
        <f>Tabla_Consulta_desde_Proyectos7[[#This Row],[Horas]]*Tabla_Consulta_desde_Proyectos7[[#This Row],[PRYUcosto]]/8</f>
        <v>0</v>
      </c>
    </row>
    <row r="514" spans="1:5">
      <c r="A514" t="s">
        <v>6174</v>
      </c>
      <c r="B514" t="s">
        <v>6175</v>
      </c>
      <c r="D514">
        <f>SUMIFS(Horas!R:R,Horas!O:O,Tabla_Consulta_desde_Proyectos7[[#This Row],[Usunombre]])</f>
        <v>0</v>
      </c>
      <c r="E514" s="14">
        <f>Tabla_Consulta_desde_Proyectos7[[#This Row],[Horas]]*Tabla_Consulta_desde_Proyectos7[[#This Row],[PRYUcosto]]/8</f>
        <v>0</v>
      </c>
    </row>
    <row r="515" spans="1:5">
      <c r="A515" t="s">
        <v>4954</v>
      </c>
      <c r="B515" t="s">
        <v>4955</v>
      </c>
      <c r="C515">
        <v>600</v>
      </c>
      <c r="D515">
        <f>SUMIFS(Horas!R:R,Horas!O:O,Tabla_Consulta_desde_Proyectos7[[#This Row],[Usunombre]])</f>
        <v>0</v>
      </c>
      <c r="E515" s="14">
        <f>Tabla_Consulta_desde_Proyectos7[[#This Row],[Horas]]*Tabla_Consulta_desde_Proyectos7[[#This Row],[PRYUcosto]]/8</f>
        <v>0</v>
      </c>
    </row>
    <row r="516" spans="1:5">
      <c r="A516" t="s">
        <v>1383</v>
      </c>
      <c r="B516" t="s">
        <v>1384</v>
      </c>
      <c r="D516">
        <f>SUMIFS(Horas!R:R,Horas!O:O,Tabla_Consulta_desde_Proyectos7[[#This Row],[Usunombre]])</f>
        <v>0</v>
      </c>
      <c r="E516" s="14">
        <f>Tabla_Consulta_desde_Proyectos7[[#This Row],[Horas]]*Tabla_Consulta_desde_Proyectos7[[#This Row],[PRYUcosto]]/8</f>
        <v>0</v>
      </c>
    </row>
    <row r="517" spans="1:5">
      <c r="A517" t="s">
        <v>1055</v>
      </c>
      <c r="B517" t="s">
        <v>1056</v>
      </c>
      <c r="C517">
        <v>1200</v>
      </c>
      <c r="D517">
        <f>SUMIFS(Horas!R:R,Horas!O:O,Tabla_Consulta_desde_Proyectos7[[#This Row],[Usunombre]])</f>
        <v>0</v>
      </c>
      <c r="E517" s="14">
        <f>Tabla_Consulta_desde_Proyectos7[[#This Row],[Horas]]*Tabla_Consulta_desde_Proyectos7[[#This Row],[PRYUcosto]]/8</f>
        <v>0</v>
      </c>
    </row>
    <row r="518" spans="1:5">
      <c r="A518" t="s">
        <v>1538</v>
      </c>
      <c r="B518" t="s">
        <v>1539</v>
      </c>
      <c r="C518">
        <v>1200</v>
      </c>
      <c r="D518">
        <f>SUMIFS(Horas!R:R,Horas!O:O,Tabla_Consulta_desde_Proyectos7[[#This Row],[Usunombre]])</f>
        <v>0</v>
      </c>
      <c r="E518" s="14">
        <f>Tabla_Consulta_desde_Proyectos7[[#This Row],[Horas]]*Tabla_Consulta_desde_Proyectos7[[#This Row],[PRYUcosto]]/8</f>
        <v>0</v>
      </c>
    </row>
    <row r="519" spans="1:5">
      <c r="A519" t="s">
        <v>1449</v>
      </c>
      <c r="B519" t="s">
        <v>1450</v>
      </c>
      <c r="D519">
        <f>SUMIFS(Horas!R:R,Horas!O:O,Tabla_Consulta_desde_Proyectos7[[#This Row],[Usunombre]])</f>
        <v>0</v>
      </c>
      <c r="E519" s="14">
        <f>Tabla_Consulta_desde_Proyectos7[[#This Row],[Horas]]*Tabla_Consulta_desde_Proyectos7[[#This Row],[PRYUcosto]]/8</f>
        <v>0</v>
      </c>
    </row>
    <row r="520" spans="1:5">
      <c r="A520" t="s">
        <v>5011</v>
      </c>
      <c r="B520" t="s">
        <v>5012</v>
      </c>
      <c r="D520">
        <f>SUMIFS(Horas!R:R,Horas!O:O,Tabla_Consulta_desde_Proyectos7[[#This Row],[Usunombre]])</f>
        <v>0</v>
      </c>
      <c r="E520" s="14">
        <f>Tabla_Consulta_desde_Proyectos7[[#This Row],[Horas]]*Tabla_Consulta_desde_Proyectos7[[#This Row],[PRYUcosto]]/8</f>
        <v>0</v>
      </c>
    </row>
    <row r="521" spans="1:5">
      <c r="A521" t="s">
        <v>1987</v>
      </c>
      <c r="B521" t="s">
        <v>1988</v>
      </c>
      <c r="D521">
        <f>SUMIFS(Horas!R:R,Horas!O:O,Tabla_Consulta_desde_Proyectos7[[#This Row],[Usunombre]])</f>
        <v>0</v>
      </c>
      <c r="E521" s="14">
        <f>Tabla_Consulta_desde_Proyectos7[[#This Row],[Horas]]*Tabla_Consulta_desde_Proyectos7[[#This Row],[PRYUcosto]]/8</f>
        <v>0</v>
      </c>
    </row>
    <row r="522" spans="1:5">
      <c r="A522" t="s">
        <v>2021</v>
      </c>
      <c r="B522" t="s">
        <v>2022</v>
      </c>
      <c r="D522">
        <f>SUMIFS(Horas!R:R,Horas!O:O,Tabla_Consulta_desde_Proyectos7[[#This Row],[Usunombre]])</f>
        <v>0</v>
      </c>
      <c r="E522" s="14">
        <f>Tabla_Consulta_desde_Proyectos7[[#This Row],[Horas]]*Tabla_Consulta_desde_Proyectos7[[#This Row],[PRYUcosto]]/8</f>
        <v>0</v>
      </c>
    </row>
    <row r="523" spans="1:5">
      <c r="A523" t="s">
        <v>4712</v>
      </c>
      <c r="B523" t="s">
        <v>4713</v>
      </c>
      <c r="C523">
        <v>600</v>
      </c>
      <c r="D523">
        <f>SUMIFS(Horas!R:R,Horas!O:O,Tabla_Consulta_desde_Proyectos7[[#This Row],[Usunombre]])</f>
        <v>0</v>
      </c>
      <c r="E523" s="14">
        <f>Tabla_Consulta_desde_Proyectos7[[#This Row],[Horas]]*Tabla_Consulta_desde_Proyectos7[[#This Row],[PRYUcosto]]/8</f>
        <v>0</v>
      </c>
    </row>
    <row r="524" spans="1:5">
      <c r="A524" t="s">
        <v>1915</v>
      </c>
      <c r="B524" t="s">
        <v>1916</v>
      </c>
      <c r="D524">
        <f>SUMIFS(Horas!R:R,Horas!O:O,Tabla_Consulta_desde_Proyectos7[[#This Row],[Usunombre]])</f>
        <v>0</v>
      </c>
      <c r="E524" s="14">
        <f>Tabla_Consulta_desde_Proyectos7[[#This Row],[Horas]]*Tabla_Consulta_desde_Proyectos7[[#This Row],[PRYUcosto]]/8</f>
        <v>0</v>
      </c>
    </row>
    <row r="525" spans="1:5">
      <c r="A525" t="s">
        <v>6633</v>
      </c>
      <c r="B525" t="s">
        <v>6634</v>
      </c>
      <c r="D525">
        <f>SUMIFS(Horas!R:R,Horas!O:O,Tabla_Consulta_desde_Proyectos7[[#This Row],[Usunombre]])</f>
        <v>0</v>
      </c>
      <c r="E525" s="14">
        <f>Tabla_Consulta_desde_Proyectos7[[#This Row],[Horas]]*Tabla_Consulta_desde_Proyectos7[[#This Row],[PRYUcosto]]/8</f>
        <v>0</v>
      </c>
    </row>
    <row r="526" spans="1:5">
      <c r="A526" t="s">
        <v>1375</v>
      </c>
      <c r="B526" t="s">
        <v>1376</v>
      </c>
      <c r="D526">
        <f>SUMIFS(Horas!R:R,Horas!O:O,Tabla_Consulta_desde_Proyectos7[[#This Row],[Usunombre]])</f>
        <v>0</v>
      </c>
      <c r="E526" s="14">
        <f>Tabla_Consulta_desde_Proyectos7[[#This Row],[Horas]]*Tabla_Consulta_desde_Proyectos7[[#This Row],[PRYUcosto]]/8</f>
        <v>0</v>
      </c>
    </row>
    <row r="527" spans="1:5">
      <c r="A527" t="s">
        <v>1637</v>
      </c>
      <c r="B527" t="s">
        <v>1638</v>
      </c>
      <c r="C527">
        <v>600</v>
      </c>
      <c r="D527">
        <f>SUMIFS(Horas!R:R,Horas!O:O,Tabla_Consulta_desde_Proyectos7[[#This Row],[Usunombre]])</f>
        <v>0</v>
      </c>
      <c r="E527" s="14">
        <f>Tabla_Consulta_desde_Proyectos7[[#This Row],[Horas]]*Tabla_Consulta_desde_Proyectos7[[#This Row],[PRYUcosto]]/8</f>
        <v>0</v>
      </c>
    </row>
    <row r="528" spans="1:5">
      <c r="A528" t="s">
        <v>977</v>
      </c>
      <c r="B528" t="s">
        <v>978</v>
      </c>
      <c r="C528">
        <v>1200</v>
      </c>
      <c r="D528">
        <f>SUMIFS(Horas!R:R,Horas!O:O,Tabla_Consulta_desde_Proyectos7[[#This Row],[Usunombre]])</f>
        <v>0</v>
      </c>
      <c r="E528" s="14">
        <f>Tabla_Consulta_desde_Proyectos7[[#This Row],[Horas]]*Tabla_Consulta_desde_Proyectos7[[#This Row],[PRYUcosto]]/8</f>
        <v>0</v>
      </c>
    </row>
    <row r="529" spans="1:5">
      <c r="A529" t="s">
        <v>1086</v>
      </c>
      <c r="B529" t="s">
        <v>4102</v>
      </c>
      <c r="C529">
        <v>1400</v>
      </c>
      <c r="D529">
        <f>SUMIFS(Horas!R:R,Horas!O:O,Tabla_Consulta_desde_Proyectos7[[#This Row],[Usunombre]])</f>
        <v>0</v>
      </c>
      <c r="E529" s="14">
        <f>Tabla_Consulta_desde_Proyectos7[[#This Row],[Horas]]*Tabla_Consulta_desde_Proyectos7[[#This Row],[PRYUcosto]]/8</f>
        <v>0</v>
      </c>
    </row>
    <row r="530" spans="1:5">
      <c r="A530" t="s">
        <v>1530</v>
      </c>
      <c r="B530" t="s">
        <v>1531</v>
      </c>
      <c r="C530">
        <v>600</v>
      </c>
      <c r="D530">
        <f>SUMIFS(Horas!R:R,Horas!O:O,Tabla_Consulta_desde_Proyectos7[[#This Row],[Usunombre]])</f>
        <v>0</v>
      </c>
      <c r="E530" s="14">
        <f>Tabla_Consulta_desde_Proyectos7[[#This Row],[Horas]]*Tabla_Consulta_desde_Proyectos7[[#This Row],[PRYUcosto]]/8</f>
        <v>0</v>
      </c>
    </row>
    <row r="531" spans="1:5">
      <c r="A531" t="s">
        <v>1035</v>
      </c>
      <c r="B531" t="s">
        <v>1036</v>
      </c>
      <c r="D531">
        <f>SUMIFS(Horas!R:R,Horas!O:O,Tabla_Consulta_desde_Proyectos7[[#This Row],[Usunombre]])</f>
        <v>0</v>
      </c>
      <c r="E531" s="14">
        <f>Tabla_Consulta_desde_Proyectos7[[#This Row],[Horas]]*Tabla_Consulta_desde_Proyectos7[[#This Row],[PRYUcosto]]/8</f>
        <v>0</v>
      </c>
    </row>
    <row r="532" spans="1:5">
      <c r="A532" t="s">
        <v>958</v>
      </c>
      <c r="B532" t="s">
        <v>4086</v>
      </c>
      <c r="D532">
        <f>SUMIFS(Horas!R:R,Horas!O:O,Tabla_Consulta_desde_Proyectos7[[#This Row],[Usunombre]])</f>
        <v>0</v>
      </c>
      <c r="E532" s="14">
        <f>Tabla_Consulta_desde_Proyectos7[[#This Row],[Horas]]*Tabla_Consulta_desde_Proyectos7[[#This Row],[PRYUcosto]]/8</f>
        <v>0</v>
      </c>
    </row>
    <row r="533" spans="1:5">
      <c r="A533" t="s">
        <v>1349</v>
      </c>
      <c r="B533" t="s">
        <v>1350</v>
      </c>
      <c r="D533">
        <f>SUMIFS(Horas!R:R,Horas!O:O,Tabla_Consulta_desde_Proyectos7[[#This Row],[Usunombre]])</f>
        <v>0</v>
      </c>
      <c r="E533" s="14">
        <f>Tabla_Consulta_desde_Proyectos7[[#This Row],[Horas]]*Tabla_Consulta_desde_Proyectos7[[#This Row],[PRYUcosto]]/8</f>
        <v>0</v>
      </c>
    </row>
    <row r="534" spans="1:5">
      <c r="A534" t="s">
        <v>7518</v>
      </c>
      <c r="B534" t="s">
        <v>7517</v>
      </c>
      <c r="D534">
        <f>SUMIFS(Horas!R:R,Horas!O:O,Tabla_Consulta_desde_Proyectos7[[#This Row],[Usunombre]])</f>
        <v>0</v>
      </c>
      <c r="E534" s="14">
        <f>Tabla_Consulta_desde_Proyectos7[[#This Row],[Horas]]*Tabla_Consulta_desde_Proyectos7[[#This Row],[PRYUcosto]]/8</f>
        <v>0</v>
      </c>
    </row>
    <row r="535" spans="1:5">
      <c r="A535" t="s">
        <v>1039</v>
      </c>
      <c r="B535" t="s">
        <v>1040</v>
      </c>
      <c r="C535">
        <v>750</v>
      </c>
      <c r="D535">
        <f>SUMIFS(Horas!R:R,Horas!O:O,Tabla_Consulta_desde_Proyectos7[[#This Row],[Usunombre]])</f>
        <v>0</v>
      </c>
      <c r="E535" s="14">
        <f>Tabla_Consulta_desde_Proyectos7[[#This Row],[Horas]]*Tabla_Consulta_desde_Proyectos7[[#This Row],[PRYUcosto]]/8</f>
        <v>0</v>
      </c>
    </row>
    <row r="536" spans="1:5">
      <c r="A536" t="s">
        <v>6951</v>
      </c>
      <c r="B536" t="s">
        <v>6952</v>
      </c>
      <c r="C536">
        <v>0</v>
      </c>
      <c r="D536">
        <f>SUMIFS(Horas!R:R,Horas!O:O,Tabla_Consulta_desde_Proyectos7[[#This Row],[Usunombre]])</f>
        <v>0</v>
      </c>
      <c r="E536" s="14">
        <f>Tabla_Consulta_desde_Proyectos7[[#This Row],[Horas]]*Tabla_Consulta_desde_Proyectos7[[#This Row],[PRYUcosto]]/8</f>
        <v>0</v>
      </c>
    </row>
    <row r="537" spans="1:5">
      <c r="A537" t="s">
        <v>1544</v>
      </c>
      <c r="B537" t="s">
        <v>1545</v>
      </c>
      <c r="C537">
        <v>600</v>
      </c>
      <c r="D537">
        <f>SUMIFS(Horas!R:R,Horas!O:O,Tabla_Consulta_desde_Proyectos7[[#This Row],[Usunombre]])</f>
        <v>0</v>
      </c>
      <c r="E537" s="14">
        <f>Tabla_Consulta_desde_Proyectos7[[#This Row],[Horas]]*Tabla_Consulta_desde_Proyectos7[[#This Row],[PRYUcosto]]/8</f>
        <v>0</v>
      </c>
    </row>
    <row r="538" spans="1:5">
      <c r="A538" t="s">
        <v>1956</v>
      </c>
      <c r="B538" t="s">
        <v>1957</v>
      </c>
      <c r="D538">
        <f>SUMIFS(Horas!R:R,Horas!O:O,Tabla_Consulta_desde_Proyectos7[[#This Row],[Usunombre]])</f>
        <v>0</v>
      </c>
      <c r="E538" s="14">
        <f>Tabla_Consulta_desde_Proyectos7[[#This Row],[Horas]]*Tabla_Consulta_desde_Proyectos7[[#This Row],[PRYUcosto]]/8</f>
        <v>0</v>
      </c>
    </row>
    <row r="539" spans="1:5">
      <c r="A539" t="s">
        <v>6942</v>
      </c>
      <c r="B539" t="s">
        <v>5231</v>
      </c>
      <c r="C539">
        <v>400</v>
      </c>
      <c r="D539">
        <f>SUMIFS(Horas!R:R,Horas!O:O,Tabla_Consulta_desde_Proyectos7[[#This Row],[Usunombre]])</f>
        <v>0</v>
      </c>
      <c r="E539" s="14">
        <f>Tabla_Consulta_desde_Proyectos7[[#This Row],[Horas]]*Tabla_Consulta_desde_Proyectos7[[#This Row],[PRYUcosto]]/8</f>
        <v>0</v>
      </c>
    </row>
    <row r="540" spans="1:5">
      <c r="A540" t="s">
        <v>2003</v>
      </c>
      <c r="B540" t="s">
        <v>2004</v>
      </c>
      <c r="D540">
        <f>SUMIFS(Horas!R:R,Horas!O:O,Tabla_Consulta_desde_Proyectos7[[#This Row],[Usunombre]])</f>
        <v>0</v>
      </c>
      <c r="E540" s="14">
        <f>Tabla_Consulta_desde_Proyectos7[[#This Row],[Horas]]*Tabla_Consulta_desde_Proyectos7[[#This Row],[PRYUcosto]]/8</f>
        <v>0</v>
      </c>
    </row>
    <row r="541" spans="1:5">
      <c r="A541" t="s">
        <v>1681</v>
      </c>
      <c r="B541" t="s">
        <v>1682</v>
      </c>
      <c r="D541">
        <f>SUMIFS(Horas!R:R,Horas!O:O,Tabla_Consulta_desde_Proyectos7[[#This Row],[Usunombre]])</f>
        <v>0</v>
      </c>
      <c r="E541" s="14">
        <f>Tabla_Consulta_desde_Proyectos7[[#This Row],[Horas]]*Tabla_Consulta_desde_Proyectos7[[#This Row],[PRYUcosto]]/8</f>
        <v>0</v>
      </c>
    </row>
    <row r="542" spans="1:5">
      <c r="A542" t="s">
        <v>1617</v>
      </c>
      <c r="B542" t="s">
        <v>1618</v>
      </c>
      <c r="C542">
        <v>800</v>
      </c>
      <c r="D542">
        <f>SUMIFS(Horas!R:R,Horas!O:O,Tabla_Consulta_desde_Proyectos7[[#This Row],[Usunombre]])</f>
        <v>0</v>
      </c>
      <c r="E542" s="14">
        <f>Tabla_Consulta_desde_Proyectos7[[#This Row],[Horas]]*Tabla_Consulta_desde_Proyectos7[[#This Row],[PRYUcosto]]/8</f>
        <v>0</v>
      </c>
    </row>
    <row r="543" spans="1:5">
      <c r="A543" t="s">
        <v>1088</v>
      </c>
      <c r="B543" t="s">
        <v>1040</v>
      </c>
      <c r="D543">
        <f>SUMIFS(Horas!R:R,Horas!O:O,Tabla_Consulta_desde_Proyectos7[[#This Row],[Usunombre]])</f>
        <v>0</v>
      </c>
      <c r="E543" s="14">
        <f>Tabla_Consulta_desde_Proyectos7[[#This Row],[Horas]]*Tabla_Consulta_desde_Proyectos7[[#This Row],[PRYUcosto]]/8</f>
        <v>0</v>
      </c>
    </row>
    <row r="544" spans="1:5">
      <c r="A544" t="s">
        <v>7504</v>
      </c>
      <c r="B544" t="s">
        <v>7505</v>
      </c>
      <c r="D544">
        <f>SUMIFS(Horas!R:R,Horas!O:O,Tabla_Consulta_desde_Proyectos7[[#This Row],[Usunombre]])</f>
        <v>0</v>
      </c>
      <c r="E544" s="14">
        <f>Tabla_Consulta_desde_Proyectos7[[#This Row],[Horas]]*Tabla_Consulta_desde_Proyectos7[[#This Row],[PRYUcosto]]/8</f>
        <v>0</v>
      </c>
    </row>
    <row r="545" spans="1:5">
      <c r="A545" t="s">
        <v>1265</v>
      </c>
      <c r="B545" t="s">
        <v>1266</v>
      </c>
      <c r="C545">
        <v>600</v>
      </c>
      <c r="D545">
        <f>SUMIFS(Horas!R:R,Horas!O:O,Tabla_Consulta_desde_Proyectos7[[#This Row],[Usunombre]])</f>
        <v>0</v>
      </c>
      <c r="E545" s="14">
        <f>Tabla_Consulta_desde_Proyectos7[[#This Row],[Horas]]*Tabla_Consulta_desde_Proyectos7[[#This Row],[PRYUcosto]]/8</f>
        <v>0</v>
      </c>
    </row>
    <row r="546" spans="1:5">
      <c r="A546" t="s">
        <v>4983</v>
      </c>
      <c r="B546" t="s">
        <v>4984</v>
      </c>
      <c r="D546">
        <f>SUMIFS(Horas!R:R,Horas!O:O,Tabla_Consulta_desde_Proyectos7[[#This Row],[Usunombre]])</f>
        <v>0</v>
      </c>
      <c r="E546" s="14">
        <f>Tabla_Consulta_desde_Proyectos7[[#This Row],[Horas]]*Tabla_Consulta_desde_Proyectos7[[#This Row],[PRYUcosto]]/8</f>
        <v>0</v>
      </c>
    </row>
    <row r="547" spans="1:5">
      <c r="A547" t="s">
        <v>6987</v>
      </c>
      <c r="B547" t="s">
        <v>6988</v>
      </c>
      <c r="C547">
        <v>600</v>
      </c>
      <c r="D547">
        <f>SUMIFS(Horas!R:R,Horas!O:O,Tabla_Consulta_desde_Proyectos7[[#This Row],[Usunombre]])</f>
        <v>0</v>
      </c>
      <c r="E547" s="14">
        <f>Tabla_Consulta_desde_Proyectos7[[#This Row],[Horas]]*Tabla_Consulta_desde_Proyectos7[[#This Row],[PRYUcosto]]/8</f>
        <v>0</v>
      </c>
    </row>
    <row r="548" spans="1:5">
      <c r="A548" t="s">
        <v>1606</v>
      </c>
      <c r="B548" t="s">
        <v>1607</v>
      </c>
      <c r="D548">
        <f>SUMIFS(Horas!R:R,Horas!O:O,Tabla_Consulta_desde_Proyectos7[[#This Row],[Usunombre]])</f>
        <v>0</v>
      </c>
      <c r="E548" s="14">
        <f>Tabla_Consulta_desde_Proyectos7[[#This Row],[Horas]]*Tabla_Consulta_desde_Proyectos7[[#This Row],[PRYUcosto]]/8</f>
        <v>0</v>
      </c>
    </row>
    <row r="549" spans="1:5">
      <c r="A549" t="s">
        <v>5741</v>
      </c>
      <c r="B549" t="s">
        <v>5742</v>
      </c>
      <c r="C549">
        <v>1200</v>
      </c>
      <c r="D549">
        <f>SUMIFS(Horas!R:R,Horas!O:O,Tabla_Consulta_desde_Proyectos7[[#This Row],[Usunombre]])</f>
        <v>0</v>
      </c>
      <c r="E549" s="14">
        <f>Tabla_Consulta_desde_Proyectos7[[#This Row],[Horas]]*Tabla_Consulta_desde_Proyectos7[[#This Row],[PRYUcosto]]/8</f>
        <v>0</v>
      </c>
    </row>
    <row r="550" spans="1:5">
      <c r="A550" t="s">
        <v>4952</v>
      </c>
      <c r="B550" t="s">
        <v>4953</v>
      </c>
      <c r="D550">
        <f>SUMIFS(Horas!R:R,Horas!O:O,Tabla_Consulta_desde_Proyectos7[[#This Row],[Usunombre]])</f>
        <v>0</v>
      </c>
      <c r="E550" s="14">
        <f>Tabla_Consulta_desde_Proyectos7[[#This Row],[Horas]]*Tabla_Consulta_desde_Proyectos7[[#This Row],[PRYUcosto]]/8</f>
        <v>0</v>
      </c>
    </row>
    <row r="551" spans="1:5">
      <c r="A551" t="s">
        <v>1647</v>
      </c>
      <c r="B551" t="s">
        <v>1648</v>
      </c>
      <c r="C551">
        <v>800</v>
      </c>
      <c r="D551">
        <f>SUMIFS(Horas!R:R,Horas!O:O,Tabla_Consulta_desde_Proyectos7[[#This Row],[Usunombre]])</f>
        <v>0</v>
      </c>
      <c r="E551" s="14">
        <f>Tabla_Consulta_desde_Proyectos7[[#This Row],[Horas]]*Tabla_Consulta_desde_Proyectos7[[#This Row],[PRYUcosto]]/8</f>
        <v>0</v>
      </c>
    </row>
    <row r="552" spans="1:5">
      <c r="A552" t="s">
        <v>1958</v>
      </c>
      <c r="B552" t="s">
        <v>1959</v>
      </c>
      <c r="D552">
        <f>SUMIFS(Horas!R:R,Horas!O:O,Tabla_Consulta_desde_Proyectos7[[#This Row],[Usunombre]])</f>
        <v>0</v>
      </c>
      <c r="E552" s="14">
        <f>Tabla_Consulta_desde_Proyectos7[[#This Row],[Horas]]*Tabla_Consulta_desde_Proyectos7[[#This Row],[PRYUcosto]]/8</f>
        <v>0</v>
      </c>
    </row>
    <row r="553" spans="1:5">
      <c r="A553" t="s">
        <v>1812</v>
      </c>
      <c r="B553" t="s">
        <v>1813</v>
      </c>
      <c r="D553">
        <f>SUMIFS(Horas!R:R,Horas!O:O,Tabla_Consulta_desde_Proyectos7[[#This Row],[Usunombre]])</f>
        <v>0</v>
      </c>
      <c r="E553" s="14">
        <f>Tabla_Consulta_desde_Proyectos7[[#This Row],[Horas]]*Tabla_Consulta_desde_Proyectos7[[#This Row],[PRYUcosto]]/8</f>
        <v>0</v>
      </c>
    </row>
    <row r="554" spans="1:5">
      <c r="A554" t="s">
        <v>7510</v>
      </c>
      <c r="B554" t="s">
        <v>7511</v>
      </c>
      <c r="D554">
        <f>SUMIFS(Horas!R:R,Horas!O:O,Tabla_Consulta_desde_Proyectos7[[#This Row],[Usunombre]])</f>
        <v>0</v>
      </c>
      <c r="E554" s="14">
        <f>Tabla_Consulta_desde_Proyectos7[[#This Row],[Horas]]*Tabla_Consulta_desde_Proyectos7[[#This Row],[PRYUcosto]]/8</f>
        <v>0</v>
      </c>
    </row>
    <row r="555" spans="1:5">
      <c r="A555" t="s">
        <v>1156</v>
      </c>
      <c r="B555" t="s">
        <v>1157</v>
      </c>
      <c r="C555">
        <v>800</v>
      </c>
      <c r="D555">
        <f>SUMIFS(Horas!R:R,Horas!O:O,Tabla_Consulta_desde_Proyectos7[[#This Row],[Usunombre]])</f>
        <v>0</v>
      </c>
      <c r="E555" s="14">
        <f>Tabla_Consulta_desde_Proyectos7[[#This Row],[Horas]]*Tabla_Consulta_desde_Proyectos7[[#This Row],[PRYUcosto]]/8</f>
        <v>0</v>
      </c>
    </row>
    <row r="556" spans="1:5">
      <c r="A556" t="s">
        <v>6820</v>
      </c>
      <c r="B556" t="s">
        <v>6821</v>
      </c>
      <c r="D556">
        <f>SUMIFS(Horas!R:R,Horas!O:O,Tabla_Consulta_desde_Proyectos7[[#This Row],[Usunombre]])</f>
        <v>0</v>
      </c>
      <c r="E556" s="14">
        <f>Tabla_Consulta_desde_Proyectos7[[#This Row],[Horas]]*Tabla_Consulta_desde_Proyectos7[[#This Row],[PRYUcosto]]/8</f>
        <v>0</v>
      </c>
    </row>
    <row r="557" spans="1:5">
      <c r="A557" t="s">
        <v>1814</v>
      </c>
      <c r="B557" t="s">
        <v>4090</v>
      </c>
      <c r="D557">
        <f>SUMIFS(Horas!R:R,Horas!O:O,Tabla_Consulta_desde_Proyectos7[[#This Row],[Usunombre]])</f>
        <v>0</v>
      </c>
      <c r="E557" s="14">
        <f>Tabla_Consulta_desde_Proyectos7[[#This Row],[Horas]]*Tabla_Consulta_desde_Proyectos7[[#This Row],[PRYUcosto]]/8</f>
        <v>0</v>
      </c>
    </row>
    <row r="558" spans="1:5">
      <c r="A558" t="s">
        <v>7541</v>
      </c>
      <c r="B558" t="s">
        <v>7542</v>
      </c>
      <c r="D558">
        <f>SUMIFS(Horas!R:R,Horas!O:O,Tabla_Consulta_desde_Proyectos7[[#This Row],[Usunombre]])</f>
        <v>0</v>
      </c>
      <c r="E558" s="14">
        <f>Tabla_Consulta_desde_Proyectos7[[#This Row],[Horas]]*Tabla_Consulta_desde_Proyectos7[[#This Row],[PRYUcosto]]/8</f>
        <v>0</v>
      </c>
    </row>
    <row r="559" spans="1:5">
      <c r="A559" t="s">
        <v>1109</v>
      </c>
      <c r="B559" t="s">
        <v>1110</v>
      </c>
      <c r="D559">
        <f>SUMIFS(Horas!R:R,Horas!O:O,Tabla_Consulta_desde_Proyectos7[[#This Row],[Usunombre]])</f>
        <v>0</v>
      </c>
      <c r="E559" s="14">
        <f>Tabla_Consulta_desde_Proyectos7[[#This Row],[Horas]]*Tabla_Consulta_desde_Proyectos7[[#This Row],[PRYUcosto]]/8</f>
        <v>0</v>
      </c>
    </row>
    <row r="560" spans="1:5">
      <c r="A560" t="s">
        <v>5441</v>
      </c>
      <c r="B560" t="s">
        <v>5442</v>
      </c>
      <c r="C560">
        <v>600</v>
      </c>
      <c r="D560">
        <f>SUMIFS(Horas!R:R,Horas!O:O,Tabla_Consulta_desde_Proyectos7[[#This Row],[Usunombre]])</f>
        <v>0</v>
      </c>
      <c r="E560" s="14">
        <f>Tabla_Consulta_desde_Proyectos7[[#This Row],[Horas]]*Tabla_Consulta_desde_Proyectos7[[#This Row],[PRYUcosto]]/8</f>
        <v>0</v>
      </c>
    </row>
    <row r="561" spans="1:5">
      <c r="A561" t="s">
        <v>1731</v>
      </c>
      <c r="B561" t="s">
        <v>1732</v>
      </c>
      <c r="C561">
        <v>600</v>
      </c>
      <c r="D561">
        <f>SUMIFS(Horas!R:R,Horas!O:O,Tabla_Consulta_desde_Proyectos7[[#This Row],[Usunombre]])</f>
        <v>0</v>
      </c>
      <c r="E561" s="14">
        <f>Tabla_Consulta_desde_Proyectos7[[#This Row],[Horas]]*Tabla_Consulta_desde_Proyectos7[[#This Row],[PRYUcosto]]/8</f>
        <v>0</v>
      </c>
    </row>
    <row r="562" spans="1:5">
      <c r="A562" t="s">
        <v>5471</v>
      </c>
      <c r="B562" t="s">
        <v>5472</v>
      </c>
      <c r="C562">
        <v>600</v>
      </c>
      <c r="D562">
        <f>SUMIFS(Horas!R:R,Horas!O:O,Tabla_Consulta_desde_Proyectos7[[#This Row],[Usunombre]])</f>
        <v>0</v>
      </c>
      <c r="E562" s="14">
        <f>Tabla_Consulta_desde_Proyectos7[[#This Row],[Horas]]*Tabla_Consulta_desde_Proyectos7[[#This Row],[PRYUcosto]]/8</f>
        <v>0</v>
      </c>
    </row>
    <row r="563" spans="1:5">
      <c r="A563" t="s">
        <v>6979</v>
      </c>
      <c r="B563" t="s">
        <v>6980</v>
      </c>
      <c r="C563">
        <v>600</v>
      </c>
      <c r="D563">
        <f>SUMIFS(Horas!R:R,Horas!O:O,Tabla_Consulta_desde_Proyectos7[[#This Row],[Usunombre]])</f>
        <v>0</v>
      </c>
      <c r="E563" s="14">
        <f>Tabla_Consulta_desde_Proyectos7[[#This Row],[Horas]]*Tabla_Consulta_desde_Proyectos7[[#This Row],[PRYUcosto]]/8</f>
        <v>0</v>
      </c>
    </row>
    <row r="564" spans="1:5">
      <c r="A564" t="s">
        <v>1031</v>
      </c>
      <c r="B564" t="s">
        <v>1032</v>
      </c>
      <c r="C564">
        <v>600</v>
      </c>
      <c r="D564">
        <f>SUMIFS(Horas!R:R,Horas!O:O,Tabla_Consulta_desde_Proyectos7[[#This Row],[Usunombre]])</f>
        <v>0</v>
      </c>
      <c r="E564" s="14">
        <f>Tabla_Consulta_desde_Proyectos7[[#This Row],[Horas]]*Tabla_Consulta_desde_Proyectos7[[#This Row],[PRYUcosto]]/8</f>
        <v>0</v>
      </c>
    </row>
    <row r="565" spans="1:5">
      <c r="A565" t="s">
        <v>1037</v>
      </c>
      <c r="B565" t="s">
        <v>1038</v>
      </c>
      <c r="C565">
        <v>800</v>
      </c>
      <c r="D565">
        <f>SUMIFS(Horas!R:R,Horas!O:O,Tabla_Consulta_desde_Proyectos7[[#This Row],[Usunombre]])</f>
        <v>0</v>
      </c>
      <c r="E565" s="14">
        <f>Tabla_Consulta_desde_Proyectos7[[#This Row],[Horas]]*Tabla_Consulta_desde_Proyectos7[[#This Row],[PRYUcosto]]/8</f>
        <v>0</v>
      </c>
    </row>
    <row r="566" spans="1:5">
      <c r="A566" t="s">
        <v>969</v>
      </c>
      <c r="B566" t="s">
        <v>970</v>
      </c>
      <c r="D566">
        <f>SUMIFS(Horas!R:R,Horas!O:O,Tabla_Consulta_desde_Proyectos7[[#This Row],[Usunombre]])</f>
        <v>0</v>
      </c>
      <c r="E566" s="14">
        <f>Tabla_Consulta_desde_Proyectos7[[#This Row],[Horas]]*Tabla_Consulta_desde_Proyectos7[[#This Row],[PRYUcosto]]/8</f>
        <v>0</v>
      </c>
    </row>
    <row r="567" spans="1:5">
      <c r="A567" t="s">
        <v>1451</v>
      </c>
      <c r="B567" t="s">
        <v>1452</v>
      </c>
      <c r="D567">
        <f>SUMIFS(Horas!R:R,Horas!O:O,Tabla_Consulta_desde_Proyectos7[[#This Row],[Usunombre]])</f>
        <v>0</v>
      </c>
      <c r="E567" s="14">
        <f>Tabla_Consulta_desde_Proyectos7[[#This Row],[Horas]]*Tabla_Consulta_desde_Proyectos7[[#This Row],[PRYUcosto]]/8</f>
        <v>0</v>
      </c>
    </row>
    <row r="568" spans="1:5">
      <c r="A568" t="s">
        <v>1168</v>
      </c>
      <c r="B568" t="s">
        <v>1169</v>
      </c>
      <c r="C568">
        <v>750</v>
      </c>
      <c r="D568">
        <f>SUMIFS(Horas!R:R,Horas!O:O,Tabla_Consulta_desde_Proyectos7[[#This Row],[Usunombre]])</f>
        <v>0</v>
      </c>
      <c r="E568" s="14">
        <f>Tabla_Consulta_desde_Proyectos7[[#This Row],[Horas]]*Tabla_Consulta_desde_Proyectos7[[#This Row],[PRYUcosto]]/8</f>
        <v>0</v>
      </c>
    </row>
    <row r="569" spans="1:5">
      <c r="A569" t="s">
        <v>6129</v>
      </c>
      <c r="B569" t="s">
        <v>6130</v>
      </c>
      <c r="C569">
        <v>600</v>
      </c>
      <c r="D569">
        <f>SUMIFS(Horas!R:R,Horas!O:O,Tabla_Consulta_desde_Proyectos7[[#This Row],[Usunombre]])</f>
        <v>0</v>
      </c>
      <c r="E569" s="14">
        <f>Tabla_Consulta_desde_Proyectos7[[#This Row],[Horas]]*Tabla_Consulta_desde_Proyectos7[[#This Row],[PRYUcosto]]/8</f>
        <v>0</v>
      </c>
    </row>
    <row r="570" spans="1:5">
      <c r="A570" t="s">
        <v>6840</v>
      </c>
      <c r="B570" t="s">
        <v>6841</v>
      </c>
      <c r="D570">
        <f>SUMIFS(Horas!R:R,Horas!O:O,Tabla_Consulta_desde_Proyectos7[[#This Row],[Usunombre]])</f>
        <v>0</v>
      </c>
      <c r="E570" s="14">
        <f>Tabla_Consulta_desde_Proyectos7[[#This Row],[Horas]]*Tabla_Consulta_desde_Proyectos7[[#This Row],[PRYUcosto]]/8</f>
        <v>0</v>
      </c>
    </row>
    <row r="571" spans="1:5">
      <c r="A571" t="s">
        <v>7533</v>
      </c>
      <c r="B571" t="s">
        <v>7534</v>
      </c>
      <c r="D571">
        <f>SUMIFS(Horas!R:R,Horas!O:O,Tabla_Consulta_desde_Proyectos7[[#This Row],[Usunombre]])</f>
        <v>0</v>
      </c>
      <c r="E571" s="14">
        <f>Tabla_Consulta_desde_Proyectos7[[#This Row],[Horas]]*Tabla_Consulta_desde_Proyectos7[[#This Row],[PRYUcosto]]/8</f>
        <v>0</v>
      </c>
    </row>
    <row r="572" spans="1:5">
      <c r="A572" t="s">
        <v>1072</v>
      </c>
      <c r="B572" t="s">
        <v>1073</v>
      </c>
      <c r="C572">
        <v>600</v>
      </c>
      <c r="D572">
        <f>SUMIFS(Horas!R:R,Horas!O:O,Tabla_Consulta_desde_Proyectos7[[#This Row],[Usunombre]])</f>
        <v>0</v>
      </c>
      <c r="E572" s="14">
        <f>Tabla_Consulta_desde_Proyectos7[[#This Row],[Horas]]*Tabla_Consulta_desde_Proyectos7[[#This Row],[PRYUcosto]]/8</f>
        <v>0</v>
      </c>
    </row>
    <row r="573" spans="1:5">
      <c r="A573" t="s">
        <v>1590</v>
      </c>
      <c r="B573" t="s">
        <v>1591</v>
      </c>
      <c r="D573">
        <f>SUMIFS(Horas!R:R,Horas!O:O,Tabla_Consulta_desde_Proyectos7[[#This Row],[Usunombre]])</f>
        <v>0</v>
      </c>
      <c r="E573" s="14">
        <f>Tabla_Consulta_desde_Proyectos7[[#This Row],[Horas]]*Tabla_Consulta_desde_Proyectos7[[#This Row],[PRYUcosto]]/8</f>
        <v>0</v>
      </c>
    </row>
    <row r="574" spans="1:5">
      <c r="A574" t="s">
        <v>7506</v>
      </c>
      <c r="B574" t="s">
        <v>7507</v>
      </c>
      <c r="D574">
        <f>SUMIFS(Horas!R:R,Horas!O:O,Tabla_Consulta_desde_Proyectos7[[#This Row],[Usunombre]])</f>
        <v>0</v>
      </c>
      <c r="E574" s="14">
        <f>Tabla_Consulta_desde_Proyectos7[[#This Row],[Horas]]*Tabla_Consulta_desde_Proyectos7[[#This Row],[PRYUcosto]]/8</f>
        <v>0</v>
      </c>
    </row>
    <row r="575" spans="1:5">
      <c r="A575" t="s">
        <v>1960</v>
      </c>
      <c r="B575" t="s">
        <v>1961</v>
      </c>
      <c r="C575">
        <v>600</v>
      </c>
      <c r="D575">
        <f>SUMIFS(Horas!R:R,Horas!O:O,Tabla_Consulta_desde_Proyectos7[[#This Row],[Usunombre]])</f>
        <v>0</v>
      </c>
      <c r="E575" s="14">
        <f>Tabla_Consulta_desde_Proyectos7[[#This Row],[Horas]]*Tabla_Consulta_desde_Proyectos7[[#This Row],[PRYUcosto]]/8</f>
        <v>0</v>
      </c>
    </row>
    <row r="576" spans="1:5">
      <c r="A576" t="s">
        <v>1966</v>
      </c>
      <c r="B576" t="s">
        <v>1967</v>
      </c>
      <c r="C576">
        <v>600</v>
      </c>
      <c r="D576">
        <f>SUMIFS(Horas!R:R,Horas!O:O,Tabla_Consulta_desde_Proyectos7[[#This Row],[Usunombre]])</f>
        <v>0</v>
      </c>
      <c r="E576" s="14">
        <f>Tabla_Consulta_desde_Proyectos7[[#This Row],[Horas]]*Tabla_Consulta_desde_Proyectos7[[#This Row],[PRYUcosto]]/8</f>
        <v>0</v>
      </c>
    </row>
    <row r="577" spans="1:5">
      <c r="A577" t="s">
        <v>1198</v>
      </c>
      <c r="B577" t="s">
        <v>1199</v>
      </c>
      <c r="C577">
        <v>600</v>
      </c>
      <c r="D577">
        <f>SUMIFS(Horas!R:R,Horas!O:O,Tabla_Consulta_desde_Proyectos7[[#This Row],[Usunombre]])</f>
        <v>0</v>
      </c>
      <c r="E577" s="14">
        <f>Tabla_Consulta_desde_Proyectos7[[#This Row],[Horas]]*Tabla_Consulta_desde_Proyectos7[[#This Row],[PRYUcosto]]/8</f>
        <v>0</v>
      </c>
    </row>
    <row r="578" spans="1:5">
      <c r="A578" t="s">
        <v>946</v>
      </c>
      <c r="B578" t="s">
        <v>947</v>
      </c>
      <c r="C578">
        <v>800</v>
      </c>
      <c r="D578">
        <f>SUMIFS(Horas!R:R,Horas!O:O,Tabla_Consulta_desde_Proyectos7[[#This Row],[Usunombre]])</f>
        <v>0</v>
      </c>
      <c r="E578" s="14">
        <f>Tabla_Consulta_desde_Proyectos7[[#This Row],[Horas]]*Tabla_Consulta_desde_Proyectos7[[#This Row],[PRYUcosto]]/8</f>
        <v>0</v>
      </c>
    </row>
    <row r="579" spans="1:5">
      <c r="A579" t="s">
        <v>6153</v>
      </c>
      <c r="B579" t="s">
        <v>6154</v>
      </c>
      <c r="C579">
        <v>1200</v>
      </c>
      <c r="D579">
        <f>SUMIFS(Horas!R:R,Horas!O:O,Tabla_Consulta_desde_Proyectos7[[#This Row],[Usunombre]])</f>
        <v>0</v>
      </c>
      <c r="E579" s="14">
        <f>Tabla_Consulta_desde_Proyectos7[[#This Row],[Horas]]*Tabla_Consulta_desde_Proyectos7[[#This Row],[PRYUcosto]]/8</f>
        <v>0</v>
      </c>
    </row>
    <row r="580" spans="1:5">
      <c r="A580" t="s">
        <v>1455</v>
      </c>
      <c r="B580" t="s">
        <v>1456</v>
      </c>
      <c r="C580">
        <v>750</v>
      </c>
      <c r="D580">
        <f>SUMIFS(Horas!R:R,Horas!O:O,Tabla_Consulta_desde_Proyectos7[[#This Row],[Usunombre]])</f>
        <v>0</v>
      </c>
      <c r="E580" s="14">
        <f>Tabla_Consulta_desde_Proyectos7[[#This Row],[Horas]]*Tabla_Consulta_desde_Proyectos7[[#This Row],[PRYUcosto]]/8</f>
        <v>0</v>
      </c>
    </row>
    <row r="581" spans="1:5">
      <c r="A581" t="s">
        <v>993</v>
      </c>
      <c r="B581" t="s">
        <v>994</v>
      </c>
      <c r="C581">
        <v>500</v>
      </c>
      <c r="D581">
        <f>SUMIFS(Horas!R:R,Horas!O:O,Tabla_Consulta_desde_Proyectos7[[#This Row],[Usunombre]])</f>
        <v>0</v>
      </c>
      <c r="E581" s="14">
        <f>Tabla_Consulta_desde_Proyectos7[[#This Row],[Horas]]*Tabla_Consulta_desde_Proyectos7[[#This Row],[PRYUcosto]]/8</f>
        <v>0</v>
      </c>
    </row>
    <row r="582" spans="1:5">
      <c r="A582" t="s">
        <v>1319</v>
      </c>
      <c r="B582" t="s">
        <v>1320</v>
      </c>
      <c r="D582">
        <f>SUMIFS(Horas!R:R,Horas!O:O,Tabla_Consulta_desde_Proyectos7[[#This Row],[Usunombre]])</f>
        <v>0</v>
      </c>
      <c r="E582" s="14">
        <f>Tabla_Consulta_desde_Proyectos7[[#This Row],[Horas]]*Tabla_Consulta_desde_Proyectos7[[#This Row],[PRYUcosto]]/8</f>
        <v>0</v>
      </c>
    </row>
    <row r="583" spans="1:5">
      <c r="A583" t="s">
        <v>5425</v>
      </c>
      <c r="B583" t="s">
        <v>5426</v>
      </c>
      <c r="D583">
        <f>SUMIFS(Horas!R:R,Horas!O:O,Tabla_Consulta_desde_Proyectos7[[#This Row],[Usunombre]])</f>
        <v>0</v>
      </c>
      <c r="E583" s="14">
        <f>Tabla_Consulta_desde_Proyectos7[[#This Row],[Horas]]*Tabla_Consulta_desde_Proyectos7[[#This Row],[PRYUcosto]]/8</f>
        <v>0</v>
      </c>
    </row>
    <row r="584" spans="1:5">
      <c r="A584" t="s">
        <v>1245</v>
      </c>
      <c r="B584" t="s">
        <v>1246</v>
      </c>
      <c r="C584">
        <v>600</v>
      </c>
      <c r="D584">
        <f>SUMIFS(Horas!R:R,Horas!O:O,Tabla_Consulta_desde_Proyectos7[[#This Row],[Usunombre]])</f>
        <v>0</v>
      </c>
      <c r="E584" s="14">
        <f>Tabla_Consulta_desde_Proyectos7[[#This Row],[Horas]]*Tabla_Consulta_desde_Proyectos7[[#This Row],[PRYUcosto]]/8</f>
        <v>0</v>
      </c>
    </row>
    <row r="585" spans="1:5">
      <c r="A585" t="s">
        <v>5238</v>
      </c>
      <c r="B585" t="s">
        <v>5284</v>
      </c>
      <c r="D585">
        <f>SUMIFS(Horas!R:R,Horas!O:O,Tabla_Consulta_desde_Proyectos7[[#This Row],[Usunombre]])</f>
        <v>0</v>
      </c>
      <c r="E585" s="14">
        <f>Tabla_Consulta_desde_Proyectos7[[#This Row],[Horas]]*Tabla_Consulta_desde_Proyectos7[[#This Row],[PRYUcosto]]/8</f>
        <v>0</v>
      </c>
    </row>
    <row r="586" spans="1:5">
      <c r="A586" t="s">
        <v>1991</v>
      </c>
      <c r="B586" t="s">
        <v>1992</v>
      </c>
      <c r="D586">
        <f>SUMIFS(Horas!R:R,Horas!O:O,Tabla_Consulta_desde_Proyectos7[[#This Row],[Usunombre]])</f>
        <v>0</v>
      </c>
      <c r="E586" s="14">
        <f>Tabla_Consulta_desde_Proyectos7[[#This Row],[Horas]]*Tabla_Consulta_desde_Proyectos7[[#This Row],[PRYUcosto]]/8</f>
        <v>0</v>
      </c>
    </row>
    <row r="587" spans="1:5">
      <c r="A587" t="s">
        <v>6127</v>
      </c>
      <c r="B587" t="s">
        <v>6128</v>
      </c>
      <c r="D587">
        <f>SUMIFS(Horas!R:R,Horas!O:O,Tabla_Consulta_desde_Proyectos7[[#This Row],[Usunombre]])</f>
        <v>0</v>
      </c>
      <c r="E587" s="14">
        <f>Tabla_Consulta_desde_Proyectos7[[#This Row],[Horas]]*Tabla_Consulta_desde_Proyectos7[[#This Row],[PRYUcosto]]/8</f>
        <v>0</v>
      </c>
    </row>
    <row r="588" spans="1:5">
      <c r="A588" t="s">
        <v>1822</v>
      </c>
      <c r="B588" t="s">
        <v>1823</v>
      </c>
      <c r="D588">
        <f>SUMIFS(Horas!R:R,Horas!O:O,Tabla_Consulta_desde_Proyectos7[[#This Row],[Usunombre]])</f>
        <v>0</v>
      </c>
      <c r="E588" s="14">
        <f>Tabla_Consulta_desde_Proyectos7[[#This Row],[Horas]]*Tabla_Consulta_desde_Proyectos7[[#This Row],[PRYUcosto]]/8</f>
        <v>0</v>
      </c>
    </row>
    <row r="589" spans="1:5">
      <c r="A589" t="s">
        <v>1287</v>
      </c>
      <c r="B589" t="s">
        <v>1288</v>
      </c>
      <c r="D589">
        <f>SUMIFS(Horas!R:R,Horas!O:O,Tabla_Consulta_desde_Proyectos7[[#This Row],[Usunombre]])</f>
        <v>0</v>
      </c>
      <c r="E589" s="14">
        <f>Tabla_Consulta_desde_Proyectos7[[#This Row],[Horas]]*Tabla_Consulta_desde_Proyectos7[[#This Row],[PRYUcosto]]/8</f>
        <v>0</v>
      </c>
    </row>
    <row r="590" spans="1:5">
      <c r="A590" t="s">
        <v>1995</v>
      </c>
      <c r="B590" t="s">
        <v>1996</v>
      </c>
      <c r="D590">
        <f>SUMIFS(Horas!R:R,Horas!O:O,Tabla_Consulta_desde_Proyectos7[[#This Row],[Usunombre]])</f>
        <v>0</v>
      </c>
      <c r="E590" s="14">
        <f>Tabla_Consulta_desde_Proyectos7[[#This Row],[Horas]]*Tabla_Consulta_desde_Proyectos7[[#This Row],[PRYUcosto]]/8</f>
        <v>0</v>
      </c>
    </row>
    <row r="591" spans="1:5">
      <c r="A591" t="s">
        <v>7241</v>
      </c>
      <c r="B591" t="s">
        <v>7242</v>
      </c>
      <c r="D591">
        <f>SUMIFS(Horas!R:R,Horas!O:O,Tabla_Consulta_desde_Proyectos7[[#This Row],[Usunombre]])</f>
        <v>0</v>
      </c>
      <c r="E591" s="14">
        <f>Tabla_Consulta_desde_Proyectos7[[#This Row],[Horas]]*Tabla_Consulta_desde_Proyectos7[[#This Row],[PRYUcosto]]/8</f>
        <v>0</v>
      </c>
    </row>
    <row r="592" spans="1:5">
      <c r="A592" t="s">
        <v>925</v>
      </c>
      <c r="B592" t="s">
        <v>926</v>
      </c>
      <c r="D592">
        <f>SUMIFS(Horas!R:R,Horas!O:O,Tabla_Consulta_desde_Proyectos7[[#This Row],[Usunombre]])</f>
        <v>0</v>
      </c>
      <c r="E592" s="14">
        <f>Tabla_Consulta_desde_Proyectos7[[#This Row],[Horas]]*Tabla_Consulta_desde_Proyectos7[[#This Row],[PRYUcosto]]/8</f>
        <v>0</v>
      </c>
    </row>
    <row r="593" spans="1:5">
      <c r="A593" t="s">
        <v>4703</v>
      </c>
      <c r="B593" t="s">
        <v>4704</v>
      </c>
      <c r="D593">
        <f>SUMIFS(Horas!R:R,Horas!O:O,Tabla_Consulta_desde_Proyectos7[[#This Row],[Usunombre]])</f>
        <v>0</v>
      </c>
      <c r="E593" s="14">
        <f>Tabla_Consulta_desde_Proyectos7[[#This Row],[Horas]]*Tabla_Consulta_desde_Proyectos7[[#This Row],[PRYUcosto]]/8</f>
        <v>0</v>
      </c>
    </row>
    <row r="594" spans="1:5">
      <c r="A594" t="s">
        <v>1257</v>
      </c>
      <c r="B594" t="s">
        <v>1258</v>
      </c>
      <c r="D594">
        <f>SUMIFS(Horas!R:R,Horas!O:O,Tabla_Consulta_desde_Proyectos7[[#This Row],[Usunombre]])</f>
        <v>0</v>
      </c>
      <c r="E594" s="14">
        <f>Tabla_Consulta_desde_Proyectos7[[#This Row],[Horas]]*Tabla_Consulta_desde_Proyectos7[[#This Row],[PRYUcosto]]/8</f>
        <v>0</v>
      </c>
    </row>
    <row r="595" spans="1:5">
      <c r="A595" t="s">
        <v>5291</v>
      </c>
      <c r="B595" t="s">
        <v>5292</v>
      </c>
      <c r="D595">
        <f>SUMIFS(Horas!R:R,Horas!O:O,Tabla_Consulta_desde_Proyectos7[[#This Row],[Usunombre]])</f>
        <v>0</v>
      </c>
      <c r="E595" s="14">
        <f>Tabla_Consulta_desde_Proyectos7[[#This Row],[Horas]]*Tabla_Consulta_desde_Proyectos7[[#This Row],[PRYUcosto]]/8</f>
        <v>0</v>
      </c>
    </row>
    <row r="596" spans="1:5">
      <c r="A596" t="s">
        <v>1395</v>
      </c>
      <c r="B596" t="s">
        <v>1396</v>
      </c>
      <c r="D596">
        <f>SUMIFS(Horas!R:R,Horas!O:O,Tabla_Consulta_desde_Proyectos7[[#This Row],[Usunombre]])</f>
        <v>0</v>
      </c>
      <c r="E596" s="14">
        <f>Tabla_Consulta_desde_Proyectos7[[#This Row],[Horas]]*Tabla_Consulta_desde_Proyectos7[[#This Row],[PRYUcosto]]/8</f>
        <v>0</v>
      </c>
    </row>
    <row r="597" spans="1:5">
      <c r="A597" t="s">
        <v>1457</v>
      </c>
      <c r="B597" t="s">
        <v>1458</v>
      </c>
      <c r="D597">
        <f>SUMIFS(Horas!R:R,Horas!O:O,Tabla_Consulta_desde_Proyectos7[[#This Row],[Usunombre]])</f>
        <v>0</v>
      </c>
      <c r="E597" s="14">
        <f>Tabla_Consulta_desde_Proyectos7[[#This Row],[Horas]]*Tabla_Consulta_desde_Proyectos7[[#This Row],[PRYUcosto]]/8</f>
        <v>0</v>
      </c>
    </row>
    <row r="598" spans="1:5">
      <c r="A598" t="s">
        <v>6141</v>
      </c>
      <c r="B598" t="s">
        <v>6142</v>
      </c>
      <c r="C598">
        <v>1200</v>
      </c>
      <c r="D598">
        <f>SUMIFS(Horas!R:R,Horas!O:O,Tabla_Consulta_desde_Proyectos7[[#This Row],[Usunombre]])</f>
        <v>0</v>
      </c>
      <c r="E598" s="14">
        <f>Tabla_Consulta_desde_Proyectos7[[#This Row],[Horas]]*Tabla_Consulta_desde_Proyectos7[[#This Row],[PRYUcosto]]/8</f>
        <v>0</v>
      </c>
    </row>
    <row r="599" spans="1:5">
      <c r="A599" t="s">
        <v>1600</v>
      </c>
      <c r="B599" t="s">
        <v>1601</v>
      </c>
      <c r="D599">
        <f>SUMIFS(Horas!R:R,Horas!O:O,Tabla_Consulta_desde_Proyectos7[[#This Row],[Usunombre]])</f>
        <v>0</v>
      </c>
      <c r="E599" s="14">
        <f>Tabla_Consulta_desde_Proyectos7[[#This Row],[Horas]]*Tabla_Consulta_desde_Proyectos7[[#This Row],[PRYUcosto]]/8</f>
        <v>0</v>
      </c>
    </row>
    <row r="600" spans="1:5">
      <c r="A600" t="s">
        <v>965</v>
      </c>
      <c r="B600" t="s">
        <v>966</v>
      </c>
      <c r="D600">
        <f>SUMIFS(Horas!R:R,Horas!O:O,Tabla_Consulta_desde_Proyectos7[[#This Row],[Usunombre]])</f>
        <v>0</v>
      </c>
      <c r="E600" s="14">
        <f>Tabla_Consulta_desde_Proyectos7[[#This Row],[Horas]]*Tabla_Consulta_desde_Proyectos7[[#This Row],[PRYUcosto]]/8</f>
        <v>0</v>
      </c>
    </row>
    <row r="601" spans="1:5">
      <c r="A601" t="s">
        <v>6194</v>
      </c>
      <c r="B601" t="s">
        <v>6195</v>
      </c>
      <c r="D601">
        <f>SUMIFS(Horas!R:R,Horas!O:O,Tabla_Consulta_desde_Proyectos7[[#This Row],[Usunombre]])</f>
        <v>0</v>
      </c>
      <c r="E601" s="14">
        <f>Tabla_Consulta_desde_Proyectos7[[#This Row],[Horas]]*Tabla_Consulta_desde_Proyectos7[[#This Row],[PRYUcosto]]/8</f>
        <v>0</v>
      </c>
    </row>
    <row r="602" spans="1:5">
      <c r="A602" t="s">
        <v>1243</v>
      </c>
      <c r="B602" t="s">
        <v>1244</v>
      </c>
      <c r="D602">
        <f>SUMIFS(Horas!R:R,Horas!O:O,Tabla_Consulta_desde_Proyectos7[[#This Row],[Usunombre]])</f>
        <v>0</v>
      </c>
      <c r="E602" s="14">
        <f>Tabla_Consulta_desde_Proyectos7[[#This Row],[Horas]]*Tabla_Consulta_desde_Proyectos7[[#This Row],[PRYUcosto]]/8</f>
        <v>0</v>
      </c>
    </row>
    <row r="603" spans="1:5">
      <c r="A603" t="s">
        <v>1721</v>
      </c>
      <c r="B603" t="s">
        <v>1722</v>
      </c>
      <c r="D603">
        <f>SUMIFS(Horas!R:R,Horas!O:O,Tabla_Consulta_desde_Proyectos7[[#This Row],[Usunombre]])</f>
        <v>0</v>
      </c>
      <c r="E603" s="14">
        <f>Tabla_Consulta_desde_Proyectos7[[#This Row],[Horas]]*Tabla_Consulta_desde_Proyectos7[[#This Row],[PRYUcosto]]/8</f>
        <v>0</v>
      </c>
    </row>
    <row r="604" spans="1:5">
      <c r="A604" t="s">
        <v>1453</v>
      </c>
      <c r="B604" t="s">
        <v>1454</v>
      </c>
      <c r="D604">
        <f>SUMIFS(Horas!R:R,Horas!O:O,Tabla_Consulta_desde_Proyectos7[[#This Row],[Usunombre]])</f>
        <v>0</v>
      </c>
      <c r="E604" s="14">
        <f>Tabla_Consulta_desde_Proyectos7[[#This Row],[Horas]]*Tabla_Consulta_desde_Proyectos7[[#This Row],[PRYUcosto]]/8</f>
        <v>0</v>
      </c>
    </row>
    <row r="605" spans="1:5">
      <c r="A605" t="s">
        <v>1247</v>
      </c>
      <c r="B605" t="s">
        <v>1248</v>
      </c>
      <c r="D605">
        <f>SUMIFS(Horas!R:R,Horas!O:O,Tabla_Consulta_desde_Proyectos7[[#This Row],[Usunombre]])</f>
        <v>0</v>
      </c>
      <c r="E605" s="14">
        <f>Tabla_Consulta_desde_Proyectos7[[#This Row],[Horas]]*Tabla_Consulta_desde_Proyectos7[[#This Row],[PRYUcosto]]/8</f>
        <v>0</v>
      </c>
    </row>
    <row r="606" spans="1:5">
      <c r="A606" t="s">
        <v>5409</v>
      </c>
      <c r="B606" t="s">
        <v>5410</v>
      </c>
      <c r="D606">
        <f>SUMIFS(Horas!R:R,Horas!O:O,Tabla_Consulta_desde_Proyectos7[[#This Row],[Usunombre]])</f>
        <v>0</v>
      </c>
      <c r="E606" s="14">
        <f>Tabla_Consulta_desde_Proyectos7[[#This Row],[Horas]]*Tabla_Consulta_desde_Proyectos7[[#This Row],[PRYUcosto]]/8</f>
        <v>0</v>
      </c>
    </row>
    <row r="607" spans="1:5">
      <c r="A607" t="s">
        <v>1291</v>
      </c>
      <c r="B607" t="s">
        <v>1292</v>
      </c>
      <c r="C607">
        <v>1400</v>
      </c>
      <c r="D607">
        <f>SUMIFS(Horas!R:R,Horas!O:O,Tabla_Consulta_desde_Proyectos7[[#This Row],[Usunombre]])</f>
        <v>0</v>
      </c>
      <c r="E607" s="14">
        <f>Tabla_Consulta_desde_Proyectos7[[#This Row],[Horas]]*Tabla_Consulta_desde_Proyectos7[[#This Row],[PRYUcosto]]/8</f>
        <v>0</v>
      </c>
    </row>
    <row r="608" spans="1:5">
      <c r="A608" t="s">
        <v>1970</v>
      </c>
      <c r="B608" t="s">
        <v>1971</v>
      </c>
      <c r="C608">
        <v>750</v>
      </c>
      <c r="D608">
        <f>SUMIFS(Horas!R:R,Horas!O:O,Tabla_Consulta_desde_Proyectos7[[#This Row],[Usunombre]])</f>
        <v>0</v>
      </c>
      <c r="E608" s="14">
        <f>Tabla_Consulta_desde_Proyectos7[[#This Row],[Horas]]*Tabla_Consulta_desde_Proyectos7[[#This Row],[PRYUcosto]]/8</f>
        <v>0</v>
      </c>
    </row>
    <row r="609" spans="1:5">
      <c r="A609" t="s">
        <v>1047</v>
      </c>
      <c r="B609" t="s">
        <v>1048</v>
      </c>
      <c r="C609">
        <v>750</v>
      </c>
      <c r="D609">
        <f>SUMIFS(Horas!R:R,Horas!O:O,Tabla_Consulta_desde_Proyectos7[[#This Row],[Usunombre]])</f>
        <v>0</v>
      </c>
      <c r="E609" s="14">
        <f>Tabla_Consulta_desde_Proyectos7[[#This Row],[Horas]]*Tabla_Consulta_desde_Proyectos7[[#This Row],[PRYUcosto]]/8</f>
        <v>0</v>
      </c>
    </row>
    <row r="610" spans="1:5">
      <c r="A610" t="s">
        <v>1268</v>
      </c>
      <c r="B610" t="s">
        <v>1269</v>
      </c>
      <c r="C610">
        <v>600</v>
      </c>
      <c r="D610">
        <f>SUMIFS(Horas!R:R,Horas!O:O,Tabla_Consulta_desde_Proyectos7[[#This Row],[Usunombre]])</f>
        <v>0</v>
      </c>
      <c r="E610" s="14">
        <f>Tabla_Consulta_desde_Proyectos7[[#This Row],[Horas]]*Tabla_Consulta_desde_Proyectos7[[#This Row],[PRYUcosto]]/8</f>
        <v>0</v>
      </c>
    </row>
    <row r="611" spans="1:5">
      <c r="A611" t="s">
        <v>6135</v>
      </c>
      <c r="B611" t="s">
        <v>6136</v>
      </c>
      <c r="C611">
        <v>1200</v>
      </c>
      <c r="D611">
        <f>SUMIFS(Horas!R:R,Horas!O:O,Tabla_Consulta_desde_Proyectos7[[#This Row],[Usunombre]])</f>
        <v>0</v>
      </c>
      <c r="E611" s="14">
        <f>Tabla_Consulta_desde_Proyectos7[[#This Row],[Horas]]*Tabla_Consulta_desde_Proyectos7[[#This Row],[PRYUcosto]]/8</f>
        <v>0</v>
      </c>
    </row>
    <row r="612" spans="1:5">
      <c r="A612" t="s">
        <v>1713</v>
      </c>
      <c r="B612" t="s">
        <v>1714</v>
      </c>
      <c r="D612">
        <f>SUMIFS(Horas!R:R,Horas!O:O,Tabla_Consulta_desde_Proyectos7[[#This Row],[Usunombre]])</f>
        <v>0</v>
      </c>
      <c r="E612" s="14">
        <f>Tabla_Consulta_desde_Proyectos7[[#This Row],[Horas]]*Tabla_Consulta_desde_Proyectos7[[#This Row],[PRYUcosto]]/8</f>
        <v>0</v>
      </c>
    </row>
    <row r="613" spans="1:5">
      <c r="A613" t="s">
        <v>1643</v>
      </c>
      <c r="B613" t="s">
        <v>1644</v>
      </c>
      <c r="D613">
        <f>SUMIFS(Horas!R:R,Horas!O:O,Tabla_Consulta_desde_Proyectos7[[#This Row],[Usunombre]])</f>
        <v>0</v>
      </c>
      <c r="E613" s="14">
        <f>Tabla_Consulta_desde_Proyectos7[[#This Row],[Horas]]*Tabla_Consulta_desde_Proyectos7[[#This Row],[PRYUcosto]]/8</f>
        <v>0</v>
      </c>
    </row>
    <row r="614" spans="1:5">
      <c r="A614" t="s">
        <v>5726</v>
      </c>
      <c r="B614" t="s">
        <v>5727</v>
      </c>
      <c r="C614">
        <v>1200</v>
      </c>
      <c r="D614">
        <f>SUMIFS(Horas!R:R,Horas!O:O,Tabla_Consulta_desde_Proyectos7[[#This Row],[Usunombre]])</f>
        <v>0</v>
      </c>
      <c r="E614" s="14">
        <f>Tabla_Consulta_desde_Proyectos7[[#This Row],[Horas]]*Tabla_Consulta_desde_Proyectos7[[#This Row],[PRYUcosto]]/8</f>
        <v>0</v>
      </c>
    </row>
    <row r="615" spans="1:5">
      <c r="A615" t="s">
        <v>2017</v>
      </c>
      <c r="B615" t="s">
        <v>2018</v>
      </c>
      <c r="D615">
        <f>SUMIFS(Horas!R:R,Horas!O:O,Tabla_Consulta_desde_Proyectos7[[#This Row],[Usunombre]])</f>
        <v>0</v>
      </c>
      <c r="E615" s="14">
        <f>Tabla_Consulta_desde_Proyectos7[[#This Row],[Horas]]*Tabla_Consulta_desde_Proyectos7[[#This Row],[PRYUcosto]]/8</f>
        <v>0</v>
      </c>
    </row>
    <row r="616" spans="1:5">
      <c r="A616" t="s">
        <v>6216</v>
      </c>
      <c r="B616" t="s">
        <v>6217</v>
      </c>
      <c r="D616">
        <f>SUMIFS(Horas!R:R,Horas!O:O,Tabla_Consulta_desde_Proyectos7[[#This Row],[Usunombre]])</f>
        <v>0</v>
      </c>
      <c r="E616" s="14">
        <f>Tabla_Consulta_desde_Proyectos7[[#This Row],[Horas]]*Tabla_Consulta_desde_Proyectos7[[#This Row],[PRYUcosto]]/8</f>
        <v>0</v>
      </c>
    </row>
    <row r="617" spans="1:5">
      <c r="A617" t="s">
        <v>1495</v>
      </c>
      <c r="B617" t="s">
        <v>1496</v>
      </c>
      <c r="C617">
        <v>600</v>
      </c>
      <c r="D617">
        <f>SUMIFS(Horas!R:R,Horas!O:O,Tabla_Consulta_desde_Proyectos7[[#This Row],[Usunombre]])</f>
        <v>0</v>
      </c>
      <c r="E617" s="14">
        <f>Tabla_Consulta_desde_Proyectos7[[#This Row],[Horas]]*Tabla_Consulta_desde_Proyectos7[[#This Row],[PRYUcosto]]/8</f>
        <v>0</v>
      </c>
    </row>
    <row r="618" spans="1:5">
      <c r="A618" t="s">
        <v>989</v>
      </c>
      <c r="B618" t="s">
        <v>990</v>
      </c>
      <c r="D618">
        <f>SUMIFS(Horas!R:R,Horas!O:O,Tabla_Consulta_desde_Proyectos7[[#This Row],[Usunombre]])</f>
        <v>0</v>
      </c>
      <c r="E618" s="14">
        <f>Tabla_Consulta_desde_Proyectos7[[#This Row],[Horas]]*Tabla_Consulta_desde_Proyectos7[[#This Row],[PRYUcosto]]/8</f>
        <v>0</v>
      </c>
    </row>
    <row r="619" spans="1:5">
      <c r="A619" t="s">
        <v>6971</v>
      </c>
      <c r="B619" t="s">
        <v>6972</v>
      </c>
      <c r="D619">
        <f>SUMIFS(Horas!R:R,Horas!O:O,Tabla_Consulta_desde_Proyectos7[[#This Row],[Usunombre]])</f>
        <v>0</v>
      </c>
      <c r="E619" s="14">
        <f>Tabla_Consulta_desde_Proyectos7[[#This Row],[Horas]]*Tabla_Consulta_desde_Proyectos7[[#This Row],[PRYUcosto]]/8</f>
        <v>0</v>
      </c>
    </row>
    <row r="620" spans="1:5">
      <c r="A620" t="s">
        <v>1253</v>
      </c>
      <c r="B620" t="s">
        <v>1254</v>
      </c>
      <c r="D620">
        <f>SUMIFS(Horas!R:R,Horas!O:O,Tabla_Consulta_desde_Proyectos7[[#This Row],[Usunombre]])</f>
        <v>0</v>
      </c>
      <c r="E620" s="14">
        <f>Tabla_Consulta_desde_Proyectos7[[#This Row],[Horas]]*Tabla_Consulta_desde_Proyectos7[[#This Row],[PRYUcosto]]/8</f>
        <v>0</v>
      </c>
    </row>
    <row r="621" spans="1:5">
      <c r="A621" t="s">
        <v>942</v>
      </c>
      <c r="B621" t="s">
        <v>943</v>
      </c>
      <c r="D621">
        <f>SUMIFS(Horas!R:R,Horas!O:O,Tabla_Consulta_desde_Proyectos7[[#This Row],[Usunombre]])</f>
        <v>0</v>
      </c>
      <c r="E621" s="14">
        <f>Tabla_Consulta_desde_Proyectos7[[#This Row],[Horas]]*Tabla_Consulta_desde_Proyectos7[[#This Row],[PRYUcosto]]/8</f>
        <v>0</v>
      </c>
    </row>
    <row r="622" spans="1:5">
      <c r="A622" t="s">
        <v>1715</v>
      </c>
      <c r="B622" t="s">
        <v>1716</v>
      </c>
      <c r="D622">
        <f>SUMIFS(Horas!R:R,Horas!O:O,Tabla_Consulta_desde_Proyectos7[[#This Row],[Usunombre]])</f>
        <v>0</v>
      </c>
      <c r="E622" s="14">
        <f>Tabla_Consulta_desde_Proyectos7[[#This Row],[Horas]]*Tabla_Consulta_desde_Proyectos7[[#This Row],[PRYUcosto]]/8</f>
        <v>0</v>
      </c>
    </row>
    <row r="623" spans="1:5">
      <c r="A623" t="s">
        <v>1834</v>
      </c>
      <c r="B623" t="s">
        <v>1835</v>
      </c>
      <c r="D623">
        <f>SUMIFS(Horas!R:R,Horas!O:O,Tabla_Consulta_desde_Proyectos7[[#This Row],[Usunombre]])</f>
        <v>0</v>
      </c>
      <c r="E623" s="33">
        <f>Tabla_Consulta_desde_Proyectos7[[#This Row],[Horas]]*Tabla_Consulta_desde_Proyectos7[[#This Row],[PRYUcosto]]/8</f>
        <v>0</v>
      </c>
    </row>
    <row r="624" spans="1:5">
      <c r="A624" t="s">
        <v>6071</v>
      </c>
      <c r="B624" t="s">
        <v>6072</v>
      </c>
      <c r="C624">
        <v>600</v>
      </c>
      <c r="D624">
        <f>SUMIFS(Horas!R:R,Horas!O:O,Tabla_Consulta_desde_Proyectos7[[#This Row],[Usunombre]])</f>
        <v>0</v>
      </c>
      <c r="E624" s="33">
        <f>Tabla_Consulta_desde_Proyectos7[[#This Row],[Horas]]*Tabla_Consulta_desde_Proyectos7[[#This Row],[PRYUcosto]]/8</f>
        <v>0</v>
      </c>
    </row>
    <row r="625" spans="1:5">
      <c r="A625" t="s">
        <v>1078</v>
      </c>
      <c r="B625" t="s">
        <v>4689</v>
      </c>
      <c r="D625">
        <f>SUMIFS(Horas!R:R,Horas!O:O,Tabla_Consulta_desde_Proyectos7[[#This Row],[Usunombre]])</f>
        <v>0</v>
      </c>
      <c r="E625" s="33">
        <f>Tabla_Consulta_desde_Proyectos7[[#This Row],[Horas]]*Tabla_Consulta_desde_Proyectos7[[#This Row],[PRYUcosto]]/8</f>
        <v>0</v>
      </c>
    </row>
    <row r="626" spans="1:5">
      <c r="A626" t="s">
        <v>1227</v>
      </c>
      <c r="B626" t="s">
        <v>1228</v>
      </c>
      <c r="C626">
        <v>750</v>
      </c>
      <c r="D626">
        <f>SUMIFS(Horas!R:R,Horas!O:O,Tabla_Consulta_desde_Proyectos7[[#This Row],[Usunombre]])</f>
        <v>0</v>
      </c>
      <c r="E626" s="33">
        <f>Tabla_Consulta_desde_Proyectos7[[#This Row],[Horas]]*Tabla_Consulta_desde_Proyectos7[[#This Row],[PRYUcosto]]/8</f>
        <v>0</v>
      </c>
    </row>
    <row r="627" spans="1:5">
      <c r="A627" t="s">
        <v>923</v>
      </c>
      <c r="B627" t="s">
        <v>924</v>
      </c>
      <c r="D627">
        <f>SUMIFS(Horas!R:R,Horas!O:O,Tabla_Consulta_desde_Proyectos7[[#This Row],[Usunombre]])</f>
        <v>0</v>
      </c>
      <c r="E627" s="33">
        <f>Tabla_Consulta_desde_Proyectos7[[#This Row],[Horas]]*Tabla_Consulta_desde_Proyectos7[[#This Row],[PRYUcosto]]/8</f>
        <v>0</v>
      </c>
    </row>
    <row r="628" spans="1:5">
      <c r="A628" t="s">
        <v>1763</v>
      </c>
      <c r="B628" t="s">
        <v>1764</v>
      </c>
      <c r="C628">
        <v>600</v>
      </c>
      <c r="D628">
        <f>SUMIFS(Horas!R:R,Horas!O:O,Tabla_Consulta_desde_Proyectos7[[#This Row],[Usunombre]])</f>
        <v>0</v>
      </c>
      <c r="E628" s="33">
        <f>Tabla_Consulta_desde_Proyectos7[[#This Row],[Horas]]*Tabla_Consulta_desde_Proyectos7[[#This Row],[PRYUcosto]]/8</f>
        <v>0</v>
      </c>
    </row>
    <row r="629" spans="1:5">
      <c r="A629" t="s">
        <v>915</v>
      </c>
      <c r="B629" t="s">
        <v>916</v>
      </c>
      <c r="C629">
        <v>0</v>
      </c>
      <c r="D629">
        <f>SUMIFS(Horas!R:R,Horas!O:O,Tabla_Consulta_desde_Proyectos7[[#This Row],[Usunombre]])</f>
        <v>0</v>
      </c>
      <c r="E629" s="33">
        <f>Tabla_Consulta_desde_Proyectos7[[#This Row],[Horas]]*Tabla_Consulta_desde_Proyectos7[[#This Row],[PRYUcosto]]/8</f>
        <v>0</v>
      </c>
    </row>
    <row r="630" spans="1:5">
      <c r="A630" t="s">
        <v>1100</v>
      </c>
      <c r="B630" t="s">
        <v>1101</v>
      </c>
      <c r="D630">
        <f>SUMIFS(Horas!R:R,Horas!O:O,Tabla_Consulta_desde_Proyectos7[[#This Row],[Usunombre]])</f>
        <v>0</v>
      </c>
      <c r="E630" s="33">
        <f>Tabla_Consulta_desde_Proyectos7[[#This Row],[Horas]]*Tabla_Consulta_desde_Proyectos7[[#This Row],[PRYUcosto]]/8</f>
        <v>0</v>
      </c>
    </row>
    <row r="631" spans="1:5">
      <c r="A631" t="s">
        <v>1089</v>
      </c>
      <c r="B631" t="s">
        <v>1090</v>
      </c>
      <c r="C631">
        <v>600</v>
      </c>
      <c r="D631">
        <f>SUMIFS(Horas!R:R,Horas!O:O,Tabla_Consulta_desde_Proyectos7[[#This Row],[Usunombre]])</f>
        <v>0</v>
      </c>
      <c r="E631" s="33">
        <f>Tabla_Consulta_desde_Proyectos7[[#This Row],[Horas]]*Tabla_Consulta_desde_Proyectos7[[#This Row],[PRYUcosto]]/8</f>
        <v>0</v>
      </c>
    </row>
    <row r="632" spans="1:5">
      <c r="A632" t="s">
        <v>7535</v>
      </c>
      <c r="B632" t="s">
        <v>7536</v>
      </c>
      <c r="C632">
        <v>600</v>
      </c>
      <c r="D632">
        <f>SUMIFS(Horas!R:R,Horas!O:O,Tabla_Consulta_desde_Proyectos7[[#This Row],[Usunombre]])</f>
        <v>0</v>
      </c>
      <c r="E632" s="33">
        <f>Tabla_Consulta_desde_Proyectos7[[#This Row],[Horas]]*Tabla_Consulta_desde_Proyectos7[[#This Row],[PRYUcosto]]/8</f>
        <v>0</v>
      </c>
    </row>
    <row r="633" spans="1:5">
      <c r="A633" t="s">
        <v>1087</v>
      </c>
      <c r="B633" t="s">
        <v>4691</v>
      </c>
      <c r="D633">
        <f>SUMIFS(Horas!R:R,Horas!O:O,Tabla_Consulta_desde_Proyectos7[[#This Row],[Usunombre]])</f>
        <v>0</v>
      </c>
      <c r="E633" s="33">
        <f>Tabla_Consulta_desde_Proyectos7[[#This Row],[Horas]]*Tabla_Consulta_desde_Proyectos7[[#This Row],[PRYUcosto]]/8</f>
        <v>0</v>
      </c>
    </row>
    <row r="634" spans="1:5">
      <c r="A634" t="s">
        <v>6178</v>
      </c>
      <c r="B634" t="s">
        <v>6179</v>
      </c>
      <c r="D634">
        <f>SUMIFS(Horas!R:R,Horas!O:O,Tabla_Consulta_desde_Proyectos7[[#This Row],[Usunombre]])</f>
        <v>0</v>
      </c>
      <c r="E634" s="33">
        <f>Tabla_Consulta_desde_Proyectos7[[#This Row],[Horas]]*Tabla_Consulta_desde_Proyectos7[[#This Row],[PRYUcosto]]/8</f>
        <v>0</v>
      </c>
    </row>
    <row r="635" spans="1:5">
      <c r="A635" t="s">
        <v>927</v>
      </c>
      <c r="B635" t="s">
        <v>928</v>
      </c>
      <c r="C635">
        <v>1400</v>
      </c>
      <c r="D635">
        <f>SUMIFS(Horas!R:R,Horas!O:O,Tabla_Consulta_desde_Proyectos7[[#This Row],[Usunombre]])</f>
        <v>0</v>
      </c>
      <c r="E635" s="33">
        <f>Tabla_Consulta_desde_Proyectos7[[#This Row],[Horas]]*Tabla_Consulta_desde_Proyectos7[[#This Row],[PRYUcosto]]/8</f>
        <v>0</v>
      </c>
    </row>
    <row r="636" spans="1:5">
      <c r="A636" t="s">
        <v>1598</v>
      </c>
      <c r="B636" t="s">
        <v>1599</v>
      </c>
      <c r="C636">
        <v>1200</v>
      </c>
      <c r="D636">
        <f>SUMIFS(Horas!R:R,Horas!O:O,Tabla_Consulta_desde_Proyectos7[[#This Row],[Usunombre]])</f>
        <v>0</v>
      </c>
      <c r="E636" s="33">
        <f>Tabla_Consulta_desde_Proyectos7[[#This Row],[Horas]]*Tabla_Consulta_desde_Proyectos7[[#This Row],[PRYUcosto]]/8</f>
        <v>0</v>
      </c>
    </row>
    <row r="637" spans="1:5">
      <c r="A637" t="s">
        <v>963</v>
      </c>
      <c r="B637" t="s">
        <v>964</v>
      </c>
      <c r="D637">
        <f>SUMIFS(Horas!R:R,Horas!O:O,Tabla_Consulta_desde_Proyectos7[[#This Row],[Usunombre]])</f>
        <v>0</v>
      </c>
      <c r="E637" s="33">
        <f>Tabla_Consulta_desde_Proyectos7[[#This Row],[Horas]]*Tabla_Consulta_desde_Proyectos7[[#This Row],[PRYUcosto]]/8</f>
        <v>0</v>
      </c>
    </row>
    <row r="638" spans="1:5">
      <c r="A638" t="s">
        <v>1866</v>
      </c>
      <c r="B638" t="s">
        <v>1867</v>
      </c>
      <c r="D638">
        <f>SUMIFS(Horas!R:R,Horas!O:O,Tabla_Consulta_desde_Proyectos7[[#This Row],[Usunombre]])</f>
        <v>0</v>
      </c>
      <c r="E638" s="33">
        <f>Tabla_Consulta_desde_Proyectos7[[#This Row],[Horas]]*Tabla_Consulta_desde_Proyectos7[[#This Row],[PRYUcosto]]/8</f>
        <v>0</v>
      </c>
    </row>
    <row r="639" spans="1:5">
      <c r="A639" t="s">
        <v>5439</v>
      </c>
      <c r="B639" t="s">
        <v>5440</v>
      </c>
      <c r="C639">
        <v>600</v>
      </c>
      <c r="D639">
        <f>SUMIFS(Horas!R:R,Horas!O:O,Tabla_Consulta_desde_Proyectos7[[#This Row],[Usunombre]])</f>
        <v>0</v>
      </c>
      <c r="E639" s="33">
        <f>Tabla_Consulta_desde_Proyectos7[[#This Row],[Horas]]*Tabla_Consulta_desde_Proyectos7[[#This Row],[PRYUcosto]]/8</f>
        <v>0</v>
      </c>
    </row>
    <row r="640" spans="1:5">
      <c r="A640" t="s">
        <v>954</v>
      </c>
      <c r="B640" t="s">
        <v>955</v>
      </c>
      <c r="C640">
        <v>600</v>
      </c>
      <c r="D640">
        <f>SUMIFS(Horas!R:R,Horas!O:O,Tabla_Consulta_desde_Proyectos7[[#This Row],[Usunombre]])</f>
        <v>0</v>
      </c>
      <c r="E640" s="33">
        <f>Tabla_Consulta_desde_Proyectos7[[#This Row],[Horas]]*Tabla_Consulta_desde_Proyectos7[[#This Row],[PRYUcosto]]/8</f>
        <v>0</v>
      </c>
    </row>
    <row r="641" spans="1:5">
      <c r="A641" t="s">
        <v>5260</v>
      </c>
      <c r="B641" t="s">
        <v>5261</v>
      </c>
      <c r="D641">
        <f>SUMIFS(Horas!R:R,Horas!O:O,Tabla_Consulta_desde_Proyectos7[[#This Row],[Usunombre]])</f>
        <v>0</v>
      </c>
      <c r="E641" s="33">
        <f>Tabla_Consulta_desde_Proyectos7[[#This Row],[Horas]]*Tabla_Consulta_desde_Proyectos7[[#This Row],[PRYUcosto]]/8</f>
        <v>0</v>
      </c>
    </row>
    <row r="642" spans="1:5">
      <c r="A642" t="s">
        <v>1107</v>
      </c>
      <c r="B642" t="s">
        <v>1108</v>
      </c>
      <c r="D642">
        <f>SUMIFS(Horas!R:R,Horas!O:O,Tabla_Consulta_desde_Proyectos7[[#This Row],[Usunombre]])</f>
        <v>0</v>
      </c>
      <c r="E642" s="33">
        <f>Tabla_Consulta_desde_Proyectos7[[#This Row],[Horas]]*Tabla_Consulta_desde_Proyectos7[[#This Row],[PRYUcosto]]/8</f>
        <v>0</v>
      </c>
    </row>
    <row r="643" spans="1:5">
      <c r="A643" t="s">
        <v>5449</v>
      </c>
      <c r="B643" t="s">
        <v>5450</v>
      </c>
      <c r="D643">
        <f>SUMIFS(Horas!R:R,Horas!O:O,Tabla_Consulta_desde_Proyectos7[[#This Row],[Usunombre]])</f>
        <v>0</v>
      </c>
      <c r="E643" s="33">
        <f>Tabla_Consulta_desde_Proyectos7[[#This Row],[Horas]]*Tabla_Consulta_desde_Proyectos7[[#This Row],[PRYUcosto]]/8</f>
        <v>0</v>
      </c>
    </row>
    <row r="644" spans="1:5">
      <c r="A644" t="s">
        <v>7013</v>
      </c>
      <c r="B644" t="s">
        <v>7014</v>
      </c>
      <c r="D644">
        <f>SUMIFS(Horas!R:R,Horas!O:O,Tabla_Consulta_desde_Proyectos7[[#This Row],[Usunombre]])</f>
        <v>0</v>
      </c>
      <c r="E644" s="33">
        <f>Tabla_Consulta_desde_Proyectos7[[#This Row],[Horas]]*Tabla_Consulta_desde_Proyectos7[[#This Row],[PRYUcosto]]/8</f>
        <v>0</v>
      </c>
    </row>
    <row r="645" spans="1:5">
      <c r="A645" t="s">
        <v>1870</v>
      </c>
      <c r="B645" t="s">
        <v>1871</v>
      </c>
      <c r="D645">
        <f>SUMIFS(Horas!R:R,Horas!O:O,Tabla_Consulta_desde_Proyectos7[[#This Row],[Usunombre]])</f>
        <v>0</v>
      </c>
      <c r="E645" s="33">
        <f>Tabla_Consulta_desde_Proyectos7[[#This Row],[Horas]]*Tabla_Consulta_desde_Proyectos7[[#This Row],[PRYUcosto]]/8</f>
        <v>0</v>
      </c>
    </row>
    <row r="646" spans="1:5">
      <c r="A646" t="s">
        <v>6657</v>
      </c>
      <c r="B646" t="s">
        <v>6658</v>
      </c>
      <c r="D646">
        <f>SUMIFS(Horas!R:R,Horas!O:O,Tabla_Consulta_desde_Proyectos7[[#This Row],[Usunombre]])</f>
        <v>0</v>
      </c>
      <c r="E646" s="33">
        <f>Tabla_Consulta_desde_Proyectos7[[#This Row],[Horas]]*Tabla_Consulta_desde_Proyectos7[[#This Row],[PRYUcosto]]/8</f>
        <v>0</v>
      </c>
    </row>
    <row r="647" spans="1:5">
      <c r="A647" t="s">
        <v>1323</v>
      </c>
      <c r="B647" t="s">
        <v>1324</v>
      </c>
      <c r="D647">
        <f>SUMIFS(Horas!R:R,Horas!O:O,Tabla_Consulta_desde_Proyectos7[[#This Row],[Usunombre]])</f>
        <v>0</v>
      </c>
      <c r="E647" s="33">
        <f>Tabla_Consulta_desde_Proyectos7[[#This Row],[Horas]]*Tabla_Consulta_desde_Proyectos7[[#This Row],[PRYUcosto]]/8</f>
        <v>0</v>
      </c>
    </row>
    <row r="648" spans="1:5">
      <c r="A648" t="s">
        <v>6143</v>
      </c>
      <c r="B648" t="s">
        <v>6144</v>
      </c>
      <c r="D648">
        <f>SUMIFS(Horas!R:R,Horas!O:O,Tabla_Consulta_desde_Proyectos7[[#This Row],[Usunombre]])</f>
        <v>0</v>
      </c>
      <c r="E648" s="33">
        <f>Tabla_Consulta_desde_Proyectos7[[#This Row],[Horas]]*Tabla_Consulta_desde_Proyectos7[[#This Row],[PRYUcosto]]/8</f>
        <v>0</v>
      </c>
    </row>
    <row r="649" spans="1:5">
      <c r="A649" t="s">
        <v>1447</v>
      </c>
      <c r="B649" t="s">
        <v>1448</v>
      </c>
      <c r="D649">
        <f>SUMIFS(Horas!R:R,Horas!O:O,Tabla_Consulta_desde_Proyectos7[[#This Row],[Usunombre]])</f>
        <v>0</v>
      </c>
      <c r="E649" s="33">
        <f>Tabla_Consulta_desde_Proyectos7[[#This Row],[Horas]]*Tabla_Consulta_desde_Proyectos7[[#This Row],[PRYUcosto]]/8</f>
        <v>0</v>
      </c>
    </row>
    <row r="650" spans="1:5">
      <c r="A650" t="s">
        <v>3913</v>
      </c>
      <c r="B650" t="s">
        <v>3914</v>
      </c>
      <c r="D650">
        <f>SUMIFS(Horas!R:R,Horas!O:O,Tabla_Consulta_desde_Proyectos7[[#This Row],[Usunombre]])</f>
        <v>0</v>
      </c>
      <c r="E650" s="33">
        <f>Tabla_Consulta_desde_Proyectos7[[#This Row],[Horas]]*Tabla_Consulta_desde_Proyectos7[[#This Row],[PRYUcosto]]/8</f>
        <v>0</v>
      </c>
    </row>
    <row r="651" spans="1:5">
      <c r="A651" t="s">
        <v>931</v>
      </c>
      <c r="B651" t="s">
        <v>932</v>
      </c>
      <c r="D651">
        <f>SUMIFS(Horas!R:R,Horas!O:O,Tabla_Consulta_desde_Proyectos7[[#This Row],[Usunombre]])</f>
        <v>0</v>
      </c>
      <c r="E651" s="33">
        <f>Tabla_Consulta_desde_Proyectos7[[#This Row],[Horas]]*Tabla_Consulta_desde_Proyectos7[[#This Row],[PRYUcosto]]/8</f>
        <v>0</v>
      </c>
    </row>
    <row r="652" spans="1:5">
      <c r="A652" t="s">
        <v>1483</v>
      </c>
      <c r="B652" t="s">
        <v>1484</v>
      </c>
      <c r="D652">
        <f>SUMIFS(Horas!R:R,Horas!O:O,Tabla_Consulta_desde_Proyectos7[[#This Row],[Usunombre]])</f>
        <v>0</v>
      </c>
      <c r="E652" s="33">
        <f>Tabla_Consulta_desde_Proyectos7[[#This Row],[Horas]]*Tabla_Consulta_desde_Proyectos7[[#This Row],[PRYUcosto]]/8</f>
        <v>0</v>
      </c>
    </row>
    <row r="653" spans="1:5">
      <c r="A653" t="s">
        <v>1409</v>
      </c>
      <c r="B653" t="s">
        <v>1410</v>
      </c>
      <c r="D653">
        <f>SUMIFS(Horas!R:R,Horas!O:O,Tabla_Consulta_desde_Proyectos7[[#This Row],[Usunombre]])</f>
        <v>0</v>
      </c>
      <c r="E653" s="33">
        <f>Tabla_Consulta_desde_Proyectos7[[#This Row],[Horas]]*Tabla_Consulta_desde_Proyectos7[[#This Row],[PRYUcosto]]/8</f>
        <v>0</v>
      </c>
    </row>
    <row r="654" spans="1:5">
      <c r="A654" t="s">
        <v>6836</v>
      </c>
      <c r="B654" t="s">
        <v>6837</v>
      </c>
      <c r="D654">
        <f>SUMIFS(Horas!R:R,Horas!O:O,Tabla_Consulta_desde_Proyectos7[[#This Row],[Usunombre]])</f>
        <v>0</v>
      </c>
      <c r="E654" s="33">
        <f>Tabla_Consulta_desde_Proyectos7[[#This Row],[Horas]]*Tabla_Consulta_desde_Proyectos7[[#This Row],[PRYUcosto]]/8</f>
        <v>0</v>
      </c>
    </row>
    <row r="655" spans="1:5">
      <c r="A655" t="s">
        <v>4989</v>
      </c>
      <c r="B655" t="s">
        <v>5406</v>
      </c>
      <c r="D655">
        <f>SUMIFS(Horas!R:R,Horas!O:O,Tabla_Consulta_desde_Proyectos7[[#This Row],[Usunombre]])</f>
        <v>0</v>
      </c>
      <c r="E655" s="33">
        <f>Tabla_Consulta_desde_Proyectos7[[#This Row],[Horas]]*Tabla_Consulta_desde_Proyectos7[[#This Row],[PRYUcosto]]/8</f>
        <v>0</v>
      </c>
    </row>
    <row r="656" spans="1:5">
      <c r="A656" t="s">
        <v>1497</v>
      </c>
      <c r="B656" t="s">
        <v>1498</v>
      </c>
      <c r="C656">
        <v>600</v>
      </c>
      <c r="D656">
        <f>SUMIFS(Horas!R:R,Horas!O:O,Tabla_Consulta_desde_Proyectos7[[#This Row],[Usunombre]])</f>
        <v>0</v>
      </c>
      <c r="E656" s="33">
        <f>Tabla_Consulta_desde_Proyectos7[[#This Row],[Horas]]*Tabla_Consulta_desde_Proyectos7[[#This Row],[PRYUcosto]]/8</f>
        <v>0</v>
      </c>
    </row>
    <row r="657" spans="1:5">
      <c r="A657" t="s">
        <v>1614</v>
      </c>
      <c r="B657" t="s">
        <v>1615</v>
      </c>
      <c r="C657">
        <v>600</v>
      </c>
      <c r="D657">
        <f>SUMIFS(Horas!R:R,Horas!O:O,Tabla_Consulta_desde_Proyectos7[[#This Row],[Usunombre]])</f>
        <v>0</v>
      </c>
      <c r="E657" s="33">
        <f>Tabla_Consulta_desde_Proyectos7[[#This Row],[Horas]]*Tabla_Consulta_desde_Proyectos7[[#This Row],[PRYUcosto]]/8</f>
        <v>0</v>
      </c>
    </row>
    <row r="658" spans="1:5">
      <c r="A658" t="s">
        <v>1532</v>
      </c>
      <c r="B658" t="s">
        <v>1533</v>
      </c>
      <c r="D658">
        <f>SUMIFS(Horas!R:R,Horas!O:O,Tabla_Consulta_desde_Proyectos7[[#This Row],[Usunombre]])</f>
        <v>0</v>
      </c>
      <c r="E658" s="33">
        <f>Tabla_Consulta_desde_Proyectos7[[#This Row],[Horas]]*Tabla_Consulta_desde_Proyectos7[[#This Row],[PRYUcosto]]/8</f>
        <v>0</v>
      </c>
    </row>
    <row r="659" spans="1:5">
      <c r="A659" t="s">
        <v>1363</v>
      </c>
      <c r="B659" t="s">
        <v>1364</v>
      </c>
      <c r="D659">
        <f>SUMIFS(Horas!R:R,Horas!O:O,Tabla_Consulta_desde_Proyectos7[[#This Row],[Usunombre]])</f>
        <v>0</v>
      </c>
      <c r="E659" s="33">
        <f>Tabla_Consulta_desde_Proyectos7[[#This Row],[Horas]]*Tabla_Consulta_desde_Proyectos7[[#This Row],[PRYUcosto]]/8</f>
        <v>0</v>
      </c>
    </row>
    <row r="660" spans="1:5">
      <c r="A660" t="s">
        <v>6131</v>
      </c>
      <c r="B660" t="s">
        <v>6132</v>
      </c>
      <c r="C660">
        <v>1200</v>
      </c>
      <c r="D660">
        <f>SUMIFS(Horas!R:R,Horas!O:O,Tabla_Consulta_desde_Proyectos7[[#This Row],[Usunombre]])</f>
        <v>0</v>
      </c>
      <c r="E660" s="33">
        <f>Tabla_Consulta_desde_Proyectos7[[#This Row],[Horas]]*Tabla_Consulta_desde_Proyectos7[[#This Row],[PRYUcosto]]/8</f>
        <v>0</v>
      </c>
    </row>
    <row r="661" spans="1:5">
      <c r="A661" t="s">
        <v>1796</v>
      </c>
      <c r="B661" t="s">
        <v>1797</v>
      </c>
      <c r="D661">
        <f>SUMIFS(Horas!R:R,Horas!O:O,Tabla_Consulta_desde_Proyectos7[[#This Row],[Usunombre]])</f>
        <v>0</v>
      </c>
      <c r="E661" s="33">
        <f>Tabla_Consulta_desde_Proyectos7[[#This Row],[Horas]]*Tabla_Consulta_desde_Proyectos7[[#This Row],[PRYUcosto]]/8</f>
        <v>0</v>
      </c>
    </row>
    <row r="662" spans="1:5">
      <c r="A662" t="s">
        <v>1683</v>
      </c>
      <c r="B662" t="s">
        <v>1684</v>
      </c>
      <c r="D662">
        <f>SUMIFS(Horas!R:R,Horas!O:O,Tabla_Consulta_desde_Proyectos7[[#This Row],[Usunombre]])</f>
        <v>0</v>
      </c>
      <c r="E662" s="33">
        <f>Tabla_Consulta_desde_Proyectos7[[#This Row],[Horas]]*Tabla_Consulta_desde_Proyectos7[[#This Row],[PRYUcosto]]/8</f>
        <v>0</v>
      </c>
    </row>
    <row r="663" spans="1:5">
      <c r="A663" t="s">
        <v>1421</v>
      </c>
      <c r="B663" t="s">
        <v>1422</v>
      </c>
      <c r="D663">
        <f>SUMIFS(Horas!R:R,Horas!O:O,Tabla_Consulta_desde_Proyectos7[[#This Row],[Usunombre]])</f>
        <v>0</v>
      </c>
      <c r="E663" s="33">
        <f>Tabla_Consulta_desde_Proyectos7[[#This Row],[Horas]]*Tabla_Consulta_desde_Proyectos7[[#This Row],[PRYUcosto]]/8</f>
        <v>0</v>
      </c>
    </row>
    <row r="664" spans="1:5">
      <c r="A664" t="s">
        <v>1515</v>
      </c>
      <c r="B664" t="s">
        <v>1516</v>
      </c>
      <c r="D664">
        <f>SUMIFS(Horas!R:R,Horas!O:O,Tabla_Consulta_desde_Proyectos7[[#This Row],[Usunombre]])</f>
        <v>0</v>
      </c>
      <c r="E664" s="33">
        <f>Tabla_Consulta_desde_Proyectos7[[#This Row],[Horas]]*Tabla_Consulta_desde_Proyectos7[[#This Row],[PRYUcosto]]/8</f>
        <v>0</v>
      </c>
    </row>
    <row r="665" spans="1:5">
      <c r="A665" t="s">
        <v>1566</v>
      </c>
      <c r="B665" t="s">
        <v>1567</v>
      </c>
      <c r="D665">
        <f>SUMIFS(Horas!R:R,Horas!O:O,Tabla_Consulta_desde_Proyectos7[[#This Row],[Usunombre]])</f>
        <v>0</v>
      </c>
      <c r="E665" s="33">
        <f>Tabla_Consulta_desde_Proyectos7[[#This Row],[Horas]]*Tabla_Consulta_desde_Proyectos7[[#This Row],[PRYUcosto]]/8</f>
        <v>0</v>
      </c>
    </row>
    <row r="666" spans="1:5">
      <c r="A666" t="s">
        <v>1940</v>
      </c>
      <c r="B666" t="s">
        <v>1941</v>
      </c>
      <c r="D666">
        <f>SUMIFS(Horas!R:R,Horas!O:O,Tabla_Consulta_desde_Proyectos7[[#This Row],[Usunombre]])</f>
        <v>0</v>
      </c>
      <c r="E666" s="33">
        <f>Tabla_Consulta_desde_Proyectos7[[#This Row],[Horas]]*Tabla_Consulta_desde_Proyectos7[[#This Row],[PRYUcosto]]/8</f>
        <v>0</v>
      </c>
    </row>
    <row r="667" spans="1:5">
      <c r="A667" t="s">
        <v>2023</v>
      </c>
      <c r="B667" t="s">
        <v>2024</v>
      </c>
      <c r="D667">
        <f>SUMIFS(Horas!R:R,Horas!O:O,Tabla_Consulta_desde_Proyectos7[[#This Row],[Usunombre]])</f>
        <v>0</v>
      </c>
      <c r="E667" s="33">
        <f>Tabla_Consulta_desde_Proyectos7[[#This Row],[Horas]]*Tabla_Consulta_desde_Proyectos7[[#This Row],[PRYUcosto]]/8</f>
        <v>0</v>
      </c>
    </row>
    <row r="668" spans="1:5">
      <c r="A668" t="s">
        <v>1235</v>
      </c>
      <c r="B668" t="s">
        <v>1236</v>
      </c>
      <c r="D668">
        <f>SUMIFS(Horas!R:R,Horas!O:O,Tabla_Consulta_desde_Proyectos7[[#This Row],[Usunombre]])</f>
        <v>0</v>
      </c>
      <c r="E668" s="33">
        <f>Tabla_Consulta_desde_Proyectos7[[#This Row],[Horas]]*Tabla_Consulta_desde_Proyectos7[[#This Row],[PRYUcosto]]/8</f>
        <v>0</v>
      </c>
    </row>
    <row r="669" spans="1:5">
      <c r="A669" t="s">
        <v>4710</v>
      </c>
      <c r="B669" t="s">
        <v>4711</v>
      </c>
      <c r="C669">
        <v>600</v>
      </c>
      <c r="D669">
        <f>SUMIFS(Horas!R:R,Horas!O:O,Tabla_Consulta_desde_Proyectos7[[#This Row],[Usunombre]])</f>
        <v>0</v>
      </c>
      <c r="E669" s="33">
        <f>Tabla_Consulta_desde_Proyectos7[[#This Row],[Horas]]*Tabla_Consulta_desde_Proyectos7[[#This Row],[PRYUcosto]]/8</f>
        <v>0</v>
      </c>
    </row>
    <row r="670" spans="1:5">
      <c r="A670" t="s">
        <v>1862</v>
      </c>
      <c r="B670" t="s">
        <v>1863</v>
      </c>
      <c r="D670">
        <f>SUMIFS(Horas!R:R,Horas!O:O,Tabla_Consulta_desde_Proyectos7[[#This Row],[Usunombre]])</f>
        <v>0</v>
      </c>
      <c r="E670" s="33">
        <f>Tabla_Consulta_desde_Proyectos7[[#This Row],[Horas]]*Tabla_Consulta_desde_Proyectos7[[#This Row],[PRYUcosto]]/8</f>
        <v>0</v>
      </c>
    </row>
    <row r="671" spans="1:5">
      <c r="A671" t="s">
        <v>6724</v>
      </c>
      <c r="B671" t="s">
        <v>6725</v>
      </c>
      <c r="D671">
        <f>SUMIFS(Horas!R:R,Horas!O:O,Tabla_Consulta_desde_Proyectos7[[#This Row],[Usunombre]])</f>
        <v>0</v>
      </c>
      <c r="E671" s="33">
        <f>Tabla_Consulta_desde_Proyectos7[[#This Row],[Horas]]*Tabla_Consulta_desde_Proyectos7[[#This Row],[PRYUcosto]]/8</f>
        <v>0</v>
      </c>
    </row>
    <row r="672" spans="1:5">
      <c r="A672" t="s">
        <v>6139</v>
      </c>
      <c r="B672" t="s">
        <v>6140</v>
      </c>
      <c r="C672">
        <v>1200</v>
      </c>
      <c r="D672">
        <f>SUMIFS(Horas!R:R,Horas!O:O,Tabla_Consulta_desde_Proyectos7[[#This Row],[Usunombre]])</f>
        <v>0</v>
      </c>
      <c r="E672" s="33">
        <f>Tabla_Consulta_desde_Proyectos7[[#This Row],[Horas]]*Tabla_Consulta_desde_Proyectos7[[#This Row],[PRYUcosto]]/8</f>
        <v>0</v>
      </c>
    </row>
    <row r="673" spans="1:5">
      <c r="A673" t="s">
        <v>1832</v>
      </c>
      <c r="B673" t="s">
        <v>1833</v>
      </c>
      <c r="C673">
        <v>600</v>
      </c>
      <c r="D673">
        <f>SUMIFS(Horas!R:R,Horas!O:O,Tabla_Consulta_desde_Proyectos7[[#This Row],[Usunombre]])</f>
        <v>0</v>
      </c>
      <c r="E673" s="33">
        <f>Tabla_Consulta_desde_Proyectos7[[#This Row],[Horas]]*Tabla_Consulta_desde_Proyectos7[[#This Row],[PRYUcosto]]/8</f>
        <v>0</v>
      </c>
    </row>
    <row r="674" spans="1:5">
      <c r="A674" t="s">
        <v>5465</v>
      </c>
      <c r="B674" t="s">
        <v>5466</v>
      </c>
      <c r="C674">
        <v>600</v>
      </c>
      <c r="D674">
        <f>SUMIFS(Horas!R:R,Horas!O:O,Tabla_Consulta_desde_Proyectos7[[#This Row],[Usunombre]])</f>
        <v>0</v>
      </c>
      <c r="E674" s="33">
        <f>Tabla_Consulta_desde_Proyectos7[[#This Row],[Horas]]*Tabla_Consulta_desde_Proyectos7[[#This Row],[PRYUcosto]]/8</f>
        <v>0</v>
      </c>
    </row>
    <row r="675" spans="1:5">
      <c r="A675" t="s">
        <v>1231</v>
      </c>
      <c r="B675" t="s">
        <v>1232</v>
      </c>
      <c r="C675">
        <v>1200</v>
      </c>
      <c r="D675">
        <f>SUMIFS(Horas!R:R,Horas!O:O,Tabla_Consulta_desde_Proyectos7[[#This Row],[Usunombre]])</f>
        <v>0</v>
      </c>
      <c r="E675" s="33">
        <f>Tabla_Consulta_desde_Proyectos7[[#This Row],[Horas]]*Tabla_Consulta_desde_Proyectos7[[#This Row],[PRYUcosto]]/8</f>
        <v>0</v>
      </c>
    </row>
    <row r="676" spans="1:5">
      <c r="A676" t="s">
        <v>1196</v>
      </c>
      <c r="B676" t="s">
        <v>1197</v>
      </c>
      <c r="C676">
        <v>1200</v>
      </c>
      <c r="D676">
        <f>SUMIFS(Horas!R:R,Horas!O:O,Tabla_Consulta_desde_Proyectos7[[#This Row],[Usunombre]])</f>
        <v>0</v>
      </c>
      <c r="E676" s="33">
        <f>Tabla_Consulta_desde_Proyectos7[[#This Row],[Horas]]*Tabla_Consulta_desde_Proyectos7[[#This Row],[PRYUcosto]]/8</f>
        <v>0</v>
      </c>
    </row>
    <row r="677" spans="1:5">
      <c r="A677" t="s">
        <v>1216</v>
      </c>
      <c r="B677" t="s">
        <v>1217</v>
      </c>
      <c r="C677">
        <v>600</v>
      </c>
      <c r="D677">
        <f>SUMIFS(Horas!R:R,Horas!O:O,Tabla_Consulta_desde_Proyectos7[[#This Row],[Usunombre]])</f>
        <v>0</v>
      </c>
      <c r="E677" s="33">
        <f>Tabla_Consulta_desde_Proyectos7[[#This Row],[Horas]]*Tabla_Consulta_desde_Proyectos7[[#This Row],[PRYUcosto]]/8</f>
        <v>0</v>
      </c>
    </row>
    <row r="678" spans="1:5">
      <c r="A678" t="s">
        <v>1507</v>
      </c>
      <c r="B678" t="s">
        <v>1508</v>
      </c>
      <c r="D678">
        <f>SUMIFS(Horas!R:R,Horas!O:O,Tabla_Consulta_desde_Proyectos7[[#This Row],[Usunombre]])</f>
        <v>0</v>
      </c>
      <c r="E678" s="33">
        <f>Tabla_Consulta_desde_Proyectos7[[#This Row],[Horas]]*Tabla_Consulta_desde_Proyectos7[[#This Row],[PRYUcosto]]/8</f>
        <v>0</v>
      </c>
    </row>
    <row r="679" spans="1:5">
      <c r="A679" t="s">
        <v>1128</v>
      </c>
      <c r="B679" t="s">
        <v>1129</v>
      </c>
      <c r="D679">
        <f>SUMIFS(Horas!R:R,Horas!O:O,Tabla_Consulta_desde_Proyectos7[[#This Row],[Usunombre]])</f>
        <v>0</v>
      </c>
      <c r="E679" s="33">
        <f>Tabla_Consulta_desde_Proyectos7[[#This Row],[Horas]]*Tabla_Consulta_desde_Proyectos7[[#This Row],[PRYUcosto]]/8</f>
        <v>0</v>
      </c>
    </row>
    <row r="680" spans="1:5">
      <c r="A680" t="s">
        <v>1745</v>
      </c>
      <c r="B680" t="s">
        <v>1746</v>
      </c>
      <c r="D680">
        <f>SUMIFS(Horas!R:R,Horas!O:O,Tabla_Consulta_desde_Proyectos7[[#This Row],[Usunombre]])</f>
        <v>0</v>
      </c>
      <c r="E680" s="33">
        <f>Tabla_Consulta_desde_Proyectos7[[#This Row],[Horas]]*Tabla_Consulta_desde_Proyectos7[[#This Row],[PRYUcosto]]/8</f>
        <v>0</v>
      </c>
    </row>
    <row r="681" spans="1:5">
      <c r="A681" t="s">
        <v>5244</v>
      </c>
      <c r="B681" t="s">
        <v>5245</v>
      </c>
      <c r="D681">
        <f>SUMIFS(Horas!R:R,Horas!O:O,Tabla_Consulta_desde_Proyectos7[[#This Row],[Usunombre]])</f>
        <v>0</v>
      </c>
      <c r="E681" s="33">
        <f>Tabla_Consulta_desde_Proyectos7[[#This Row],[Horas]]*Tabla_Consulta_desde_Proyectos7[[#This Row],[PRYUcosto]]/8</f>
        <v>0</v>
      </c>
    </row>
    <row r="682" spans="1:5">
      <c r="A682" t="s">
        <v>5010</v>
      </c>
      <c r="B682" t="s">
        <v>5239</v>
      </c>
      <c r="C682">
        <v>600</v>
      </c>
      <c r="D682">
        <f>SUMIFS(Horas!R:R,Horas!O:O,Tabla_Consulta_desde_Proyectos7[[#This Row],[Usunombre]])</f>
        <v>0</v>
      </c>
      <c r="E682" s="33">
        <f>Tabla_Consulta_desde_Proyectos7[[#This Row],[Horas]]*Tabla_Consulta_desde_Proyectos7[[#This Row],[PRYUcosto]]/8</f>
        <v>0</v>
      </c>
    </row>
    <row r="683" spans="1:5">
      <c r="A683" t="s">
        <v>1219</v>
      </c>
      <c r="B683" t="s">
        <v>1220</v>
      </c>
      <c r="D683">
        <f>SUMIFS(Horas!R:R,Horas!O:O,Tabla_Consulta_desde_Proyectos7[[#This Row],[Usunombre]])</f>
        <v>0</v>
      </c>
      <c r="E683" s="33">
        <f>Tabla_Consulta_desde_Proyectos7[[#This Row],[Horas]]*Tabla_Consulta_desde_Proyectos7[[#This Row],[PRYUcosto]]/8</f>
        <v>0</v>
      </c>
    </row>
    <row r="684" spans="1:5">
      <c r="A684" t="s">
        <v>1794</v>
      </c>
      <c r="B684" t="s">
        <v>1795</v>
      </c>
      <c r="D684">
        <f>SUMIFS(Horas!R:R,Horas!O:O,Tabla_Consulta_desde_Proyectos7[[#This Row],[Usunombre]])</f>
        <v>0</v>
      </c>
      <c r="E684" s="33">
        <f>Tabla_Consulta_desde_Proyectos7[[#This Row],[Horas]]*Tabla_Consulta_desde_Proyectos7[[#This Row],[PRYUcosto]]/8</f>
        <v>0</v>
      </c>
    </row>
    <row r="685" spans="1:5">
      <c r="A685" t="s">
        <v>1172</v>
      </c>
      <c r="B685" t="s">
        <v>1173</v>
      </c>
      <c r="D685">
        <f>SUMIFS(Horas!R:R,Horas!O:O,Tabla_Consulta_desde_Proyectos7[[#This Row],[Usunombre]])</f>
        <v>0</v>
      </c>
      <c r="E685" s="33">
        <f>Tabla_Consulta_desde_Proyectos7[[#This Row],[Horas]]*Tabla_Consulta_desde_Proyectos7[[#This Row],[PRYUcosto]]/8</f>
        <v>0</v>
      </c>
    </row>
    <row r="686" spans="1:5">
      <c r="A686" t="s">
        <v>4050</v>
      </c>
      <c r="B686" t="s">
        <v>4051</v>
      </c>
      <c r="D686">
        <f>SUMIFS(Horas!R:R,Horas!O:O,Tabla_Consulta_desde_Proyectos7[[#This Row],[Usunombre]])</f>
        <v>0</v>
      </c>
      <c r="E686" s="33">
        <f>Tabla_Consulta_desde_Proyectos7[[#This Row],[Horas]]*Tabla_Consulta_desde_Proyectos7[[#This Row],[PRYUcosto]]/8</f>
        <v>0</v>
      </c>
    </row>
    <row r="687" spans="1:5">
      <c r="A687" t="s">
        <v>6114</v>
      </c>
      <c r="B687" t="s">
        <v>5717</v>
      </c>
      <c r="C687">
        <v>1200</v>
      </c>
      <c r="D687">
        <f>SUMIFS(Horas!R:R,Horas!O:O,Tabla_Consulta_desde_Proyectos7[[#This Row],[Usunombre]])</f>
        <v>0</v>
      </c>
      <c r="E687" s="33">
        <f>Tabla_Consulta_desde_Proyectos7[[#This Row],[Horas]]*Tabla_Consulta_desde_Proyectos7[[#This Row],[PRYUcosto]]/8</f>
        <v>0</v>
      </c>
    </row>
    <row r="688" spans="1:5">
      <c r="A688" t="s">
        <v>6997</v>
      </c>
      <c r="B688" t="s">
        <v>6998</v>
      </c>
      <c r="D688">
        <f>SUMIFS(Horas!R:R,Horas!O:O,Tabla_Consulta_desde_Proyectos7[[#This Row],[Usunombre]])</f>
        <v>0</v>
      </c>
      <c r="E688" s="33">
        <f>Tabla_Consulta_desde_Proyectos7[[#This Row],[Horas]]*Tabla_Consulta_desde_Proyectos7[[#This Row],[PRYUcosto]]/8</f>
        <v>0</v>
      </c>
    </row>
    <row r="689" spans="1:5">
      <c r="A689" t="s">
        <v>1115</v>
      </c>
      <c r="B689" t="s">
        <v>1116</v>
      </c>
      <c r="C689">
        <v>750</v>
      </c>
      <c r="D689">
        <f>SUMIFS(Horas!R:R,Horas!O:O,Tabla_Consulta_desde_Proyectos7[[#This Row],[Usunombre]])</f>
        <v>0</v>
      </c>
      <c r="E689" s="33">
        <f>Tabla_Consulta_desde_Proyectos7[[#This Row],[Horas]]*Tabla_Consulta_desde_Proyectos7[[#This Row],[PRYUcosto]]/8</f>
        <v>0</v>
      </c>
    </row>
    <row r="690" spans="1:5">
      <c r="A690" t="s">
        <v>935</v>
      </c>
      <c r="B690" t="s">
        <v>4709</v>
      </c>
      <c r="D690">
        <f>SUMIFS(Horas!R:R,Horas!O:O,Tabla_Consulta_desde_Proyectos7[[#This Row],[Usunombre]])</f>
        <v>0</v>
      </c>
      <c r="E690" s="33">
        <f>Tabla_Consulta_desde_Proyectos7[[#This Row],[Horas]]*Tabla_Consulta_desde_Proyectos7[[#This Row],[PRYUcosto]]/8</f>
        <v>0</v>
      </c>
    </row>
    <row r="691" spans="1:5">
      <c r="A691" t="s">
        <v>6116</v>
      </c>
      <c r="B691" t="s">
        <v>5725</v>
      </c>
      <c r="C691">
        <v>1200</v>
      </c>
      <c r="D691">
        <f>SUMIFS(Horas!R:R,Horas!O:O,Tabla_Consulta_desde_Proyectos7[[#This Row],[Usunombre]])</f>
        <v>0</v>
      </c>
      <c r="E691" s="33">
        <f>Tabla_Consulta_desde_Proyectos7[[#This Row],[Horas]]*Tabla_Consulta_desde_Proyectos7[[#This Row],[PRYUcosto]]/8</f>
        <v>0</v>
      </c>
    </row>
    <row r="692" spans="1:5">
      <c r="A692" t="s">
        <v>1860</v>
      </c>
      <c r="B692" t="s">
        <v>1861</v>
      </c>
      <c r="D692">
        <f>SUMIFS(Horas!R:R,Horas!O:O,Tabla_Consulta_desde_Proyectos7[[#This Row],[Usunombre]])</f>
        <v>0</v>
      </c>
      <c r="E692" s="33">
        <f>Tabla_Consulta_desde_Proyectos7[[#This Row],[Horas]]*Tabla_Consulta_desde_Proyectos7[[#This Row],[PRYUcosto]]/8</f>
        <v>0</v>
      </c>
    </row>
    <row r="693" spans="1:5">
      <c r="A693" t="s">
        <v>1548</v>
      </c>
      <c r="B693" t="s">
        <v>1549</v>
      </c>
      <c r="C693">
        <v>1200</v>
      </c>
      <c r="D693">
        <f>SUMIFS(Horas!R:R,Horas!O:O,Tabla_Consulta_desde_Proyectos7[[#This Row],[Usunombre]])</f>
        <v>0</v>
      </c>
      <c r="E693" s="33">
        <f>Tabla_Consulta_desde_Proyectos7[[#This Row],[Horas]]*Tabla_Consulta_desde_Proyectos7[[#This Row],[PRYUcosto]]/8</f>
        <v>0</v>
      </c>
    </row>
    <row r="694" spans="1:5">
      <c r="A694" t="s">
        <v>6963</v>
      </c>
      <c r="B694" t="s">
        <v>6964</v>
      </c>
      <c r="C694">
        <v>600</v>
      </c>
      <c r="D694">
        <f>SUMIFS(Horas!R:R,Horas!O:O,Tabla_Consulta_desde_Proyectos7[[#This Row],[Usunombre]])</f>
        <v>0</v>
      </c>
      <c r="E694" s="33">
        <f>Tabla_Consulta_desde_Proyectos7[[#This Row],[Horas]]*Tabla_Consulta_desde_Proyectos7[[#This Row],[PRYUcosto]]/8</f>
        <v>0</v>
      </c>
    </row>
    <row r="695" spans="1:5">
      <c r="A695" t="s">
        <v>5435</v>
      </c>
      <c r="B695" t="s">
        <v>5436</v>
      </c>
      <c r="D695">
        <f>SUMIFS(Horas!R:R,Horas!O:O,Tabla_Consulta_desde_Proyectos7[[#This Row],[Usunombre]])</f>
        <v>0</v>
      </c>
      <c r="E695" s="33">
        <f>Tabla_Consulta_desde_Proyectos7[[#This Row],[Horas]]*Tabla_Consulta_desde_Proyectos7[[#This Row],[PRYUcosto]]/8</f>
        <v>0</v>
      </c>
    </row>
    <row r="696" spans="1:5">
      <c r="A696" t="s">
        <v>1064</v>
      </c>
      <c r="B696" t="s">
        <v>1065</v>
      </c>
      <c r="C696">
        <v>1200</v>
      </c>
      <c r="D696">
        <f>SUMIFS(Horas!R:R,Horas!O:O,Tabla_Consulta_desde_Proyectos7[[#This Row],[Usunombre]])</f>
        <v>0</v>
      </c>
      <c r="E696" s="33">
        <f>Tabla_Consulta_desde_Proyectos7[[#This Row],[Horas]]*Tabla_Consulta_desde_Proyectos7[[#This Row],[PRYUcosto]]/8</f>
        <v>0</v>
      </c>
    </row>
    <row r="697" spans="1:5">
      <c r="A697" t="s">
        <v>1610</v>
      </c>
      <c r="B697" t="s">
        <v>1611</v>
      </c>
      <c r="C697">
        <v>1200</v>
      </c>
      <c r="D697">
        <f>SUMIFS(Horas!R:R,Horas!O:O,Tabla_Consulta_desde_Proyectos7[[#This Row],[Usunombre]])</f>
        <v>0</v>
      </c>
      <c r="E697" s="33">
        <f>Tabla_Consulta_desde_Proyectos7[[#This Row],[Horas]]*Tabla_Consulta_desde_Proyectos7[[#This Row],[PRYUcosto]]/8</f>
        <v>0</v>
      </c>
    </row>
    <row r="698" spans="1:5">
      <c r="A698" t="s">
        <v>5407</v>
      </c>
      <c r="B698" t="s">
        <v>5408</v>
      </c>
      <c r="C698">
        <v>1200</v>
      </c>
      <c r="D698">
        <f>SUMIFS(Horas!R:R,Horas!O:O,Tabla_Consulta_desde_Proyectos7[[#This Row],[Usunombre]])</f>
        <v>0</v>
      </c>
      <c r="E698" s="33">
        <f>Tabla_Consulta_desde_Proyectos7[[#This Row],[Horas]]*Tabla_Consulta_desde_Proyectos7[[#This Row],[PRYUcosto]]/8</f>
        <v>0</v>
      </c>
    </row>
    <row r="699" spans="1:5">
      <c r="A699" t="s">
        <v>6981</v>
      </c>
      <c r="B699" t="s">
        <v>6982</v>
      </c>
      <c r="D699">
        <f>SUMIFS(Horas!R:R,Horas!O:O,Tabla_Consulta_desde_Proyectos7[[#This Row],[Usunombre]])</f>
        <v>0</v>
      </c>
      <c r="E699" s="33">
        <f>Tabla_Consulta_desde_Proyectos7[[#This Row],[Horas]]*Tabla_Consulta_desde_Proyectos7[[#This Row],[PRYUcosto]]/8</f>
        <v>0</v>
      </c>
    </row>
    <row r="700" spans="1:5">
      <c r="A700" t="s">
        <v>1560</v>
      </c>
      <c r="B700" t="s">
        <v>1561</v>
      </c>
      <c r="D700">
        <f>SUMIFS(Horas!R:R,Horas!O:O,Tabla_Consulta_desde_Proyectos7[[#This Row],[Usunombre]])</f>
        <v>0</v>
      </c>
      <c r="E700" s="33">
        <f>Tabla_Consulta_desde_Proyectos7[[#This Row],[Horas]]*Tabla_Consulta_desde_Proyectos7[[#This Row],[PRYUcosto]]/8</f>
        <v>0</v>
      </c>
    </row>
    <row r="701" spans="1:5">
      <c r="A701" t="s">
        <v>1007</v>
      </c>
      <c r="B701" t="s">
        <v>1008</v>
      </c>
      <c r="C701">
        <v>600</v>
      </c>
      <c r="D701">
        <f>SUMIFS(Horas!R:R,Horas!O:O,Tabla_Consulta_desde_Proyectos7[[#This Row],[Usunombre]])</f>
        <v>0</v>
      </c>
      <c r="E701" s="33">
        <f>Tabla_Consulta_desde_Proyectos7[[#This Row],[Horas]]*Tabla_Consulta_desde_Proyectos7[[#This Row],[PRYUcosto]]/8</f>
        <v>0</v>
      </c>
    </row>
    <row r="702" spans="1:5">
      <c r="A702" t="s">
        <v>1655</v>
      </c>
      <c r="B702" t="s">
        <v>1656</v>
      </c>
      <c r="C702">
        <v>600</v>
      </c>
      <c r="D702">
        <f>SUMIFS(Horas!R:R,Horas!O:O,Tabla_Consulta_desde_Proyectos7[[#This Row],[Usunombre]])</f>
        <v>0</v>
      </c>
      <c r="E702" s="33">
        <f>Tabla_Consulta_desde_Proyectos7[[#This Row],[Horas]]*Tabla_Consulta_desde_Proyectos7[[#This Row],[PRYUcosto]]/8</f>
        <v>0</v>
      </c>
    </row>
    <row r="703" spans="1:5">
      <c r="A703" t="s">
        <v>1053</v>
      </c>
      <c r="B703" t="s">
        <v>1054</v>
      </c>
      <c r="D703">
        <f>SUMIFS(Horas!R:R,Horas!O:O,Tabla_Consulta_desde_Proyectos7[[#This Row],[Usunombre]])</f>
        <v>0</v>
      </c>
      <c r="E703" s="33">
        <f>Tabla_Consulta_desde_Proyectos7[[#This Row],[Horas]]*Tabla_Consulta_desde_Proyectos7[[#This Row],[PRYUcosto]]/8</f>
        <v>0</v>
      </c>
    </row>
    <row r="704" spans="1:5">
      <c r="A704" t="s">
        <v>6659</v>
      </c>
      <c r="B704" t="s">
        <v>6660</v>
      </c>
      <c r="D704">
        <f>SUMIFS(Horas!R:R,Horas!O:O,Tabla_Consulta_desde_Proyectos7[[#This Row],[Usunombre]])</f>
        <v>0</v>
      </c>
      <c r="E704" s="33">
        <f>Tabla_Consulta_desde_Proyectos7[[#This Row],[Horas]]*Tabla_Consulta_desde_Proyectos7[[#This Row],[PRYUcosto]]/8</f>
        <v>0</v>
      </c>
    </row>
    <row r="705" spans="1:5">
      <c r="A705" t="s">
        <v>5254</v>
      </c>
      <c r="B705" t="s">
        <v>5255</v>
      </c>
      <c r="D705">
        <f>SUMIFS(Horas!R:R,Horas!O:O,Tabla_Consulta_desde_Proyectos7[[#This Row],[Usunombre]])</f>
        <v>0</v>
      </c>
      <c r="E705" s="33">
        <f>Tabla_Consulta_desde_Proyectos7[[#This Row],[Horas]]*Tabla_Consulta_desde_Proyectos7[[#This Row],[PRYUcosto]]/8</f>
        <v>0</v>
      </c>
    </row>
    <row r="706" spans="1:5">
      <c r="A706" t="s">
        <v>1285</v>
      </c>
      <c r="B706" t="s">
        <v>1286</v>
      </c>
      <c r="C706">
        <v>600</v>
      </c>
      <c r="D706">
        <f>SUMIFS(Horas!R:R,Horas!O:O,Tabla_Consulta_desde_Proyectos7[[#This Row],[Usunombre]])</f>
        <v>0</v>
      </c>
      <c r="E706" s="33">
        <f>Tabla_Consulta_desde_Proyectos7[[#This Row],[Horas]]*Tabla_Consulta_desde_Proyectos7[[#This Row],[PRYUcosto]]/8</f>
        <v>0</v>
      </c>
    </row>
    <row r="707" spans="1:5">
      <c r="A707" t="s">
        <v>1743</v>
      </c>
      <c r="B707" t="s">
        <v>1744</v>
      </c>
      <c r="D707">
        <f>SUMIFS(Horas!R:R,Horas!O:O,Tabla_Consulta_desde_Proyectos7[[#This Row],[Usunombre]])</f>
        <v>0</v>
      </c>
      <c r="E707" s="33">
        <f>Tabla_Consulta_desde_Proyectos7[[#This Row],[Horas]]*Tabla_Consulta_desde_Proyectos7[[#This Row],[PRYUcosto]]/8</f>
        <v>0</v>
      </c>
    </row>
    <row r="708" spans="1:5">
      <c r="A708" t="s">
        <v>6092</v>
      </c>
      <c r="B708" t="s">
        <v>6093</v>
      </c>
      <c r="C708">
        <v>600</v>
      </c>
      <c r="D708">
        <f>SUMIFS(Horas!R:R,Horas!O:O,Tabla_Consulta_desde_Proyectos7[[#This Row],[Usunombre]])</f>
        <v>0</v>
      </c>
      <c r="E708" s="33">
        <f>Tabla_Consulta_desde_Proyectos7[[#This Row],[Horas]]*Tabla_Consulta_desde_Proyectos7[[#This Row],[PRYUcosto]]/8</f>
        <v>0</v>
      </c>
    </row>
    <row r="709" spans="1:5">
      <c r="A709" t="s">
        <v>6121</v>
      </c>
      <c r="B709" t="s">
        <v>6122</v>
      </c>
      <c r="C709">
        <v>600</v>
      </c>
      <c r="D709">
        <f>SUMIFS(Horas!R:R,Horas!O:O,Tabla_Consulta_desde_Proyectos7[[#This Row],[Usunombre]])</f>
        <v>0</v>
      </c>
      <c r="E709" s="33">
        <f>Tabla_Consulta_desde_Proyectos7[[#This Row],[Horas]]*Tabla_Consulta_desde_Proyectos7[[#This Row],[PRYUcosto]]/8</f>
        <v>0</v>
      </c>
    </row>
    <row r="710" spans="1:5">
      <c r="A710" t="s">
        <v>5015</v>
      </c>
      <c r="B710" t="s">
        <v>5016</v>
      </c>
      <c r="D710">
        <f>SUMIFS(Horas!R:R,Horas!O:O,Tabla_Consulta_desde_Proyectos7[[#This Row],[Usunombre]])</f>
        <v>0</v>
      </c>
      <c r="E710" s="33">
        <f>Tabla_Consulta_desde_Proyectos7[[#This Row],[Horas]]*Tabla_Consulta_desde_Proyectos7[[#This Row],[PRYUcosto]]/8</f>
        <v>0</v>
      </c>
    </row>
    <row r="711" spans="1:5">
      <c r="A711" t="s">
        <v>5738</v>
      </c>
      <c r="B711" t="s">
        <v>5749</v>
      </c>
      <c r="C711">
        <v>1200</v>
      </c>
      <c r="D711">
        <f>SUMIFS(Horas!R:R,Horas!O:O,Tabla_Consulta_desde_Proyectos7[[#This Row],[Usunombre]])</f>
        <v>0</v>
      </c>
      <c r="E711" s="33">
        <f>Tabla_Consulta_desde_Proyectos7[[#This Row],[Horas]]*Tabla_Consulta_desde_Proyectos7[[#This Row],[PRYUcosto]]/8</f>
        <v>0</v>
      </c>
    </row>
    <row r="712" spans="1:5">
      <c r="A712" t="s">
        <v>1249</v>
      </c>
      <c r="B712" t="s">
        <v>1250</v>
      </c>
      <c r="C712">
        <v>900</v>
      </c>
      <c r="D712">
        <f>SUMIFS(Horas!R:R,Horas!O:O,Tabla_Consulta_desde_Proyectos7[[#This Row],[Usunombre]])</f>
        <v>0</v>
      </c>
      <c r="E712" s="33">
        <f>Tabla_Consulta_desde_Proyectos7[[#This Row],[Horas]]*Tabla_Consulta_desde_Proyectos7[[#This Row],[PRYUcosto]]/8</f>
        <v>0</v>
      </c>
    </row>
    <row r="713" spans="1:5">
      <c r="A713" t="s">
        <v>1649</v>
      </c>
      <c r="B713" t="s">
        <v>1650</v>
      </c>
      <c r="C713">
        <v>600</v>
      </c>
      <c r="D713">
        <f>SUMIFS(Horas!R:R,Horas!O:O,Tabla_Consulta_desde_Proyectos7[[#This Row],[Usunombre]])</f>
        <v>0</v>
      </c>
      <c r="E713" s="33">
        <f>Tabla_Consulta_desde_Proyectos7[[#This Row],[Horas]]*Tabla_Consulta_desde_Proyectos7[[#This Row],[PRYUcosto]]/8</f>
        <v>0</v>
      </c>
    </row>
    <row r="714" spans="1:5">
      <c r="A714" t="s">
        <v>1146</v>
      </c>
      <c r="B714" t="s">
        <v>1147</v>
      </c>
      <c r="D714">
        <f>SUMIFS(Horas!R:R,Horas!O:O,Tabla_Consulta_desde_Proyectos7[[#This Row],[Usunombre]])</f>
        <v>0</v>
      </c>
      <c r="E714" s="33">
        <f>Tabla_Consulta_desde_Proyectos7[[#This Row],[Horas]]*Tabla_Consulta_desde_Proyectos7[[#This Row],[PRYUcosto]]/8</f>
        <v>0</v>
      </c>
    </row>
    <row r="715" spans="1:5">
      <c r="A715" t="s">
        <v>6149</v>
      </c>
      <c r="B715" t="s">
        <v>6150</v>
      </c>
      <c r="D715">
        <f>SUMIFS(Horas!R:R,Horas!O:O,Tabla_Consulta_desde_Proyectos7[[#This Row],[Usunombre]])</f>
        <v>0</v>
      </c>
      <c r="E715" s="33">
        <f>Tabla_Consulta_desde_Proyectos7[[#This Row],[Horas]]*Tabla_Consulta_desde_Proyectos7[[#This Row],[PRYUcosto]]/8</f>
        <v>0</v>
      </c>
    </row>
    <row r="716" spans="1:5">
      <c r="A716" t="s">
        <v>3911</v>
      </c>
      <c r="B716" t="s">
        <v>3912</v>
      </c>
      <c r="D716">
        <f>SUMIFS(Horas!R:R,Horas!O:O,Tabla_Consulta_desde_Proyectos7[[#This Row],[Usunombre]])</f>
        <v>0</v>
      </c>
      <c r="E716" s="33">
        <f>Tabla_Consulta_desde_Proyectos7[[#This Row],[Horas]]*Tabla_Consulta_desde_Proyectos7[[#This Row],[PRYUcosto]]/8</f>
        <v>0</v>
      </c>
    </row>
    <row r="717" spans="1:5">
      <c r="A717" t="s">
        <v>5017</v>
      </c>
      <c r="B717" t="s">
        <v>5018</v>
      </c>
      <c r="C717">
        <v>600</v>
      </c>
      <c r="D717">
        <f>SUMIFS(Horas!R:R,Horas!O:O,Tabla_Consulta_desde_Proyectos7[[#This Row],[Usunombre]])</f>
        <v>0</v>
      </c>
      <c r="E717" s="33">
        <f>Tabla_Consulta_desde_Proyectos7[[#This Row],[Horas]]*Tabla_Consulta_desde_Proyectos7[[#This Row],[PRYUcosto]]/8</f>
        <v>0</v>
      </c>
    </row>
    <row r="718" spans="1:5">
      <c r="A718" t="s">
        <v>5224</v>
      </c>
      <c r="B718" t="s">
        <v>5225</v>
      </c>
      <c r="C718">
        <v>1200</v>
      </c>
      <c r="D718">
        <f>SUMIFS(Horas!R:R,Horas!O:O,Tabla_Consulta_desde_Proyectos7[[#This Row],[Usunombre]])</f>
        <v>0</v>
      </c>
      <c r="E718" s="33">
        <f>Tabla_Consulta_desde_Proyectos7[[#This Row],[Horas]]*Tabla_Consulta_desde_Proyectos7[[#This Row],[PRYUcosto]]/8</f>
        <v>0</v>
      </c>
    </row>
    <row r="719" spans="1:5">
      <c r="A719" t="s">
        <v>1749</v>
      </c>
      <c r="B719" t="s">
        <v>1750</v>
      </c>
      <c r="D719">
        <f>SUMIFS(Horas!R:R,Horas!O:O,Tabla_Consulta_desde_Proyectos7[[#This Row],[Usunombre]])</f>
        <v>0</v>
      </c>
      <c r="E719" s="33">
        <f>Tabla_Consulta_desde_Proyectos7[[#This Row],[Horas]]*Tabla_Consulta_desde_Proyectos7[[#This Row],[PRYUcosto]]/8</f>
        <v>0</v>
      </c>
    </row>
    <row r="720" spans="1:5">
      <c r="A720" t="s">
        <v>1790</v>
      </c>
      <c r="B720" t="s">
        <v>1791</v>
      </c>
      <c r="D720">
        <f>SUMIFS(Horas!R:R,Horas!O:O,Tabla_Consulta_desde_Proyectos7[[#This Row],[Usunombre]])</f>
        <v>0</v>
      </c>
      <c r="E720" s="33">
        <f>Tabla_Consulta_desde_Proyectos7[[#This Row],[Horas]]*Tabla_Consulta_desde_Proyectos7[[#This Row],[PRYUcosto]]/8</f>
        <v>0</v>
      </c>
    </row>
    <row r="721" spans="1:5">
      <c r="A721" t="s">
        <v>6953</v>
      </c>
      <c r="B721" t="s">
        <v>6954</v>
      </c>
      <c r="D721">
        <f>SUMIFS(Horas!R:R,Horas!O:O,Tabla_Consulta_desde_Proyectos7[[#This Row],[Usunombre]])</f>
        <v>0</v>
      </c>
      <c r="E721" s="33">
        <f>Tabla_Consulta_desde_Proyectos7[[#This Row],[Horas]]*Tabla_Consulta_desde_Proyectos7[[#This Row],[PRYUcosto]]/8</f>
        <v>0</v>
      </c>
    </row>
    <row r="722" spans="1:5">
      <c r="A722" t="s">
        <v>6945</v>
      </c>
      <c r="B722" t="s">
        <v>6946</v>
      </c>
      <c r="D722">
        <f>SUMIFS(Horas!R:R,Horas!O:O,Tabla_Consulta_desde_Proyectos7[[#This Row],[Usunombre]])</f>
        <v>0</v>
      </c>
      <c r="E722" s="33">
        <f>Tabla_Consulta_desde_Proyectos7[[#This Row],[Horas]]*Tabla_Consulta_desde_Proyectos7[[#This Row],[PRYUcosto]]/8</f>
        <v>0</v>
      </c>
    </row>
    <row r="723" spans="1:5">
      <c r="A723" t="s">
        <v>1272</v>
      </c>
      <c r="B723" t="s">
        <v>4700</v>
      </c>
      <c r="D723">
        <f>SUMIFS(Horas!R:R,Horas!O:O,Tabla_Consulta_desde_Proyectos7[[#This Row],[Usunombre]])</f>
        <v>0</v>
      </c>
      <c r="E723" s="33">
        <f>Tabla_Consulta_desde_Proyectos7[[#This Row],[Horas]]*Tabla_Consulta_desde_Proyectos7[[#This Row],[PRYUcosto]]/8</f>
        <v>0</v>
      </c>
    </row>
    <row r="724" spans="1:5">
      <c r="A724" t="s">
        <v>1200</v>
      </c>
      <c r="B724" t="s">
        <v>1201</v>
      </c>
      <c r="C724">
        <v>1200</v>
      </c>
      <c r="D724">
        <f>SUMIFS(Horas!R:R,Horas!O:O,Tabla_Consulta_desde_Proyectos7[[#This Row],[Usunombre]])</f>
        <v>0</v>
      </c>
      <c r="E724" s="33">
        <f>Tabla_Consulta_desde_Proyectos7[[#This Row],[Horas]]*Tabla_Consulta_desde_Proyectos7[[#This Row],[PRYUcosto]]/8</f>
        <v>0</v>
      </c>
    </row>
    <row r="725" spans="1:5">
      <c r="A725" t="s">
        <v>1443</v>
      </c>
      <c r="B725" t="s">
        <v>1444</v>
      </c>
      <c r="D725">
        <f>SUMIFS(Horas!R:R,Horas!O:O,Tabla_Consulta_desde_Proyectos7[[#This Row],[Usunombre]])</f>
        <v>0</v>
      </c>
      <c r="E725" s="33">
        <f>Tabla_Consulta_desde_Proyectos7[[#This Row],[Horas]]*Tabla_Consulta_desde_Proyectos7[[#This Row],[PRYUcosto]]/8</f>
        <v>0</v>
      </c>
    </row>
    <row r="726" spans="1:5">
      <c r="A726" t="s">
        <v>1345</v>
      </c>
      <c r="B726" t="s">
        <v>1346</v>
      </c>
      <c r="D726">
        <f>SUMIFS(Horas!R:R,Horas!O:O,Tabla_Consulta_desde_Proyectos7[[#This Row],[Usunombre]])</f>
        <v>0</v>
      </c>
      <c r="E726" s="33">
        <f>Tabla_Consulta_desde_Proyectos7[[#This Row],[Horas]]*Tabla_Consulta_desde_Proyectos7[[#This Row],[PRYUcosto]]/8</f>
        <v>0</v>
      </c>
    </row>
    <row r="727" spans="1:5">
      <c r="A727" t="s">
        <v>4716</v>
      </c>
      <c r="B727" t="s">
        <v>4717</v>
      </c>
      <c r="C727">
        <v>600</v>
      </c>
      <c r="D727">
        <f>SUMIFS(Horas!R:R,Horas!O:O,Tabla_Consulta_desde_Proyectos7[[#This Row],[Usunombre]])</f>
        <v>0</v>
      </c>
      <c r="E727" s="33">
        <f>Tabla_Consulta_desde_Proyectos7[[#This Row],[Horas]]*Tabla_Consulta_desde_Proyectos7[[#This Row],[PRYUcosto]]/8</f>
        <v>0</v>
      </c>
    </row>
    <row r="728" spans="1:5">
      <c r="A728" t="s">
        <v>6665</v>
      </c>
      <c r="B728" t="s">
        <v>6666</v>
      </c>
      <c r="D728">
        <f>SUMIFS(Horas!R:R,Horas!O:O,Tabla_Consulta_desde_Proyectos7[[#This Row],[Usunombre]])</f>
        <v>0</v>
      </c>
      <c r="E728" s="33">
        <f>Tabla_Consulta_desde_Proyectos7[[#This Row],[Horas]]*Tabla_Consulta_desde_Proyectos7[[#This Row],[PRYUcosto]]/8</f>
        <v>0</v>
      </c>
    </row>
    <row r="729" spans="1:5">
      <c r="A729" t="s">
        <v>1784</v>
      </c>
      <c r="B729" t="s">
        <v>1785</v>
      </c>
      <c r="D729">
        <f>SUMIFS(Horas!R:R,Horas!O:O,Tabla_Consulta_desde_Proyectos7[[#This Row],[Usunombre]])</f>
        <v>0</v>
      </c>
      <c r="E729" s="33">
        <f>Tabla_Consulta_desde_Proyectos7[[#This Row],[Horas]]*Tabla_Consulta_desde_Proyectos7[[#This Row],[PRYUcosto]]/8</f>
        <v>0</v>
      </c>
    </row>
    <row r="730" spans="1:5">
      <c r="A730" t="s">
        <v>1882</v>
      </c>
      <c r="B730" t="s">
        <v>1883</v>
      </c>
      <c r="D730">
        <f>SUMIFS(Horas!R:R,Horas!O:O,Tabla_Consulta_desde_Proyectos7[[#This Row],[Usunombre]])</f>
        <v>0</v>
      </c>
      <c r="E730" s="33">
        <f>Tabla_Consulta_desde_Proyectos7[[#This Row],[Horas]]*Tabla_Consulta_desde_Proyectos7[[#This Row],[PRYUcosto]]/8</f>
        <v>0</v>
      </c>
    </row>
    <row r="731" spans="1:5">
      <c r="A731" t="s">
        <v>5445</v>
      </c>
      <c r="B731" t="s">
        <v>5446</v>
      </c>
      <c r="D731">
        <f>SUMIFS(Horas!R:R,Horas!O:O,Tabla_Consulta_desde_Proyectos7[[#This Row],[Usunombre]])</f>
        <v>0</v>
      </c>
      <c r="E731" s="33">
        <f>Tabla_Consulta_desde_Proyectos7[[#This Row],[Horas]]*Tabla_Consulta_desde_Proyectos7[[#This Row],[PRYUcosto]]/8</f>
        <v>0</v>
      </c>
    </row>
    <row r="732" spans="1:5">
      <c r="A732" t="s">
        <v>5266</v>
      </c>
      <c r="B732" t="s">
        <v>5267</v>
      </c>
      <c r="C732">
        <v>1200</v>
      </c>
      <c r="D732">
        <f>SUMIFS(Horas!R:R,Horas!O:O,Tabla_Consulta_desde_Proyectos7[[#This Row],[Usunombre]])</f>
        <v>0</v>
      </c>
      <c r="E732" s="33">
        <f>Tabla_Consulta_desde_Proyectos7[[#This Row],[Horas]]*Tabla_Consulta_desde_Proyectos7[[#This Row],[PRYUcosto]]/8</f>
        <v>0</v>
      </c>
    </row>
    <row r="733" spans="1:5">
      <c r="A733" t="s">
        <v>7527</v>
      </c>
      <c r="B733" t="s">
        <v>7528</v>
      </c>
      <c r="C733">
        <v>600</v>
      </c>
      <c r="D733">
        <f>SUMIFS(Horas!R:R,Horas!O:O,Tabla_Consulta_desde_Proyectos7[[#This Row],[Usunombre]])</f>
        <v>0</v>
      </c>
      <c r="E733" s="33">
        <f>Tabla_Consulta_desde_Proyectos7[[#This Row],[Horas]]*Tabla_Consulta_desde_Proyectos7[[#This Row],[PRYUcosto]]/8</f>
        <v>0</v>
      </c>
    </row>
    <row r="734" spans="1:5">
      <c r="A734" t="s">
        <v>909</v>
      </c>
      <c r="B734" t="s">
        <v>910</v>
      </c>
      <c r="C734">
        <v>0</v>
      </c>
      <c r="D734">
        <f>SUMIFS(Horas!R:R,Horas!O:O,Tabla_Consulta_desde_Proyectos7[[#This Row],[Usunombre]])</f>
        <v>0</v>
      </c>
      <c r="E734" s="33">
        <f>Tabla_Consulta_desde_Proyectos7[[#This Row],[Horas]]*Tabla_Consulta_desde_Proyectos7[[#This Row],[PRYUcosto]]/8</f>
        <v>0</v>
      </c>
    </row>
    <row r="735" spans="1:5">
      <c r="A735" t="s">
        <v>1479</v>
      </c>
      <c r="B735" t="s">
        <v>1480</v>
      </c>
      <c r="D735">
        <f>SUMIFS(Horas!R:R,Horas!O:O,Tabla_Consulta_desde_Proyectos7[[#This Row],[Usunombre]])</f>
        <v>0</v>
      </c>
      <c r="E735" s="33">
        <f>Tabla_Consulta_desde_Proyectos7[[#This Row],[Horas]]*Tabla_Consulta_desde_Proyectos7[[#This Row],[PRYUcosto]]/8</f>
        <v>0</v>
      </c>
    </row>
    <row r="736" spans="1:5">
      <c r="A736" t="s">
        <v>1651</v>
      </c>
      <c r="B736" t="s">
        <v>1652</v>
      </c>
      <c r="D736">
        <f>SUMIFS(Horas!R:R,Horas!O:O,Tabla_Consulta_desde_Proyectos7[[#This Row],[Usunombre]])</f>
        <v>0</v>
      </c>
      <c r="E736" s="33">
        <f>Tabla_Consulta_desde_Proyectos7[[#This Row],[Horas]]*Tabla_Consulta_desde_Proyectos7[[#This Row],[PRYUcosto]]/8</f>
        <v>0</v>
      </c>
    </row>
    <row r="737" spans="1:5">
      <c r="A737" t="s">
        <v>1905</v>
      </c>
      <c r="B737" t="s">
        <v>1906</v>
      </c>
      <c r="C737">
        <v>600</v>
      </c>
      <c r="D737">
        <f>SUMIFS(Horas!R:R,Horas!O:O,Tabla_Consulta_desde_Proyectos7[[#This Row],[Usunombre]])</f>
        <v>0</v>
      </c>
      <c r="E737" s="33">
        <f>Tabla_Consulta_desde_Proyectos7[[#This Row],[Horas]]*Tabla_Consulta_desde_Proyectos7[[#This Row],[PRYUcosto]]/8</f>
        <v>0</v>
      </c>
    </row>
    <row r="738" spans="1:5">
      <c r="A738" t="s">
        <v>7512</v>
      </c>
      <c r="B738" t="s">
        <v>7513</v>
      </c>
      <c r="D738">
        <f>SUMIFS(Horas!R:R,Horas!O:O,Tabla_Consulta_desde_Proyectos7[[#This Row],[Usunombre]])</f>
        <v>0</v>
      </c>
      <c r="E738" s="33">
        <f>Tabla_Consulta_desde_Proyectos7[[#This Row],[Horas]]*Tabla_Consulta_desde_Proyectos7[[#This Row],[PRYUcosto]]/8</f>
        <v>0</v>
      </c>
    </row>
    <row r="739" spans="1:5">
      <c r="A739" t="s">
        <v>6159</v>
      </c>
      <c r="B739" t="s">
        <v>6160</v>
      </c>
      <c r="D739">
        <f>SUMIFS(Horas!R:R,Horas!O:O,Tabla_Consulta_desde_Proyectos7[[#This Row],[Usunombre]])</f>
        <v>0</v>
      </c>
      <c r="E739" s="33">
        <f>Tabla_Consulta_desde_Proyectos7[[#This Row],[Horas]]*Tabla_Consulta_desde_Proyectos7[[#This Row],[PRYUcosto]]/8</f>
        <v>0</v>
      </c>
    </row>
    <row r="740" spans="1:5">
      <c r="A740" t="s">
        <v>995</v>
      </c>
      <c r="B740" t="s">
        <v>996</v>
      </c>
      <c r="D740">
        <f>SUMIFS(Horas!R:R,Horas!O:O,Tabla_Consulta_desde_Proyectos7[[#This Row],[Usunombre]])</f>
        <v>0</v>
      </c>
      <c r="E740" s="33">
        <f>Tabla_Consulta_desde_Proyectos7[[#This Row],[Horas]]*Tabla_Consulta_desde_Proyectos7[[#This Row],[PRYUcosto]]/8</f>
        <v>0</v>
      </c>
    </row>
    <row r="741" spans="1:5">
      <c r="A741" t="s">
        <v>7003</v>
      </c>
      <c r="B741" t="s">
        <v>7004</v>
      </c>
      <c r="C741">
        <v>600</v>
      </c>
      <c r="D741">
        <f>SUMIFS(Horas!R:R,Horas!O:O,Tabla_Consulta_desde_Proyectos7[[#This Row],[Usunombre]])</f>
        <v>0</v>
      </c>
      <c r="E741" s="33">
        <f>Tabla_Consulta_desde_Proyectos7[[#This Row],[Horas]]*Tabla_Consulta_desde_Proyectos7[[#This Row],[PRYUcosto]]/8</f>
        <v>0</v>
      </c>
    </row>
    <row r="742" spans="1:5">
      <c r="A742" t="s">
        <v>967</v>
      </c>
      <c r="B742" t="s">
        <v>968</v>
      </c>
      <c r="D742">
        <f>SUMIFS(Horas!R:R,Horas!O:O,Tabla_Consulta_desde_Proyectos7[[#This Row],[Usunombre]])</f>
        <v>0</v>
      </c>
      <c r="E742" s="33">
        <f>Tabla_Consulta_desde_Proyectos7[[#This Row],[Horas]]*Tabla_Consulta_desde_Proyectos7[[#This Row],[PRYUcosto]]/8</f>
        <v>0</v>
      </c>
    </row>
    <row r="743" spans="1:5">
      <c r="A743" t="s">
        <v>1489</v>
      </c>
      <c r="B743" t="s">
        <v>1490</v>
      </c>
      <c r="D743">
        <f>SUMIFS(Horas!R:R,Horas!O:O,Tabla_Consulta_desde_Proyectos7[[#This Row],[Usunombre]])</f>
        <v>0</v>
      </c>
      <c r="E743" s="33">
        <f>Tabla_Consulta_desde_Proyectos7[[#This Row],[Horas]]*Tabla_Consulta_desde_Proyectos7[[#This Row],[PRYUcosto]]/8</f>
        <v>0</v>
      </c>
    </row>
    <row r="744" spans="1:5">
      <c r="A744" t="s">
        <v>1695</v>
      </c>
      <c r="B744" t="s">
        <v>1696</v>
      </c>
      <c r="D744">
        <f>SUMIFS(Horas!R:R,Horas!O:O,Tabla_Consulta_desde_Proyectos7[[#This Row],[Usunombre]])</f>
        <v>0</v>
      </c>
      <c r="E744" s="33">
        <f>Tabla_Consulta_desde_Proyectos7[[#This Row],[Horas]]*Tabla_Consulta_desde_Proyectos7[[#This Row],[PRYUcosto]]/8</f>
        <v>0</v>
      </c>
    </row>
    <row r="745" spans="1:5">
      <c r="A745" t="s">
        <v>6206</v>
      </c>
      <c r="B745" t="s">
        <v>6207</v>
      </c>
      <c r="C745">
        <v>1200</v>
      </c>
      <c r="D745">
        <f>SUMIFS(Horas!R:R,Horas!O:O,Tabla_Consulta_desde_Proyectos7[[#This Row],[Usunombre]])</f>
        <v>0</v>
      </c>
      <c r="E745" s="33">
        <f>Tabla_Consulta_desde_Proyectos7[[#This Row],[Horas]]*Tabla_Consulta_desde_Proyectos7[[#This Row],[PRYUcosto]]/8</f>
        <v>0</v>
      </c>
    </row>
    <row r="746" spans="1:5">
      <c r="A746" t="s">
        <v>1661</v>
      </c>
      <c r="B746" t="s">
        <v>1662</v>
      </c>
      <c r="C746">
        <v>1200</v>
      </c>
      <c r="D746">
        <f>SUMIFS(Horas!R:R,Horas!O:O,Tabla_Consulta_desde_Proyectos7[[#This Row],[Usunombre]])</f>
        <v>0</v>
      </c>
      <c r="E746" s="33">
        <f>Tabla_Consulta_desde_Proyectos7[[#This Row],[Horas]]*Tabla_Consulta_desde_Proyectos7[[#This Row],[PRYUcosto]]/8</f>
        <v>0</v>
      </c>
    </row>
    <row r="747" spans="1:5">
      <c r="A747" t="s">
        <v>6959</v>
      </c>
      <c r="B747" t="s">
        <v>6960</v>
      </c>
      <c r="D747">
        <f>SUMIFS(Horas!R:R,Horas!O:O,Tabla_Consulta_desde_Proyectos7[[#This Row],[Usunombre]])</f>
        <v>0</v>
      </c>
      <c r="E747" s="33">
        <f>Tabla_Consulta_desde_Proyectos7[[#This Row],[Horas]]*Tabla_Consulta_desde_Proyectos7[[#This Row],[PRYUcosto]]/8</f>
        <v>0</v>
      </c>
    </row>
    <row r="748" spans="1:5">
      <c r="A748" t="s">
        <v>6151</v>
      </c>
      <c r="B748" t="s">
        <v>6152</v>
      </c>
      <c r="C748">
        <v>1200</v>
      </c>
      <c r="D748">
        <f>SUMIFS(Horas!R:R,Horas!O:O,Tabla_Consulta_desde_Proyectos7[[#This Row],[Usunombre]])</f>
        <v>0</v>
      </c>
      <c r="E748" s="33">
        <f>Tabla_Consulta_desde_Proyectos7[[#This Row],[Horas]]*Tabla_Consulta_desde_Proyectos7[[#This Row],[PRYUcosto]]/8</f>
        <v>0</v>
      </c>
    </row>
    <row r="749" spans="1:5">
      <c r="A749" t="s">
        <v>4734</v>
      </c>
      <c r="B749" t="s">
        <v>4735</v>
      </c>
      <c r="D749">
        <f>SUMIFS(Horas!R:R,Horas!O:O,Tabla_Consulta_desde_Proyectos7[[#This Row],[Usunombre]])</f>
        <v>0</v>
      </c>
      <c r="E749" s="33">
        <f>Tabla_Consulta_desde_Proyectos7[[#This Row],[Horas]]*Tabla_Consulta_desde_Proyectos7[[#This Row],[PRYUcosto]]/8</f>
        <v>0</v>
      </c>
    </row>
    <row r="750" spans="1:5">
      <c r="A750" t="s">
        <v>5419</v>
      </c>
      <c r="B750" t="s">
        <v>5420</v>
      </c>
      <c r="C750">
        <v>600</v>
      </c>
      <c r="D750">
        <f>SUMIFS(Horas!R:R,Horas!O:O,Tabla_Consulta_desde_Proyectos7[[#This Row],[Usunombre]])</f>
        <v>0</v>
      </c>
      <c r="E750" s="33">
        <f>Tabla_Consulta_desde_Proyectos7[[#This Row],[Horas]]*Tabla_Consulta_desde_Proyectos7[[#This Row],[PRYUcosto]]/8</f>
        <v>0</v>
      </c>
    </row>
    <row r="751" spans="1:5">
      <c r="A751" t="s">
        <v>1667</v>
      </c>
      <c r="B751" t="s">
        <v>1668</v>
      </c>
      <c r="D751">
        <f>SUMIFS(Horas!R:R,Horas!O:O,Tabla_Consulta_desde_Proyectos7[[#This Row],[Usunombre]])</f>
        <v>0</v>
      </c>
      <c r="E751" s="33">
        <f>Tabla_Consulta_desde_Proyectos7[[#This Row],[Horas]]*Tabla_Consulta_desde_Proyectos7[[#This Row],[PRYUcosto]]/8</f>
        <v>0</v>
      </c>
    </row>
    <row r="752" spans="1:5">
      <c r="A752" t="s">
        <v>6068</v>
      </c>
      <c r="B752" t="s">
        <v>6069</v>
      </c>
      <c r="C752">
        <v>600</v>
      </c>
      <c r="D752">
        <f>SUMIFS(Horas!R:R,Horas!O:O,Tabla_Consulta_desde_Proyectos7[[#This Row],[Usunombre]])</f>
        <v>0</v>
      </c>
      <c r="E752" s="33">
        <f>Tabla_Consulta_desde_Proyectos7[[#This Row],[Horas]]*Tabla_Consulta_desde_Proyectos7[[#This Row],[PRYUcosto]]/8</f>
        <v>0</v>
      </c>
    </row>
    <row r="753" spans="1:5">
      <c r="A753" t="s">
        <v>1815</v>
      </c>
      <c r="B753" t="s">
        <v>1816</v>
      </c>
      <c r="D753">
        <f>SUMIFS(Horas!R:R,Horas!O:O,Tabla_Consulta_desde_Proyectos7[[#This Row],[Usunombre]])</f>
        <v>0</v>
      </c>
      <c r="E753" s="33">
        <f>Tabla_Consulta_desde_Proyectos7[[#This Row],[Horas]]*Tabla_Consulta_desde_Proyectos7[[#This Row],[PRYUcosto]]/8</f>
        <v>0</v>
      </c>
    </row>
    <row r="754" spans="1:5">
      <c r="A754" t="s">
        <v>959</v>
      </c>
      <c r="B754" t="s">
        <v>960</v>
      </c>
      <c r="C754">
        <v>750</v>
      </c>
      <c r="D754">
        <f>SUMIFS(Horas!R:R,Horas!O:O,Tabla_Consulta_desde_Proyectos7[[#This Row],[Usunombre]])</f>
        <v>0</v>
      </c>
      <c r="E754" s="33">
        <f>Tabla_Consulta_desde_Proyectos7[[#This Row],[Horas]]*Tabla_Consulta_desde_Proyectos7[[#This Row],[PRYUcosto]]/8</f>
        <v>0</v>
      </c>
    </row>
    <row r="755" spans="1:5">
      <c r="A755" t="s">
        <v>1536</v>
      </c>
      <c r="B755" t="s">
        <v>1537</v>
      </c>
      <c r="D755">
        <f>SUMIFS(Horas!R:R,Horas!O:O,Tabla_Consulta_desde_Proyectos7[[#This Row],[Usunombre]])</f>
        <v>0</v>
      </c>
      <c r="E755" s="33">
        <f>Tabla_Consulta_desde_Proyectos7[[#This Row],[Horas]]*Tabla_Consulta_desde_Proyectos7[[#This Row],[PRYUcosto]]/8</f>
        <v>0</v>
      </c>
    </row>
    <row r="756" spans="1:5">
      <c r="A756" t="s">
        <v>6722</v>
      </c>
      <c r="B756" t="s">
        <v>6723</v>
      </c>
      <c r="D756">
        <f>SUMIFS(Horas!R:R,Horas!O:O,Tabla_Consulta_desde_Proyectos7[[#This Row],[Usunombre]])</f>
        <v>0</v>
      </c>
      <c r="E756" s="33">
        <f>Tabla_Consulta_desde_Proyectos7[[#This Row],[Horas]]*Tabla_Consulta_desde_Proyectos7[[#This Row],[PRYUcosto]]/8</f>
        <v>0</v>
      </c>
    </row>
    <row r="757" spans="1:5">
      <c r="A757" t="s">
        <v>3929</v>
      </c>
      <c r="B757" t="s">
        <v>3930</v>
      </c>
      <c r="D757">
        <f>SUMIFS(Horas!R:R,Horas!O:O,Tabla_Consulta_desde_Proyectos7[[#This Row],[Usunombre]])</f>
        <v>0</v>
      </c>
      <c r="E757" s="33">
        <f>Tabla_Consulta_desde_Proyectos7[[#This Row],[Horas]]*Tabla_Consulta_desde_Proyectos7[[#This Row],[PRYUcosto]]/8</f>
        <v>0</v>
      </c>
    </row>
    <row r="758" spans="1:5">
      <c r="A758" t="s">
        <v>1413</v>
      </c>
      <c r="B758" t="s">
        <v>1414</v>
      </c>
      <c r="D758">
        <f>SUMIFS(Horas!R:R,Horas!O:O,Tabla_Consulta_desde_Proyectos7[[#This Row],[Usunombre]])</f>
        <v>0</v>
      </c>
      <c r="E758" s="33">
        <f>Tabla_Consulta_desde_Proyectos7[[#This Row],[Horas]]*Tabla_Consulta_desde_Proyectos7[[#This Row],[PRYUcosto]]/8</f>
        <v>0</v>
      </c>
    </row>
    <row r="759" spans="1:5">
      <c r="A759" t="s">
        <v>1582</v>
      </c>
      <c r="B759" t="s">
        <v>1583</v>
      </c>
      <c r="D759">
        <f>SUMIFS(Horas!R:R,Horas!O:O,Tabla_Consulta_desde_Proyectos7[[#This Row],[Usunombre]])</f>
        <v>0</v>
      </c>
      <c r="E759" s="33">
        <f>Tabla_Consulta_desde_Proyectos7[[#This Row],[Horas]]*Tabla_Consulta_desde_Proyectos7[[#This Row],[PRYUcosto]]/8</f>
        <v>0</v>
      </c>
    </row>
    <row r="760" spans="1:5">
      <c r="A760" t="s">
        <v>1273</v>
      </c>
      <c r="B760" t="s">
        <v>1274</v>
      </c>
      <c r="D760">
        <f>SUMIFS(Horas!R:R,Horas!O:O,Tabla_Consulta_desde_Proyectos7[[#This Row],[Usunombre]])</f>
        <v>0</v>
      </c>
      <c r="E760" s="33">
        <f>Tabla_Consulta_desde_Proyectos7[[#This Row],[Horas]]*Tabla_Consulta_desde_Proyectos7[[#This Row],[PRYUcosto]]/8</f>
        <v>0</v>
      </c>
    </row>
    <row r="761" spans="1:5">
      <c r="A761" t="s">
        <v>4932</v>
      </c>
      <c r="B761" t="s">
        <v>4933</v>
      </c>
      <c r="D761">
        <f>SUMIFS(Horas!R:R,Horas!O:O,Tabla_Consulta_desde_Proyectos7[[#This Row],[Usunombre]])</f>
        <v>0</v>
      </c>
      <c r="E761" s="33">
        <f>Tabla_Consulta_desde_Proyectos7[[#This Row],[Horas]]*Tabla_Consulta_desde_Proyectos7[[#This Row],[PRYUcosto]]/8</f>
        <v>0</v>
      </c>
    </row>
    <row r="762" spans="1:5">
      <c r="A762" t="s">
        <v>6977</v>
      </c>
      <c r="B762" t="s">
        <v>6978</v>
      </c>
      <c r="D762">
        <f>SUMIFS(Horas!R:R,Horas!O:O,Tabla_Consulta_desde_Proyectos7[[#This Row],[Usunombre]])</f>
        <v>0</v>
      </c>
      <c r="E762" s="33">
        <f>Tabla_Consulta_desde_Proyectos7[[#This Row],[Horas]]*Tabla_Consulta_desde_Proyectos7[[#This Row],[PRYUcosto]]/8</f>
        <v>0</v>
      </c>
    </row>
    <row r="763" spans="1:5">
      <c r="A763" t="s">
        <v>5703</v>
      </c>
      <c r="B763" t="s">
        <v>5704</v>
      </c>
      <c r="C763">
        <v>1200</v>
      </c>
      <c r="D763">
        <f>SUMIFS(Horas!R:R,Horas!O:O,Tabla_Consulta_desde_Proyectos7[[#This Row],[Usunombre]])</f>
        <v>0</v>
      </c>
      <c r="E763" s="33">
        <f>Tabla_Consulta_desde_Proyectos7[[#This Row],[Horas]]*Tabla_Consulta_desde_Proyectos7[[#This Row],[PRYUcosto]]/8</f>
        <v>0</v>
      </c>
    </row>
    <row r="764" spans="1:5">
      <c r="A764" t="s">
        <v>4980</v>
      </c>
      <c r="B764" t="s">
        <v>6948</v>
      </c>
      <c r="D764">
        <f>SUMIFS(Horas!R:R,Horas!O:O,Tabla_Consulta_desde_Proyectos7[[#This Row],[Usunombre]])</f>
        <v>0</v>
      </c>
      <c r="E764" s="33">
        <f>Tabla_Consulta_desde_Proyectos7[[#This Row],[Horas]]*Tabla_Consulta_desde_Proyectos7[[#This Row],[PRYUcosto]]/8</f>
        <v>0</v>
      </c>
    </row>
    <row r="765" spans="1:5">
      <c r="A765" t="s">
        <v>1327</v>
      </c>
      <c r="B765" t="s">
        <v>1328</v>
      </c>
      <c r="D765">
        <f>SUMIFS(Horas!R:R,Horas!O:O,Tabla_Consulta_desde_Proyectos7[[#This Row],[Usunombre]])</f>
        <v>0</v>
      </c>
      <c r="E765" s="33">
        <f>Tabla_Consulta_desde_Proyectos7[[#This Row],[Horas]]*Tabla_Consulta_desde_Proyectos7[[#This Row],[PRYUcosto]]/8</f>
        <v>0</v>
      </c>
    </row>
    <row r="766" spans="1:5">
      <c r="A766" t="s">
        <v>1645</v>
      </c>
      <c r="B766" t="s">
        <v>1646</v>
      </c>
      <c r="C766">
        <v>600</v>
      </c>
      <c r="D766">
        <f>SUMIFS(Horas!R:R,Horas!O:O,Tabla_Consulta_desde_Proyectos7[[#This Row],[Usunombre]])</f>
        <v>0</v>
      </c>
      <c r="E766" s="33">
        <f>Tabla_Consulta_desde_Proyectos7[[#This Row],[Horas]]*Tabla_Consulta_desde_Proyectos7[[#This Row],[PRYUcosto]]/8</f>
        <v>0</v>
      </c>
    </row>
    <row r="767" spans="1:5">
      <c r="A767" t="s">
        <v>1926</v>
      </c>
      <c r="B767" t="s">
        <v>1927</v>
      </c>
      <c r="D767">
        <f>SUMIFS(Horas!R:R,Horas!O:O,Tabla_Consulta_desde_Proyectos7[[#This Row],[Usunombre]])</f>
        <v>0</v>
      </c>
      <c r="E767" s="33">
        <f>Tabla_Consulta_desde_Proyectos7[[#This Row],[Horas]]*Tabla_Consulta_desde_Proyectos7[[#This Row],[PRYUcosto]]/8</f>
        <v>0</v>
      </c>
    </row>
    <row r="768" spans="1:5">
      <c r="A768" t="s">
        <v>5276</v>
      </c>
      <c r="B768" t="s">
        <v>5277</v>
      </c>
      <c r="C768">
        <v>1200</v>
      </c>
      <c r="D768">
        <f>SUMIFS(Horas!R:R,Horas!O:O,Tabla_Consulta_desde_Proyectos7[[#This Row],[Usunombre]])</f>
        <v>0</v>
      </c>
      <c r="E768" s="33">
        <f>Tabla_Consulta_desde_Proyectos7[[#This Row],[Horas]]*Tabla_Consulta_desde_Proyectos7[[#This Row],[PRYUcosto]]/8</f>
        <v>0</v>
      </c>
    </row>
    <row r="769" spans="1:5">
      <c r="A769" t="s">
        <v>5226</v>
      </c>
      <c r="B769" t="s">
        <v>5227</v>
      </c>
      <c r="C769">
        <v>1200</v>
      </c>
      <c r="D769">
        <f>SUMIFS(Horas!R:R,Horas!O:O,Tabla_Consulta_desde_Proyectos7[[#This Row],[Usunombre]])</f>
        <v>0</v>
      </c>
      <c r="E769" s="33">
        <f>Tabla_Consulta_desde_Proyectos7[[#This Row],[Horas]]*Tabla_Consulta_desde_Proyectos7[[#This Row],[PRYUcosto]]/8</f>
        <v>0</v>
      </c>
    </row>
    <row r="770" spans="1:5">
      <c r="A770" t="s">
        <v>1121</v>
      </c>
      <c r="B770" t="s">
        <v>1122</v>
      </c>
      <c r="D770">
        <f>SUMIFS(Horas!R:R,Horas!O:O,Tabla_Consulta_desde_Proyectos7[[#This Row],[Usunombre]])</f>
        <v>0</v>
      </c>
      <c r="E770" s="33">
        <f>Tabla_Consulta_desde_Proyectos7[[#This Row],[Horas]]*Tabla_Consulta_desde_Proyectos7[[#This Row],[PRYUcosto]]/8</f>
        <v>0</v>
      </c>
    </row>
    <row r="771" spans="1:5">
      <c r="A771" t="s">
        <v>5701</v>
      </c>
      <c r="B771" t="s">
        <v>5702</v>
      </c>
      <c r="C771">
        <v>1200</v>
      </c>
      <c r="D771">
        <f>SUMIFS(Horas!R:R,Horas!O:O,Tabla_Consulta_desde_Proyectos7[[#This Row],[Usunombre]])</f>
        <v>0</v>
      </c>
      <c r="E771" s="33">
        <f>Tabla_Consulta_desde_Proyectos7[[#This Row],[Horas]]*Tabla_Consulta_desde_Proyectos7[[#This Row],[PRYUcosto]]/8</f>
        <v>0</v>
      </c>
    </row>
    <row r="772" spans="1:5">
      <c r="A772" t="s">
        <v>1393</v>
      </c>
      <c r="B772" t="s">
        <v>1394</v>
      </c>
      <c r="D772">
        <f>SUMIFS(Horas!R:R,Horas!O:O,Tabla_Consulta_desde_Proyectos7[[#This Row],[Usunombre]])</f>
        <v>0</v>
      </c>
      <c r="E772" s="33">
        <f>Tabla_Consulta_desde_Proyectos7[[#This Row],[Horas]]*Tabla_Consulta_desde_Proyectos7[[#This Row],[PRYUcosto]]/8</f>
        <v>0</v>
      </c>
    </row>
    <row r="773" spans="1:5">
      <c r="A773" t="s">
        <v>5034</v>
      </c>
      <c r="B773" t="s">
        <v>5035</v>
      </c>
      <c r="D773">
        <f>SUMIFS(Horas!R:R,Horas!O:O,Tabla_Consulta_desde_Proyectos7[[#This Row],[Usunombre]])</f>
        <v>0</v>
      </c>
      <c r="E773" s="33">
        <f>Tabla_Consulta_desde_Proyectos7[[#This Row],[Horas]]*Tabla_Consulta_desde_Proyectos7[[#This Row],[PRYUcosto]]/8</f>
        <v>0</v>
      </c>
    </row>
    <row r="774" spans="1:5">
      <c r="A774" t="s">
        <v>1062</v>
      </c>
      <c r="B774" t="s">
        <v>1063</v>
      </c>
      <c r="C774">
        <v>1400</v>
      </c>
      <c r="D774">
        <f>SUMIFS(Horas!R:R,Horas!O:O,Tabla_Consulta_desde_Proyectos7[[#This Row],[Usunombre]])</f>
        <v>0</v>
      </c>
      <c r="E774" s="33">
        <f>Tabla_Consulta_desde_Proyectos7[[#This Row],[Horas]]*Tabla_Consulta_desde_Proyectos7[[#This Row],[PRYUcosto]]/8</f>
        <v>0</v>
      </c>
    </row>
    <row r="775" spans="1:5">
      <c r="A775" t="s">
        <v>1773</v>
      </c>
      <c r="B775" t="s">
        <v>4089</v>
      </c>
      <c r="D775">
        <f>SUMIFS(Horas!R:R,Horas!O:O,Tabla_Consulta_desde_Proyectos7[[#This Row],[Usunombre]])</f>
        <v>0</v>
      </c>
      <c r="E775" s="33">
        <f>Tabla_Consulta_desde_Proyectos7[[#This Row],[Horas]]*Tabla_Consulta_desde_Proyectos7[[#This Row],[PRYUcosto]]/8</f>
        <v>0</v>
      </c>
    </row>
    <row r="776" spans="1:5">
      <c r="A776" t="s">
        <v>1979</v>
      </c>
      <c r="B776" t="s">
        <v>1980</v>
      </c>
      <c r="C776">
        <v>800</v>
      </c>
      <c r="D776">
        <f>SUMIFS(Horas!R:R,Horas!O:O,Tabla_Consulta_desde_Proyectos7[[#This Row],[Usunombre]])</f>
        <v>0</v>
      </c>
      <c r="E776" s="33">
        <f>Tabla_Consulta_desde_Proyectos7[[#This Row],[Horas]]*Tabla_Consulta_desde_Proyectos7[[#This Row],[PRYUcosto]]/8</f>
        <v>0</v>
      </c>
    </row>
    <row r="777" spans="1:5">
      <c r="A777" t="s">
        <v>1339</v>
      </c>
      <c r="B777" t="s">
        <v>1340</v>
      </c>
      <c r="D777">
        <f>SUMIFS(Horas!R:R,Horas!O:O,Tabla_Consulta_desde_Proyectos7[[#This Row],[Usunombre]])</f>
        <v>0</v>
      </c>
      <c r="E777" s="33">
        <f>Tabla_Consulta_desde_Proyectos7[[#This Row],[Horas]]*Tabla_Consulta_desde_Proyectos7[[#This Row],[PRYUcosto]]/8</f>
        <v>0</v>
      </c>
    </row>
    <row r="778" spans="1:5">
      <c r="A778" t="s">
        <v>7529</v>
      </c>
      <c r="B778" t="s">
        <v>7530</v>
      </c>
      <c r="D778">
        <f>SUMIFS(Horas!R:R,Horas!O:O,Tabla_Consulta_desde_Proyectos7[[#This Row],[Usunombre]])</f>
        <v>0</v>
      </c>
      <c r="E778" s="33">
        <f>Tabla_Consulta_desde_Proyectos7[[#This Row],[Horas]]*Tabla_Consulta_desde_Proyectos7[[#This Row],[PRYUcosto]]/8</f>
        <v>0</v>
      </c>
    </row>
    <row r="779" spans="1:5">
      <c r="A779" t="s">
        <v>1125</v>
      </c>
      <c r="B779" t="s">
        <v>4694</v>
      </c>
      <c r="C779">
        <v>600</v>
      </c>
      <c r="D779">
        <f>SUMIFS(Horas!R:R,Horas!O:O,Tabla_Consulta_desde_Proyectos7[[#This Row],[Usunombre]])</f>
        <v>0</v>
      </c>
      <c r="E779" s="33">
        <f>Tabla_Consulta_desde_Proyectos7[[#This Row],[Horas]]*Tabla_Consulta_desde_Proyectos7[[#This Row],[PRYUcosto]]/8</f>
        <v>0</v>
      </c>
    </row>
    <row r="780" spans="1:5">
      <c r="A780" t="s">
        <v>1083</v>
      </c>
      <c r="B780" t="s">
        <v>1084</v>
      </c>
      <c r="C780">
        <v>1200</v>
      </c>
      <c r="D780">
        <f>SUMIFS(Horas!R:R,Horas!O:O,Tabla_Consulta_desde_Proyectos7[[#This Row],[Usunombre]])</f>
        <v>0</v>
      </c>
      <c r="E780" s="33">
        <f>Tabla_Consulta_desde_Proyectos7[[#This Row],[Horas]]*Tabla_Consulta_desde_Proyectos7[[#This Row],[PRYUcosto]]/8</f>
        <v>0</v>
      </c>
    </row>
    <row r="781" spans="1:5">
      <c r="A781" t="s">
        <v>6117</v>
      </c>
      <c r="B781" t="s">
        <v>6118</v>
      </c>
      <c r="C781">
        <v>600</v>
      </c>
      <c r="D781">
        <f>SUMIFS(Horas!R:R,Horas!O:O,Tabla_Consulta_desde_Proyectos7[[#This Row],[Usunombre]])</f>
        <v>0</v>
      </c>
      <c r="E781" s="33">
        <f>Tabla_Consulta_desde_Proyectos7[[#This Row],[Horas]]*Tabla_Consulta_desde_Proyectos7[[#This Row],[PRYUcosto]]/8</f>
        <v>0</v>
      </c>
    </row>
    <row r="782" spans="1:5">
      <c r="A782" t="s">
        <v>917</v>
      </c>
      <c r="B782" t="s">
        <v>918</v>
      </c>
      <c r="C782">
        <v>600</v>
      </c>
      <c r="D782">
        <f>SUMIFS(Horas!R:R,Horas!O:O,Tabla_Consulta_desde_Proyectos7[[#This Row],[Usunombre]])</f>
        <v>0</v>
      </c>
      <c r="E782" s="33">
        <f>Tabla_Consulta_desde_Proyectos7[[#This Row],[Horas]]*Tabla_Consulta_desde_Proyectos7[[#This Row],[PRYUcosto]]/8</f>
        <v>0</v>
      </c>
    </row>
    <row r="783" spans="1:5">
      <c r="A783" t="s">
        <v>1729</v>
      </c>
      <c r="B783" t="s">
        <v>1730</v>
      </c>
      <c r="C783">
        <v>800</v>
      </c>
      <c r="D783">
        <f>SUMIFS(Horas!R:R,Horas!O:O,Tabla_Consulta_desde_Proyectos7[[#This Row],[Usunombre]])</f>
        <v>0</v>
      </c>
      <c r="E783" s="33">
        <f>Tabla_Consulta_desde_Proyectos7[[#This Row],[Horas]]*Tabla_Consulta_desde_Proyectos7[[#This Row],[PRYUcosto]]/8</f>
        <v>0</v>
      </c>
    </row>
    <row r="784" spans="1:5">
      <c r="A784" t="s">
        <v>6629</v>
      </c>
      <c r="B784" t="s">
        <v>6630</v>
      </c>
      <c r="D784">
        <f>SUMIFS(Horas!R:R,Horas!O:O,Tabla_Consulta_desde_Proyectos7[[#This Row],[Usunombre]])</f>
        <v>0</v>
      </c>
      <c r="E784" s="33">
        <f>Tabla_Consulta_desde_Proyectos7[[#This Row],[Horas]]*Tabla_Consulta_desde_Proyectos7[[#This Row],[PRYUcosto]]/8</f>
        <v>0</v>
      </c>
    </row>
    <row r="785" spans="1:5">
      <c r="A785" t="s">
        <v>1792</v>
      </c>
      <c r="B785" t="s">
        <v>1793</v>
      </c>
      <c r="C785">
        <v>600</v>
      </c>
      <c r="D785">
        <f>SUMIFS(Horas!R:R,Horas!O:O,Tabla_Consulta_desde_Proyectos7[[#This Row],[Usunombre]])</f>
        <v>0</v>
      </c>
      <c r="E785" s="33">
        <f>Tabla_Consulta_desde_Proyectos7[[#This Row],[Horas]]*Tabla_Consulta_desde_Proyectos7[[#This Row],[PRYUcosto]]/8</f>
        <v>0</v>
      </c>
    </row>
    <row r="786" spans="1:5">
      <c r="A786" t="s">
        <v>1132</v>
      </c>
      <c r="B786" t="s">
        <v>1133</v>
      </c>
      <c r="D786">
        <f>SUMIFS(Horas!R:R,Horas!O:O,Tabla_Consulta_desde_Proyectos7[[#This Row],[Usunombre]])</f>
        <v>0</v>
      </c>
      <c r="E786" s="33">
        <f>Tabla_Consulta_desde_Proyectos7[[#This Row],[Horas]]*Tabla_Consulta_desde_Proyectos7[[#This Row],[PRYUcosto]]/8</f>
        <v>0</v>
      </c>
    </row>
    <row r="787" spans="1:5">
      <c r="A787" t="s">
        <v>1868</v>
      </c>
      <c r="B787" t="s">
        <v>1869</v>
      </c>
      <c r="D787">
        <f>SUMIFS(Horas!R:R,Horas!O:O,Tabla_Consulta_desde_Proyectos7[[#This Row],[Usunombre]])</f>
        <v>0</v>
      </c>
      <c r="E787" s="33">
        <f>Tabla_Consulta_desde_Proyectos7[[#This Row],[Horas]]*Tabla_Consulta_desde_Proyectos7[[#This Row],[PRYUcosto]]/8</f>
        <v>0</v>
      </c>
    </row>
    <row r="788" spans="1:5">
      <c r="A788" t="s">
        <v>6176</v>
      </c>
      <c r="B788" t="s">
        <v>6177</v>
      </c>
      <c r="D788">
        <f>SUMIFS(Horas!R:R,Horas!O:O,Tabla_Consulta_desde_Proyectos7[[#This Row],[Usunombre]])</f>
        <v>0</v>
      </c>
      <c r="E788" s="33">
        <f>Tabla_Consulta_desde_Proyectos7[[#This Row],[Horas]]*Tabla_Consulta_desde_Proyectos7[[#This Row],[PRYUcosto]]/8</f>
        <v>0</v>
      </c>
    </row>
    <row r="789" spans="1:5">
      <c r="A789" t="s">
        <v>1761</v>
      </c>
      <c r="B789" t="s">
        <v>1762</v>
      </c>
      <c r="D789">
        <f>SUMIFS(Horas!R:R,Horas!O:O,Tabla_Consulta_desde_Proyectos7[[#This Row],[Usunombre]])</f>
        <v>0</v>
      </c>
      <c r="E789" s="33">
        <f>Tabla_Consulta_desde_Proyectos7[[#This Row],[Horas]]*Tabla_Consulta_desde_Proyectos7[[#This Row],[PRYUcosto]]/8</f>
        <v>0</v>
      </c>
    </row>
    <row r="790" spans="1:5">
      <c r="A790" t="s">
        <v>1397</v>
      </c>
      <c r="B790" t="s">
        <v>1398</v>
      </c>
      <c r="D790">
        <f>SUMIFS(Horas!R:R,Horas!O:O,Tabla_Consulta_desde_Proyectos7[[#This Row],[Usunombre]])</f>
        <v>0</v>
      </c>
      <c r="E790" s="33">
        <f>Tabla_Consulta_desde_Proyectos7[[#This Row],[Horas]]*Tabla_Consulta_desde_Proyectos7[[#This Row],[PRYUcosto]]/8</f>
        <v>0</v>
      </c>
    </row>
    <row r="791" spans="1:5">
      <c r="A791" t="s">
        <v>973</v>
      </c>
      <c r="B791" t="s">
        <v>974</v>
      </c>
      <c r="D791">
        <f>SUMIFS(Horas!R:R,Horas!O:O,Tabla_Consulta_desde_Proyectos7[[#This Row],[Usunombre]])</f>
        <v>0</v>
      </c>
      <c r="E791" s="33">
        <f>Tabla_Consulta_desde_Proyectos7[[#This Row],[Horas]]*Tabla_Consulta_desde_Proyectos7[[#This Row],[PRYUcosto]]/8</f>
        <v>0</v>
      </c>
    </row>
    <row r="792" spans="1:5">
      <c r="A792" t="s">
        <v>1435</v>
      </c>
      <c r="B792" t="s">
        <v>1436</v>
      </c>
      <c r="C792">
        <v>600</v>
      </c>
      <c r="D792">
        <f>SUMIFS(Horas!R:R,Horas!O:O,Tabla_Consulta_desde_Proyectos7[[#This Row],[Usunombre]])</f>
        <v>0</v>
      </c>
      <c r="E792" s="33">
        <f>Tabla_Consulta_desde_Proyectos7[[#This Row],[Horas]]*Tabla_Consulta_desde_Proyectos7[[#This Row],[PRYUcosto]]/8</f>
        <v>0</v>
      </c>
    </row>
    <row r="793" spans="1:5">
      <c r="A793" t="s">
        <v>1633</v>
      </c>
      <c r="B793" t="s">
        <v>1634</v>
      </c>
      <c r="D793">
        <f>SUMIFS(Horas!R:R,Horas!O:O,Tabla_Consulta_desde_Proyectos7[[#This Row],[Usunombre]])</f>
        <v>0</v>
      </c>
      <c r="E793" s="33">
        <f>Tabla_Consulta_desde_Proyectos7[[#This Row],[Horas]]*Tabla_Consulta_desde_Proyectos7[[#This Row],[PRYUcosto]]/8</f>
        <v>0</v>
      </c>
    </row>
    <row r="794" spans="1:5">
      <c r="A794" t="s">
        <v>1562</v>
      </c>
      <c r="B794" t="s">
        <v>1563</v>
      </c>
      <c r="D794">
        <f>SUMIFS(Horas!R:R,Horas!O:O,Tabla_Consulta_desde_Proyectos7[[#This Row],[Usunombre]])</f>
        <v>0</v>
      </c>
      <c r="E794" s="33">
        <f>Tabla_Consulta_desde_Proyectos7[[#This Row],[Horas]]*Tabla_Consulta_desde_Proyectos7[[#This Row],[PRYUcosto]]/8</f>
        <v>0</v>
      </c>
    </row>
    <row r="795" spans="1:5">
      <c r="A795" t="s">
        <v>1204</v>
      </c>
      <c r="B795" t="s">
        <v>1205</v>
      </c>
      <c r="C795">
        <v>800</v>
      </c>
      <c r="D795">
        <f>SUMIFS(Horas!R:R,Horas!O:O,Tabla_Consulta_desde_Proyectos7[[#This Row],[Usunombre]])</f>
        <v>0</v>
      </c>
      <c r="E795" s="33">
        <f>Tabla_Consulta_desde_Proyectos7[[#This Row],[Horas]]*Tabla_Consulta_desde_Proyectos7[[#This Row],[PRYUcosto]]/8</f>
        <v>0</v>
      </c>
    </row>
    <row r="796" spans="1:5">
      <c r="A796" t="s">
        <v>1369</v>
      </c>
      <c r="B796" t="s">
        <v>1370</v>
      </c>
      <c r="D796">
        <f>SUMIFS(Horas!R:R,Horas!O:O,Tabla_Consulta_desde_Proyectos7[[#This Row],[Usunombre]])</f>
        <v>0</v>
      </c>
      <c r="E796" s="33">
        <f>Tabla_Consulta_desde_Proyectos7[[#This Row],[Horas]]*Tabla_Consulta_desde_Proyectos7[[#This Row],[PRYUcosto]]/8</f>
        <v>0</v>
      </c>
    </row>
    <row r="797" spans="1:5">
      <c r="A797" t="s">
        <v>1574</v>
      </c>
      <c r="B797" t="s">
        <v>1575</v>
      </c>
      <c r="C797">
        <v>600</v>
      </c>
      <c r="D797">
        <f>SUMIFS(Horas!R:R,Horas!O:O,Tabla_Consulta_desde_Proyectos7[[#This Row],[Usunombre]])</f>
        <v>0</v>
      </c>
      <c r="E797" s="33">
        <f>Tabla_Consulta_desde_Proyectos7[[#This Row],[Horas]]*Tabla_Consulta_desde_Proyectos7[[#This Row],[PRYUcosto]]/8</f>
        <v>0</v>
      </c>
    </row>
    <row r="798" spans="1:5">
      <c r="A798" t="s">
        <v>5295</v>
      </c>
      <c r="B798" t="s">
        <v>5296</v>
      </c>
      <c r="D798">
        <f>SUMIFS(Horas!R:R,Horas!O:O,Tabla_Consulta_desde_Proyectos7[[#This Row],[Usunombre]])</f>
        <v>0</v>
      </c>
      <c r="E798" s="33">
        <f>Tabla_Consulta_desde_Proyectos7[[#This Row],[Horas]]*Tabla_Consulta_desde_Proyectos7[[#This Row],[PRYUcosto]]/8</f>
        <v>0</v>
      </c>
    </row>
    <row r="799" spans="1:5">
      <c r="A799" t="s">
        <v>1798</v>
      </c>
      <c r="B799" t="s">
        <v>1799</v>
      </c>
      <c r="D799">
        <f>SUMIFS(Horas!R:R,Horas!O:O,Tabla_Consulta_desde_Proyectos7[[#This Row],[Usunombre]])</f>
        <v>0</v>
      </c>
      <c r="E799" s="33">
        <f>Tabla_Consulta_desde_Proyectos7[[#This Row],[Horas]]*Tabla_Consulta_desde_Proyectos7[[#This Row],[PRYUcosto]]/8</f>
        <v>0</v>
      </c>
    </row>
    <row r="800" spans="1:5">
      <c r="A800" t="s">
        <v>5415</v>
      </c>
      <c r="B800" t="s">
        <v>5416</v>
      </c>
      <c r="D800">
        <f>SUMIFS(Horas!R:R,Horas!O:O,Tabla_Consulta_desde_Proyectos7[[#This Row],[Usunombre]])</f>
        <v>0</v>
      </c>
      <c r="E800" s="33">
        <f>Tabla_Consulta_desde_Proyectos7[[#This Row],[Horas]]*Tabla_Consulta_desde_Proyectos7[[#This Row],[PRYUcosto]]/8</f>
        <v>0</v>
      </c>
    </row>
    <row r="801" spans="1:5">
      <c r="A801" t="s">
        <v>1317</v>
      </c>
      <c r="B801" t="s">
        <v>1318</v>
      </c>
      <c r="D801">
        <f>SUMIFS(Horas!R:R,Horas!O:O,Tabla_Consulta_desde_Proyectos7[[#This Row],[Usunombre]])</f>
        <v>0</v>
      </c>
      <c r="E801" s="33">
        <f>Tabla_Consulta_desde_Proyectos7[[#This Row],[Horas]]*Tabla_Consulta_desde_Proyectos7[[#This Row],[PRYUcosto]]/8</f>
        <v>0</v>
      </c>
    </row>
    <row r="802" spans="1:5">
      <c r="A802" t="s">
        <v>1160</v>
      </c>
      <c r="B802" t="s">
        <v>1161</v>
      </c>
      <c r="C802">
        <v>800</v>
      </c>
      <c r="D802">
        <f>SUMIFS(Horas!R:R,Horas!O:O,Tabla_Consulta_desde_Proyectos7[[#This Row],[Usunombre]])</f>
        <v>0</v>
      </c>
      <c r="E802" s="33">
        <f>Tabla_Consulta_desde_Proyectos7[[#This Row],[Horas]]*Tabla_Consulta_desde_Proyectos7[[#This Row],[PRYUcosto]]/8</f>
        <v>0</v>
      </c>
    </row>
    <row r="803" spans="1:5">
      <c r="A803" t="s">
        <v>1711</v>
      </c>
      <c r="B803" t="s">
        <v>1712</v>
      </c>
      <c r="D803">
        <f>SUMIFS(Horas!R:R,Horas!O:O,Tabla_Consulta_desde_Proyectos7[[#This Row],[Usunombre]])</f>
        <v>0</v>
      </c>
      <c r="E803" s="33">
        <f>Tabla_Consulta_desde_Proyectos7[[#This Row],[Horas]]*Tabla_Consulta_desde_Proyectos7[[#This Row],[PRYUcosto]]/8</f>
        <v>0</v>
      </c>
    </row>
    <row r="804" spans="1:5">
      <c r="A804" t="s">
        <v>6180</v>
      </c>
      <c r="B804" t="s">
        <v>6181</v>
      </c>
      <c r="D804">
        <f>SUMIFS(Horas!R:R,Horas!O:O,Tabla_Consulta_desde_Proyectos7[[#This Row],[Usunombre]])</f>
        <v>0</v>
      </c>
      <c r="E804" s="33">
        <f>Tabla_Consulta_desde_Proyectos7[[#This Row],[Horas]]*Tabla_Consulta_desde_Proyectos7[[#This Row],[PRYUcosto]]/8</f>
        <v>0</v>
      </c>
    </row>
    <row r="805" spans="1:5">
      <c r="A805" t="s">
        <v>1925</v>
      </c>
      <c r="B805" t="s">
        <v>4092</v>
      </c>
      <c r="D805">
        <f>SUMIFS(Horas!R:R,Horas!O:O,Tabla_Consulta_desde_Proyectos7[[#This Row],[Usunombre]])</f>
        <v>0</v>
      </c>
      <c r="E805" s="33">
        <f>Tabla_Consulta_desde_Proyectos7[[#This Row],[Horas]]*Tabla_Consulta_desde_Proyectos7[[#This Row],[PRYUcosto]]/8</f>
        <v>0</v>
      </c>
    </row>
    <row r="806" spans="1:5">
      <c r="A806" t="s">
        <v>4948</v>
      </c>
      <c r="B806" t="s">
        <v>4949</v>
      </c>
      <c r="D806">
        <f>SUMIFS(Horas!R:R,Horas!O:O,Tabla_Consulta_desde_Proyectos7[[#This Row],[Usunombre]])</f>
        <v>0</v>
      </c>
      <c r="E806" s="33">
        <f>Tabla_Consulta_desde_Proyectos7[[#This Row],[Horas]]*Tabla_Consulta_desde_Proyectos7[[#This Row],[PRYUcosto]]/8</f>
        <v>0</v>
      </c>
    </row>
    <row r="807" spans="1:5">
      <c r="A807" t="s">
        <v>1578</v>
      </c>
      <c r="B807" t="s">
        <v>1579</v>
      </c>
      <c r="D807">
        <f>SUMIFS(Horas!R:R,Horas!O:O,Tabla_Consulta_desde_Proyectos7[[#This Row],[Usunombre]])</f>
        <v>0</v>
      </c>
      <c r="E807" s="33">
        <f>Tabla_Consulta_desde_Proyectos7[[#This Row],[Horas]]*Tabla_Consulta_desde_Proyectos7[[#This Row],[PRYUcosto]]/8</f>
        <v>0</v>
      </c>
    </row>
    <row r="808" spans="1:5">
      <c r="A808" t="s">
        <v>1194</v>
      </c>
      <c r="B808" t="s">
        <v>1195</v>
      </c>
      <c r="C808">
        <v>600</v>
      </c>
      <c r="D808">
        <f>SUMIFS(Horas!R:R,Horas!O:O,Tabla_Consulta_desde_Proyectos7[[#This Row],[Usunombre]])</f>
        <v>0</v>
      </c>
      <c r="E808" s="33">
        <f>Tabla_Consulta_desde_Proyectos7[[#This Row],[Horas]]*Tabla_Consulta_desde_Proyectos7[[#This Row],[PRYUcosto]]/8</f>
        <v>0</v>
      </c>
    </row>
    <row r="809" spans="1:5">
      <c r="A809" t="s">
        <v>7009</v>
      </c>
      <c r="B809" t="s">
        <v>7010</v>
      </c>
      <c r="D809">
        <f>SUMIFS(Horas!R:R,Horas!O:O,Tabla_Consulta_desde_Proyectos7[[#This Row],[Usunombre]])</f>
        <v>0</v>
      </c>
      <c r="E809" s="33">
        <f>Tabla_Consulta_desde_Proyectos7[[#This Row],[Horas]]*Tabla_Consulta_desde_Proyectos7[[#This Row],[PRYUcosto]]/8</f>
        <v>0</v>
      </c>
    </row>
    <row r="810" spans="1:5">
      <c r="A810" t="s">
        <v>1343</v>
      </c>
      <c r="B810" t="s">
        <v>1344</v>
      </c>
      <c r="D810">
        <f>SUMIFS(Horas!R:R,Horas!O:O,Tabla_Consulta_desde_Proyectos7[[#This Row],[Usunombre]])</f>
        <v>0</v>
      </c>
      <c r="E810" s="33">
        <f>Tabla_Consulta_desde_Proyectos7[[#This Row],[Horas]]*Tabla_Consulta_desde_Proyectos7[[#This Row],[PRYUcosto]]/8</f>
        <v>0</v>
      </c>
    </row>
    <row r="811" spans="1:5">
      <c r="A811" t="s">
        <v>981</v>
      </c>
      <c r="B811" t="s">
        <v>982</v>
      </c>
      <c r="C811">
        <v>1200</v>
      </c>
      <c r="D811">
        <f>SUMIFS(Horas!R:R,Horas!O:O,Tabla_Consulta_desde_Proyectos7[[#This Row],[Usunombre]])</f>
        <v>0</v>
      </c>
      <c r="E811" s="33">
        <f>Tabla_Consulta_desde_Proyectos7[[#This Row],[Horas]]*Tabla_Consulta_desde_Proyectos7[[#This Row],[PRYUcosto]]/8</f>
        <v>0</v>
      </c>
    </row>
    <row r="812" spans="1:5">
      <c r="A812" t="s">
        <v>1111</v>
      </c>
      <c r="B812" t="s">
        <v>1112</v>
      </c>
      <c r="C812">
        <v>900</v>
      </c>
      <c r="D812">
        <f>SUMIFS(Horas!R:R,Horas!O:O,Tabla_Consulta_desde_Proyectos7[[#This Row],[Usunombre]])</f>
        <v>0</v>
      </c>
      <c r="E812" s="33">
        <f>Tabla_Consulta_desde_Proyectos7[[#This Row],[Horas]]*Tabla_Consulta_desde_Proyectos7[[#This Row],[PRYUcosto]]/8</f>
        <v>0</v>
      </c>
    </row>
    <row r="813" spans="1:5">
      <c r="A813" t="s">
        <v>5019</v>
      </c>
      <c r="B813" t="s">
        <v>5020</v>
      </c>
      <c r="D813">
        <f>SUMIFS(Horas!R:R,Horas!O:O,Tabla_Consulta_desde_Proyectos7[[#This Row],[Usunombre]])</f>
        <v>0</v>
      </c>
      <c r="E813" s="33">
        <f>Tabla_Consulta_desde_Proyectos7[[#This Row],[Horas]]*Tabla_Consulta_desde_Proyectos7[[#This Row],[PRYUcosto]]/8</f>
        <v>0</v>
      </c>
    </row>
    <row r="814" spans="1:5">
      <c r="A814" t="s">
        <v>1021</v>
      </c>
      <c r="B814" t="s">
        <v>1022</v>
      </c>
      <c r="C814">
        <v>1200</v>
      </c>
      <c r="D814">
        <f>SUMIFS(Horas!R:R,Horas!O:O,Tabla_Consulta_desde_Proyectos7[[#This Row],[Usunombre]])</f>
        <v>0</v>
      </c>
      <c r="E814" s="33">
        <f>Tabla_Consulta_desde_Proyectos7[[#This Row],[Horas]]*Tabla_Consulta_desde_Proyectos7[[#This Row],[PRYUcosto]]/8</f>
        <v>0</v>
      </c>
    </row>
    <row r="815" spans="1:5">
      <c r="A815" t="s">
        <v>6726</v>
      </c>
      <c r="B815" t="s">
        <v>6727</v>
      </c>
      <c r="D815">
        <f>SUMIFS(Horas!R:R,Horas!O:O,Tabla_Consulta_desde_Proyectos7[[#This Row],[Usunombre]])</f>
        <v>0</v>
      </c>
      <c r="E815" s="33">
        <f>Tabla_Consulta_desde_Proyectos7[[#This Row],[Horas]]*Tabla_Consulta_desde_Proyectos7[[#This Row],[PRYUcosto]]/8</f>
        <v>0</v>
      </c>
    </row>
    <row r="816" spans="1:5">
      <c r="A816" t="s">
        <v>1405</v>
      </c>
      <c r="B816" t="s">
        <v>1406</v>
      </c>
      <c r="D816">
        <f>SUMIFS(Horas!R:R,Horas!O:O,Tabla_Consulta_desde_Proyectos7[[#This Row],[Usunombre]])</f>
        <v>0</v>
      </c>
      <c r="E816" s="33">
        <f>Tabla_Consulta_desde_Proyectos7[[#This Row],[Horas]]*Tabla_Consulta_desde_Proyectos7[[#This Row],[PRYUcosto]]/8</f>
        <v>0</v>
      </c>
    </row>
    <row r="817" spans="1:5">
      <c r="A817" t="s">
        <v>5475</v>
      </c>
      <c r="B817" t="s">
        <v>5476</v>
      </c>
      <c r="D817">
        <f>SUMIFS(Horas!R:R,Horas!O:O,Tabla_Consulta_desde_Proyectos7[[#This Row],[Usunombre]])</f>
        <v>0</v>
      </c>
      <c r="E817" s="33">
        <f>Tabla_Consulta_desde_Proyectos7[[#This Row],[Horas]]*Tabla_Consulta_desde_Proyectos7[[#This Row],[PRYUcosto]]/8</f>
        <v>0</v>
      </c>
    </row>
    <row r="818" spans="1:5">
      <c r="A818" t="s">
        <v>1944</v>
      </c>
      <c r="B818" t="s">
        <v>1945</v>
      </c>
      <c r="C818">
        <v>600</v>
      </c>
      <c r="D818">
        <f>SUMIFS(Horas!R:R,Horas!O:O,Tabla_Consulta_desde_Proyectos7[[#This Row],[Usunombre]])</f>
        <v>0</v>
      </c>
      <c r="E818" s="33">
        <f>Tabla_Consulta_desde_Proyectos7[[#This Row],[Horas]]*Tabla_Consulta_desde_Proyectos7[[#This Row],[PRYUcosto]]/8</f>
        <v>0</v>
      </c>
    </row>
    <row r="819" spans="1:5">
      <c r="A819" t="s">
        <v>1233</v>
      </c>
      <c r="B819" t="s">
        <v>1234</v>
      </c>
      <c r="C819">
        <v>600</v>
      </c>
      <c r="D819">
        <f>SUMIFS(Horas!R:R,Horas!O:O,Tabla_Consulta_desde_Proyectos7[[#This Row],[Usunombre]])</f>
        <v>0</v>
      </c>
      <c r="E819" s="33">
        <f>Tabla_Consulta_desde_Proyectos7[[#This Row],[Horas]]*Tabla_Consulta_desde_Proyectos7[[#This Row],[PRYUcosto]]/8</f>
        <v>0</v>
      </c>
    </row>
    <row r="820" spans="1:5">
      <c r="A820" t="s">
        <v>1467</v>
      </c>
      <c r="B820" t="s">
        <v>1468</v>
      </c>
      <c r="D820">
        <f>SUMIFS(Horas!R:R,Horas!O:O,Tabla_Consulta_desde_Proyectos7[[#This Row],[Usunombre]])</f>
        <v>0</v>
      </c>
      <c r="E820" s="33">
        <f>Tabla_Consulta_desde_Proyectos7[[#This Row],[Horas]]*Tabla_Consulta_desde_Proyectos7[[#This Row],[PRYUcosto]]/8</f>
        <v>0</v>
      </c>
    </row>
    <row r="821" spans="1:5">
      <c r="A821" t="s">
        <v>1076</v>
      </c>
      <c r="B821" t="s">
        <v>1077</v>
      </c>
      <c r="C821">
        <v>1600</v>
      </c>
      <c r="D821">
        <f>SUMIFS(Horas!R:R,Horas!O:O,Tabla_Consulta_desde_Proyectos7[[#This Row],[Usunombre]])</f>
        <v>0</v>
      </c>
      <c r="E821" s="33">
        <f>Tabla_Consulta_desde_Proyectos7[[#This Row],[Horas]]*Tabla_Consulta_desde_Proyectos7[[#This Row],[PRYUcosto]]/8</f>
        <v>0</v>
      </c>
    </row>
    <row r="822" spans="1:5">
      <c r="A822" t="s">
        <v>1473</v>
      </c>
      <c r="B822" t="s">
        <v>1474</v>
      </c>
      <c r="C822">
        <v>800</v>
      </c>
      <c r="D822">
        <f>SUMIFS(Horas!R:R,Horas!O:O,Tabla_Consulta_desde_Proyectos7[[#This Row],[Usunombre]])</f>
        <v>0</v>
      </c>
      <c r="E822" s="33">
        <f>Tabla_Consulta_desde_Proyectos7[[#This Row],[Horas]]*Tabla_Consulta_desde_Proyectos7[[#This Row],[PRYUcosto]]/8</f>
        <v>0</v>
      </c>
    </row>
    <row r="823" spans="1:5">
      <c r="A823" t="s">
        <v>1427</v>
      </c>
      <c r="B823" t="s">
        <v>1428</v>
      </c>
      <c r="D823">
        <f>SUMIFS(Horas!R:R,Horas!O:O,Tabla_Consulta_desde_Proyectos7[[#This Row],[Usunombre]])</f>
        <v>0</v>
      </c>
      <c r="E823" s="33">
        <f>Tabla_Consulta_desde_Proyectos7[[#This Row],[Horas]]*Tabla_Consulta_desde_Proyectos7[[#This Row],[PRYUcosto]]/8</f>
        <v>0</v>
      </c>
    </row>
    <row r="824" spans="1:5">
      <c r="A824" t="s">
        <v>1411</v>
      </c>
      <c r="B824" t="s">
        <v>1412</v>
      </c>
      <c r="D824">
        <f>SUMIFS(Horas!R:R,Horas!O:O,Tabla_Consulta_desde_Proyectos7[[#This Row],[Usunombre]])</f>
        <v>0</v>
      </c>
      <c r="E824" s="33">
        <f>Tabla_Consulta_desde_Proyectos7[[#This Row],[Horas]]*Tabla_Consulta_desde_Proyectos7[[#This Row],[PRYUcosto]]/8</f>
        <v>0</v>
      </c>
    </row>
    <row r="825" spans="1:5">
      <c r="A825" t="s">
        <v>5433</v>
      </c>
      <c r="B825" t="s">
        <v>5434</v>
      </c>
      <c r="D825">
        <f>SUMIFS(Horas!R:R,Horas!O:O,Tabla_Consulta_desde_Proyectos7[[#This Row],[Usunombre]])</f>
        <v>0</v>
      </c>
      <c r="E825" s="33">
        <f>Tabla_Consulta_desde_Proyectos7[[#This Row],[Horas]]*Tabla_Consulta_desde_Proyectos7[[#This Row],[PRYUcosto]]/8</f>
        <v>0</v>
      </c>
    </row>
    <row r="826" spans="1:5">
      <c r="A826" t="s">
        <v>1625</v>
      </c>
      <c r="B826" t="s">
        <v>1626</v>
      </c>
      <c r="C826">
        <v>600</v>
      </c>
      <c r="D826">
        <f>SUMIFS(Horas!R:R,Horas!O:O,Tabla_Consulta_desde_Proyectos7[[#This Row],[Usunombre]])</f>
        <v>0</v>
      </c>
      <c r="E826" s="33">
        <f>Tabla_Consulta_desde_Proyectos7[[#This Row],[Horas]]*Tabla_Consulta_desde_Proyectos7[[#This Row],[PRYUcosto]]/8</f>
        <v>0</v>
      </c>
    </row>
    <row r="827" spans="1:5">
      <c r="A827" t="s">
        <v>5707</v>
      </c>
      <c r="B827" t="s">
        <v>5708</v>
      </c>
      <c r="C827">
        <v>1200</v>
      </c>
      <c r="D827">
        <f>SUMIFS(Horas!R:R,Horas!O:O,Tabla_Consulta_desde_Proyectos7[[#This Row],[Usunombre]])</f>
        <v>0</v>
      </c>
      <c r="E827" s="33">
        <f>Tabla_Consulta_desde_Proyectos7[[#This Row],[Horas]]*Tabla_Consulta_desde_Proyectos7[[#This Row],[PRYUcosto]]/8</f>
        <v>0</v>
      </c>
    </row>
    <row r="828" spans="1:5">
      <c r="A828" t="s">
        <v>1921</v>
      </c>
      <c r="B828" t="s">
        <v>1922</v>
      </c>
      <c r="C828">
        <v>1200</v>
      </c>
      <c r="D828">
        <f>SUMIFS(Horas!R:R,Horas!O:O,Tabla_Consulta_desde_Proyectos7[[#This Row],[Usunombre]])</f>
        <v>0</v>
      </c>
      <c r="E828" s="33">
        <f>Tabla_Consulta_desde_Proyectos7[[#This Row],[Horas]]*Tabla_Consulta_desde_Proyectos7[[#This Row],[PRYUcosto]]/8</f>
        <v>0</v>
      </c>
    </row>
    <row r="829" spans="1:5">
      <c r="A829" t="s">
        <v>5437</v>
      </c>
      <c r="B829" t="s">
        <v>5438</v>
      </c>
      <c r="D829">
        <f>SUMIFS(Horas!R:R,Horas!O:O,Tabla_Consulta_desde_Proyectos7[[#This Row],[Usunombre]])</f>
        <v>0</v>
      </c>
      <c r="E829" s="33">
        <f>Tabla_Consulta_desde_Proyectos7[[#This Row],[Horas]]*Tabla_Consulta_desde_Proyectos7[[#This Row],[PRYUcosto]]/8</f>
        <v>0</v>
      </c>
    </row>
    <row r="830" spans="1:5">
      <c r="A830" t="s">
        <v>1437</v>
      </c>
      <c r="B830" t="s">
        <v>1438</v>
      </c>
      <c r="D830">
        <f>SUMIFS(Horas!R:R,Horas!O:O,Tabla_Consulta_desde_Proyectos7[[#This Row],[Usunombre]])</f>
        <v>0</v>
      </c>
      <c r="E830" s="33">
        <f>Tabla_Consulta_desde_Proyectos7[[#This Row],[Horas]]*Tabla_Consulta_desde_Proyectos7[[#This Row],[PRYUcosto]]/8</f>
        <v>0</v>
      </c>
    </row>
    <row r="831" spans="1:5">
      <c r="A831" t="s">
        <v>1429</v>
      </c>
      <c r="B831" t="s">
        <v>1430</v>
      </c>
      <c r="D831">
        <f>SUMIFS(Horas!R:R,Horas!O:O,Tabla_Consulta_desde_Proyectos7[[#This Row],[Usunombre]])</f>
        <v>0</v>
      </c>
      <c r="E831" s="33">
        <f>Tabla_Consulta_desde_Proyectos7[[#This Row],[Horas]]*Tabla_Consulta_desde_Proyectos7[[#This Row],[PRYUcosto]]/8</f>
        <v>0</v>
      </c>
    </row>
    <row r="832" spans="1:5">
      <c r="A832" t="s">
        <v>6123</v>
      </c>
      <c r="B832" t="s">
        <v>6124</v>
      </c>
      <c r="C832">
        <v>600</v>
      </c>
      <c r="D832">
        <f>SUMIFS(Horas!R:R,Horas!O:O,Tabla_Consulta_desde_Proyectos7[[#This Row],[Usunombre]])</f>
        <v>0</v>
      </c>
      <c r="E832" s="33">
        <f>Tabla_Consulta_desde_Proyectos7[[#This Row],[Horas]]*Tabla_Consulta_desde_Proyectos7[[#This Row],[PRYUcosto]]/8</f>
        <v>0</v>
      </c>
    </row>
    <row r="833" spans="1:5">
      <c r="A833" t="s">
        <v>1289</v>
      </c>
      <c r="B833" t="s">
        <v>1290</v>
      </c>
      <c r="D833">
        <f>SUMIFS(Horas!R:R,Horas!O:O,Tabla_Consulta_desde_Proyectos7[[#This Row],[Usunombre]])</f>
        <v>0</v>
      </c>
      <c r="E833" s="33">
        <f>Tabla_Consulta_desde_Proyectos7[[#This Row],[Horas]]*Tabla_Consulta_desde_Proyectos7[[#This Row],[PRYUcosto]]/8</f>
        <v>0</v>
      </c>
    </row>
    <row r="834" spans="1:5">
      <c r="A834" t="s">
        <v>1117</v>
      </c>
      <c r="B834" t="s">
        <v>1118</v>
      </c>
      <c r="D834">
        <f>SUMIFS(Horas!R:R,Horas!O:O,Tabla_Consulta_desde_Proyectos7[[#This Row],[Usunombre]])</f>
        <v>0</v>
      </c>
      <c r="E834" s="33">
        <f>Tabla_Consulta_desde_Proyectos7[[#This Row],[Horas]]*Tabla_Consulta_desde_Proyectos7[[#This Row],[PRYUcosto]]/8</f>
        <v>0</v>
      </c>
    </row>
    <row r="835" spans="1:5">
      <c r="A835" t="s">
        <v>1270</v>
      </c>
      <c r="B835" t="s">
        <v>1271</v>
      </c>
      <c r="C835">
        <v>800</v>
      </c>
      <c r="D835">
        <f>SUMIFS(Horas!R:R,Horas!O:O,Tabla_Consulta_desde_Proyectos7[[#This Row],[Usunombre]])</f>
        <v>0</v>
      </c>
      <c r="E835" s="33">
        <f>Tabla_Consulta_desde_Proyectos7[[#This Row],[Horas]]*Tabla_Consulta_desde_Proyectos7[[#This Row],[PRYUcosto]]/8</f>
        <v>0</v>
      </c>
    </row>
    <row r="836" spans="1:5">
      <c r="A836" t="s">
        <v>1932</v>
      </c>
      <c r="B836" t="s">
        <v>1933</v>
      </c>
      <c r="D836">
        <f>SUMIFS(Horas!R:R,Horas!O:O,Tabla_Consulta_desde_Proyectos7[[#This Row],[Usunombre]])</f>
        <v>0</v>
      </c>
      <c r="E836" s="33">
        <f>Tabla_Consulta_desde_Proyectos7[[#This Row],[Horas]]*Tabla_Consulta_desde_Proyectos7[[#This Row],[PRYUcosto]]/8</f>
        <v>0</v>
      </c>
    </row>
    <row r="837" spans="1:5">
      <c r="A837" t="s">
        <v>5736</v>
      </c>
      <c r="B837" t="s">
        <v>5737</v>
      </c>
      <c r="C837">
        <v>1200</v>
      </c>
      <c r="D837">
        <f>SUMIFS(Horas!R:R,Horas!O:O,Tabla_Consulta_desde_Proyectos7[[#This Row],[Usunombre]])</f>
        <v>0</v>
      </c>
      <c r="E837" s="33">
        <f>Tabla_Consulta_desde_Proyectos7[[#This Row],[Horas]]*Tabla_Consulta_desde_Proyectos7[[#This Row],[PRYUcosto]]/8</f>
        <v>0</v>
      </c>
    </row>
    <row r="838" spans="1:5">
      <c r="A838" t="s">
        <v>1170</v>
      </c>
      <c r="B838" t="s">
        <v>1171</v>
      </c>
      <c r="C838">
        <v>600</v>
      </c>
      <c r="D838">
        <f>SUMIFS(Horas!R:R,Horas!O:O,Tabla_Consulta_desde_Proyectos7[[#This Row],[Usunombre]])</f>
        <v>0</v>
      </c>
      <c r="E838" s="33">
        <f>Tabla_Consulta_desde_Proyectos7[[#This Row],[Horas]]*Tabla_Consulta_desde_Proyectos7[[#This Row],[PRYUcosto]]/8</f>
        <v>0</v>
      </c>
    </row>
    <row r="839" spans="1:5">
      <c r="A839" t="s">
        <v>1901</v>
      </c>
      <c r="B839" t="s">
        <v>1902</v>
      </c>
      <c r="C839">
        <v>600</v>
      </c>
      <c r="D839">
        <f>SUMIFS(Horas!R:R,Horas!O:O,Tabla_Consulta_desde_Proyectos7[[#This Row],[Usunombre]])</f>
        <v>0</v>
      </c>
      <c r="E839" s="33">
        <f>Tabla_Consulta_desde_Proyectos7[[#This Row],[Horas]]*Tabla_Consulta_desde_Proyectos7[[#This Row],[PRYUcosto]]/8</f>
        <v>0</v>
      </c>
    </row>
    <row r="840" spans="1:5">
      <c r="A840" t="s">
        <v>6137</v>
      </c>
      <c r="B840" t="s">
        <v>6138</v>
      </c>
      <c r="C840">
        <v>1200</v>
      </c>
      <c r="D840">
        <f>SUMIFS(Horas!R:R,Horas!O:O,Tabla_Consulta_desde_Proyectos7[[#This Row],[Usunombre]])</f>
        <v>0</v>
      </c>
      <c r="E840" s="33">
        <f>Tabla_Consulta_desde_Proyectos7[[#This Row],[Horas]]*Tabla_Consulta_desde_Proyectos7[[#This Row],[PRYUcosto]]/8</f>
        <v>0</v>
      </c>
    </row>
    <row r="841" spans="1:5">
      <c r="A841" t="s">
        <v>1066</v>
      </c>
      <c r="B841" t="s">
        <v>1067</v>
      </c>
      <c r="C841">
        <v>1200</v>
      </c>
      <c r="D841">
        <f>SUMIFS(Horas!R:R,Horas!O:O,Tabla_Consulta_desde_Proyectos7[[#This Row],[Usunombre]])</f>
        <v>0</v>
      </c>
      <c r="E841" s="33">
        <f>Tabla_Consulta_desde_Proyectos7[[#This Row],[Horas]]*Tabla_Consulta_desde_Proyectos7[[#This Row],[PRYUcosto]]/8</f>
        <v>0</v>
      </c>
    </row>
    <row r="842" spans="1:5">
      <c r="A842" t="s">
        <v>1919</v>
      </c>
      <c r="B842" t="s">
        <v>1920</v>
      </c>
      <c r="D842">
        <f>SUMIFS(Horas!R:R,Horas!O:O,Tabla_Consulta_desde_Proyectos7[[#This Row],[Usunombre]])</f>
        <v>0</v>
      </c>
      <c r="E842" s="33">
        <f>Tabla_Consulta_desde_Proyectos7[[#This Row],[Horas]]*Tabla_Consulta_desde_Proyectos7[[#This Row],[PRYUcosto]]/8</f>
        <v>0</v>
      </c>
    </row>
    <row r="843" spans="1:5">
      <c r="A843" t="s">
        <v>1158</v>
      </c>
      <c r="B843" t="s">
        <v>1159</v>
      </c>
      <c r="C843">
        <v>600</v>
      </c>
      <c r="D843">
        <f>SUMIFS(Horas!R:R,Horas!O:O,Tabla_Consulta_desde_Proyectos7[[#This Row],[Usunombre]])</f>
        <v>0</v>
      </c>
      <c r="E843" s="33">
        <f>Tabla_Consulta_desde_Proyectos7[[#This Row],[Horas]]*Tabla_Consulta_desde_Proyectos7[[#This Row],[PRYUcosto]]/8</f>
        <v>0</v>
      </c>
    </row>
    <row r="844" spans="1:5">
      <c r="A844" t="s">
        <v>1550</v>
      </c>
      <c r="B844" t="s">
        <v>1551</v>
      </c>
      <c r="C844">
        <v>750</v>
      </c>
      <c r="D844">
        <f>SUMIFS(Horas!R:R,Horas!O:O,Tabla_Consulta_desde_Proyectos7[[#This Row],[Usunombre]])</f>
        <v>0</v>
      </c>
      <c r="E844" s="33">
        <f>Tabla_Consulta_desde_Proyectos7[[#This Row],[Horas]]*Tabla_Consulta_desde_Proyectos7[[#This Row],[PRYUcosto]]/8</f>
        <v>0</v>
      </c>
    </row>
    <row r="845" spans="1:5">
      <c r="A845" t="s">
        <v>6161</v>
      </c>
      <c r="B845" t="s">
        <v>6162</v>
      </c>
      <c r="D845">
        <f>SUMIFS(Horas!R:R,Horas!O:O,Tabla_Consulta_desde_Proyectos7[[#This Row],[Usunombre]])</f>
        <v>0</v>
      </c>
      <c r="E845" s="33">
        <f>Tabla_Consulta_desde_Proyectos7[[#This Row],[Horas]]*Tabla_Consulta_desde_Proyectos7[[#This Row],[PRYUcosto]]/8</f>
        <v>0</v>
      </c>
    </row>
    <row r="846" spans="1:5">
      <c r="A846" t="s">
        <v>4106</v>
      </c>
      <c r="B846" t="s">
        <v>4107</v>
      </c>
      <c r="D846">
        <f>SUMIFS(Horas!R:R,Horas!O:O,Tabla_Consulta_desde_Proyectos7[[#This Row],[Usunombre]])</f>
        <v>0</v>
      </c>
      <c r="E846" s="33">
        <f>Tabla_Consulta_desde_Proyectos7[[#This Row],[Horas]]*Tabla_Consulta_desde_Proyectos7[[#This Row],[PRYUcosto]]/8</f>
        <v>0</v>
      </c>
    </row>
    <row r="847" spans="1:5">
      <c r="A847" t="s">
        <v>1659</v>
      </c>
      <c r="B847" t="s">
        <v>1660</v>
      </c>
      <c r="C847">
        <v>1200</v>
      </c>
      <c r="D847">
        <f>SUMIFS(Horas!R:R,Horas!O:O,Tabla_Consulta_desde_Proyectos7[[#This Row],[Usunombre]])</f>
        <v>0</v>
      </c>
      <c r="E847" s="33">
        <f>Tabla_Consulta_desde_Proyectos7[[#This Row],[Horas]]*Tabla_Consulta_desde_Proyectos7[[#This Row],[PRYUcosto]]/8</f>
        <v>0</v>
      </c>
    </row>
    <row r="848" spans="1:5">
      <c r="A848" t="s">
        <v>1757</v>
      </c>
      <c r="B848" t="s">
        <v>1758</v>
      </c>
      <c r="D848">
        <f>SUMIFS(Horas!R:R,Horas!O:O,Tabla_Consulta_desde_Proyectos7[[#This Row],[Usunombre]])</f>
        <v>0</v>
      </c>
      <c r="E848" s="33">
        <f>Tabla_Consulta_desde_Proyectos7[[#This Row],[Horas]]*Tabla_Consulta_desde_Proyectos7[[#This Row],[PRYUcosto]]/8</f>
        <v>0</v>
      </c>
    </row>
    <row r="849" spans="1:5">
      <c r="A849" t="s">
        <v>5743</v>
      </c>
      <c r="B849" t="s">
        <v>5744</v>
      </c>
      <c r="C849">
        <v>1200</v>
      </c>
      <c r="D849">
        <f>SUMIFS(Horas!R:R,Horas!O:O,Tabla_Consulta_desde_Proyectos7[[#This Row],[Usunombre]])</f>
        <v>0</v>
      </c>
      <c r="E849" s="33">
        <f>Tabla_Consulta_desde_Proyectos7[[#This Row],[Horas]]*Tabla_Consulta_desde_Proyectos7[[#This Row],[PRYUcosto]]/8</f>
        <v>0</v>
      </c>
    </row>
    <row r="850" spans="1:5">
      <c r="A850" t="s">
        <v>5278</v>
      </c>
      <c r="B850" t="s">
        <v>5279</v>
      </c>
      <c r="C850">
        <v>750</v>
      </c>
      <c r="D850">
        <f>SUMIFS(Horas!R:R,Horas!O:O,Tabla_Consulta_desde_Proyectos7[[#This Row],[Usunombre]])</f>
        <v>0</v>
      </c>
      <c r="E850" s="33">
        <f>Tabla_Consulta_desde_Proyectos7[[#This Row],[Horas]]*Tabla_Consulta_desde_Proyectos7[[#This Row],[PRYUcosto]]/8</f>
        <v>0</v>
      </c>
    </row>
    <row r="851" spans="1:5">
      <c r="A851" t="s">
        <v>6669</v>
      </c>
      <c r="B851" t="s">
        <v>6670</v>
      </c>
      <c r="D851">
        <f>SUMIFS(Horas!R:R,Horas!O:O,Tabla_Consulta_desde_Proyectos7[[#This Row],[Usunombre]])</f>
        <v>0</v>
      </c>
      <c r="E851" s="33">
        <f>Tabla_Consulta_desde_Proyectos7[[#This Row],[Horas]]*Tabla_Consulta_desde_Proyectos7[[#This Row],[PRYUcosto]]/8</f>
        <v>0</v>
      </c>
    </row>
    <row r="852" spans="1:5">
      <c r="A852" t="s">
        <v>6186</v>
      </c>
      <c r="B852" t="s">
        <v>6187</v>
      </c>
      <c r="D852">
        <f>SUMIFS(Horas!R:R,Horas!O:O,Tabla_Consulta_desde_Proyectos7[[#This Row],[Usunombre]])</f>
        <v>0</v>
      </c>
      <c r="E852" s="33">
        <f>Tabla_Consulta_desde_Proyectos7[[#This Row],[Horas]]*Tabla_Consulta_desde_Proyectos7[[#This Row],[PRYUcosto]]/8</f>
        <v>0</v>
      </c>
    </row>
    <row r="853" spans="1:5">
      <c r="A853" t="s">
        <v>4742</v>
      </c>
      <c r="B853" t="s">
        <v>4743</v>
      </c>
      <c r="D853">
        <f>SUMIFS(Horas!R:R,Horas!O:O,Tabla_Consulta_desde_Proyectos7[[#This Row],[Usunombre]])</f>
        <v>0</v>
      </c>
      <c r="E853" s="33">
        <f>Tabla_Consulta_desde_Proyectos7[[#This Row],[Horas]]*Tabla_Consulta_desde_Proyectos7[[#This Row],[PRYUcosto]]/8</f>
        <v>0</v>
      </c>
    </row>
    <row r="854" spans="1:5">
      <c r="A854" t="s">
        <v>6079</v>
      </c>
      <c r="B854" t="s">
        <v>6080</v>
      </c>
      <c r="D854">
        <f>SUMIFS(Horas!R:R,Horas!O:O,Tabla_Consulta_desde_Proyectos7[[#This Row],[Usunombre]])</f>
        <v>0</v>
      </c>
      <c r="E854" s="33">
        <f>Tabla_Consulta_desde_Proyectos7[[#This Row],[Horas]]*Tabla_Consulta_desde_Proyectos7[[#This Row],[PRYUcosto]]/8</f>
        <v>0</v>
      </c>
    </row>
    <row r="855" spans="1:5">
      <c r="A855" t="s">
        <v>1174</v>
      </c>
      <c r="B855" t="s">
        <v>1175</v>
      </c>
      <c r="C855">
        <v>600</v>
      </c>
      <c r="D855">
        <f>SUMIFS(Horas!R:R,Horas!O:O,Tabla_Consulta_desde_Proyectos7[[#This Row],[Usunombre]])</f>
        <v>0</v>
      </c>
      <c r="E855" s="33">
        <f>Tabla_Consulta_desde_Proyectos7[[#This Row],[Horas]]*Tabla_Consulta_desde_Proyectos7[[#This Row],[PRYUcosto]]/8</f>
        <v>0</v>
      </c>
    </row>
    <row r="856" spans="1:5">
      <c r="A856" t="s">
        <v>4707</v>
      </c>
      <c r="B856" t="s">
        <v>4708</v>
      </c>
      <c r="D856">
        <f>SUMIFS(Horas!R:R,Horas!O:O,Tabla_Consulta_desde_Proyectos7[[#This Row],[Usunombre]])</f>
        <v>0</v>
      </c>
      <c r="E856" s="33">
        <f>Tabla_Consulta_desde_Proyectos7[[#This Row],[Horas]]*Tabla_Consulta_desde_Proyectos7[[#This Row],[PRYUcosto]]/8</f>
        <v>0</v>
      </c>
    </row>
    <row r="857" spans="1:5">
      <c r="A857" t="s">
        <v>1481</v>
      </c>
      <c r="B857" t="s">
        <v>1482</v>
      </c>
      <c r="D857">
        <f>SUMIFS(Horas!R:R,Horas!O:O,Tabla_Consulta_desde_Proyectos7[[#This Row],[Usunombre]])</f>
        <v>0</v>
      </c>
      <c r="E857" s="33">
        <f>Tabla_Consulta_desde_Proyectos7[[#This Row],[Horas]]*Tabla_Consulta_desde_Proyectos7[[#This Row],[PRYUcosto]]/8</f>
        <v>0</v>
      </c>
    </row>
    <row r="858" spans="1:5">
      <c r="A858" t="s">
        <v>1623</v>
      </c>
      <c r="B858" t="s">
        <v>1624</v>
      </c>
      <c r="D858">
        <f>SUMIFS(Horas!R:R,Horas!O:O,Tabla_Consulta_desde_Proyectos7[[#This Row],[Usunombre]])</f>
        <v>0</v>
      </c>
      <c r="E858" s="33">
        <f>Tabla_Consulta_desde_Proyectos7[[#This Row],[Horas]]*Tabla_Consulta_desde_Proyectos7[[#This Row],[PRYUcosto]]/8</f>
        <v>0</v>
      </c>
    </row>
    <row r="859" spans="1:5">
      <c r="A859" t="s">
        <v>5242</v>
      </c>
      <c r="B859" t="s">
        <v>5243</v>
      </c>
      <c r="D859">
        <f>SUMIFS(Horas!R:R,Horas!O:O,Tabla_Consulta_desde_Proyectos7[[#This Row],[Usunombre]])</f>
        <v>0</v>
      </c>
      <c r="E859" s="33">
        <f>Tabla_Consulta_desde_Proyectos7[[#This Row],[Horas]]*Tabla_Consulta_desde_Proyectos7[[#This Row],[PRYUcosto]]/8</f>
        <v>0</v>
      </c>
    </row>
    <row r="860" spans="1:5">
      <c r="A860" t="s">
        <v>3909</v>
      </c>
      <c r="B860" t="s">
        <v>3910</v>
      </c>
      <c r="D860">
        <f>SUMIFS(Horas!R:R,Horas!O:O,Tabla_Consulta_desde_Proyectos7[[#This Row],[Usunombre]])</f>
        <v>0</v>
      </c>
      <c r="E860" s="33">
        <f>Tabla_Consulta_desde_Proyectos7[[#This Row],[Horas]]*Tabla_Consulta_desde_Proyectos7[[#This Row],[PRYUcosto]]/8</f>
        <v>0</v>
      </c>
    </row>
    <row r="861" spans="1:5">
      <c r="A861" t="s">
        <v>936</v>
      </c>
      <c r="B861" t="s">
        <v>937</v>
      </c>
      <c r="D861">
        <f>SUMIFS(Horas!R:R,Horas!O:O,Tabla_Consulta_desde_Proyectos7[[#This Row],[Usunombre]])</f>
        <v>0</v>
      </c>
      <c r="E861" s="33">
        <f>Tabla_Consulta_desde_Proyectos7[[#This Row],[Horas]]*Tabla_Consulta_desde_Proyectos7[[#This Row],[PRYUcosto]]/8</f>
        <v>0</v>
      </c>
    </row>
    <row r="862" spans="1:5">
      <c r="A862" t="s">
        <v>7508</v>
      </c>
      <c r="B862" t="s">
        <v>7509</v>
      </c>
      <c r="D862">
        <f>SUMIFS(Horas!R:R,Horas!O:O,Tabla_Consulta_desde_Proyectos7[[#This Row],[Usunombre]])</f>
        <v>0</v>
      </c>
      <c r="E862" s="33">
        <f>Tabla_Consulta_desde_Proyectos7[[#This Row],[Horas]]*Tabla_Consulta_desde_Proyectos7[[#This Row],[PRYUcosto]]/8</f>
        <v>0</v>
      </c>
    </row>
    <row r="863" spans="1:5">
      <c r="A863" t="s">
        <v>5709</v>
      </c>
      <c r="B863" t="s">
        <v>5710</v>
      </c>
      <c r="C863">
        <v>1200</v>
      </c>
      <c r="D863">
        <f>SUMIFS(Horas!R:R,Horas!O:O,Tabla_Consulta_desde_Proyectos7[[#This Row],[Usunombre]])</f>
        <v>0</v>
      </c>
      <c r="E863" s="33">
        <f>Tabla_Consulta_desde_Proyectos7[[#This Row],[Horas]]*Tabla_Consulta_desde_Proyectos7[[#This Row],[PRYUcosto]]/8</f>
        <v>0</v>
      </c>
    </row>
    <row r="864" spans="1:5">
      <c r="A864" t="s">
        <v>1275</v>
      </c>
      <c r="B864" t="s">
        <v>1276</v>
      </c>
      <c r="C864">
        <v>800</v>
      </c>
      <c r="D864">
        <f>SUMIFS(Horas!R:R,Horas!O:O,Tabla_Consulta_desde_Proyectos7[[#This Row],[Usunombre]])</f>
        <v>0</v>
      </c>
      <c r="E864" s="33">
        <f>Tabla_Consulta_desde_Proyectos7[[#This Row],[Horas]]*Tabla_Consulta_desde_Proyectos7[[#This Row],[PRYUcosto]]/8</f>
        <v>0</v>
      </c>
    </row>
    <row r="865" spans="1:5">
      <c r="A865" t="s">
        <v>1875</v>
      </c>
      <c r="B865" t="s">
        <v>1876</v>
      </c>
      <c r="D865">
        <f>SUMIFS(Horas!R:R,Horas!O:O,Tabla_Consulta_desde_Proyectos7[[#This Row],[Usunombre]])</f>
        <v>0</v>
      </c>
      <c r="E865" s="33">
        <f>Tabla_Consulta_desde_Proyectos7[[#This Row],[Horas]]*Tabla_Consulta_desde_Proyectos7[[#This Row],[PRYUcosto]]/8</f>
        <v>0</v>
      </c>
    </row>
    <row r="866" spans="1:5">
      <c r="A866" t="s">
        <v>1765</v>
      </c>
      <c r="B866" t="s">
        <v>1766</v>
      </c>
      <c r="D866">
        <f>SUMIFS(Horas!R:R,Horas!O:O,Tabla_Consulta_desde_Proyectos7[[#This Row],[Usunombre]])</f>
        <v>0</v>
      </c>
      <c r="E866" s="33">
        <f>Tabla_Consulta_desde_Proyectos7[[#This Row],[Horas]]*Tabla_Consulta_desde_Proyectos7[[#This Row],[PRYUcosto]]/8</f>
        <v>0</v>
      </c>
    </row>
    <row r="867" spans="1:5">
      <c r="A867" t="s">
        <v>1407</v>
      </c>
      <c r="B867" t="s">
        <v>1408</v>
      </c>
      <c r="D867">
        <f>SUMIFS(Horas!R:R,Horas!O:O,Tabla_Consulta_desde_Proyectos7[[#This Row],[Usunombre]])</f>
        <v>0</v>
      </c>
      <c r="E867" s="33">
        <f>Tabla_Consulta_desde_Proyectos7[[#This Row],[Horas]]*Tabla_Consulta_desde_Proyectos7[[#This Row],[PRYUcosto]]/8</f>
        <v>0</v>
      </c>
    </row>
    <row r="868" spans="1:5">
      <c r="A868" t="s">
        <v>997</v>
      </c>
      <c r="B868" t="s">
        <v>998</v>
      </c>
      <c r="C868">
        <v>800</v>
      </c>
      <c r="D868">
        <f>SUMIFS(Horas!R:R,Horas!O:O,Tabla_Consulta_desde_Proyectos7[[#This Row],[Usunombre]])</f>
        <v>0</v>
      </c>
      <c r="E868" s="33">
        <f>Tabla_Consulta_desde_Proyectos7[[#This Row],[Horas]]*Tabla_Consulta_desde_Proyectos7[[#This Row],[PRYUcosto]]/8</f>
        <v>0</v>
      </c>
    </row>
    <row r="869" spans="1:5">
      <c r="A869" t="s">
        <v>1627</v>
      </c>
      <c r="B869" t="s">
        <v>1628</v>
      </c>
      <c r="D869">
        <f>SUMIFS(Horas!R:R,Horas!O:O,Tabla_Consulta_desde_Proyectos7[[#This Row],[Usunombre]])</f>
        <v>0</v>
      </c>
      <c r="E869" s="33">
        <f>Tabla_Consulta_desde_Proyectos7[[#This Row],[Horas]]*Tabla_Consulta_desde_Proyectos7[[#This Row],[PRYUcosto]]/8</f>
        <v>0</v>
      </c>
    </row>
    <row r="870" spans="1:5">
      <c r="A870" t="s">
        <v>6967</v>
      </c>
      <c r="B870" t="s">
        <v>6968</v>
      </c>
      <c r="C870">
        <v>600</v>
      </c>
      <c r="D870">
        <f>SUMIFS(Horas!R:R,Horas!O:O,Tabla_Consulta_desde_Proyectos7[[#This Row],[Usunombre]])</f>
        <v>0</v>
      </c>
      <c r="E870" s="33">
        <f>Tabla_Consulta_desde_Proyectos7[[#This Row],[Horas]]*Tabla_Consulta_desde_Proyectos7[[#This Row],[PRYUcosto]]/8</f>
        <v>0</v>
      </c>
    </row>
    <row r="871" spans="1:5">
      <c r="A871" t="s">
        <v>5220</v>
      </c>
      <c r="B871" t="s">
        <v>5221</v>
      </c>
      <c r="C871">
        <v>1200</v>
      </c>
      <c r="D871">
        <f>SUMIFS(Horas!R:R,Horas!O:O,Tabla_Consulta_desde_Proyectos7[[#This Row],[Usunombre]])</f>
        <v>0</v>
      </c>
      <c r="E871" s="33">
        <f>Tabla_Consulta_desde_Proyectos7[[#This Row],[Horas]]*Tabla_Consulta_desde_Proyectos7[[#This Row],[PRYUcosto]]/8</f>
        <v>0</v>
      </c>
    </row>
    <row r="872" spans="1:5">
      <c r="A872" t="s">
        <v>1558</v>
      </c>
      <c r="B872" t="s">
        <v>1559</v>
      </c>
      <c r="C872">
        <v>1200</v>
      </c>
      <c r="D872">
        <f>SUMIFS(Horas!R:R,Horas!O:O,Tabla_Consulta_desde_Proyectos7[[#This Row],[Usunombre]])</f>
        <v>0</v>
      </c>
      <c r="E872" s="33">
        <f>Tabla_Consulta_desde_Proyectos7[[#This Row],[Horas]]*Tabla_Consulta_desde_Proyectos7[[#This Row],[PRYUcosto]]/8</f>
        <v>0</v>
      </c>
    </row>
    <row r="873" spans="1:5">
      <c r="A873" t="s">
        <v>4732</v>
      </c>
      <c r="B873" t="s">
        <v>4733</v>
      </c>
      <c r="D873">
        <f>SUMIFS(Horas!R:R,Horas!O:O,Tabla_Consulta_desde_Proyectos7[[#This Row],[Usunombre]])</f>
        <v>0</v>
      </c>
      <c r="E873" s="33">
        <f>Tabla_Consulta_desde_Proyectos7[[#This Row],[Horas]]*Tabla_Consulta_desde_Proyectos7[[#This Row],[PRYUcosto]]/8</f>
        <v>0</v>
      </c>
    </row>
    <row r="874" spans="1:5">
      <c r="A874" t="s">
        <v>6232</v>
      </c>
      <c r="B874" t="s">
        <v>6233</v>
      </c>
      <c r="C874">
        <v>1200</v>
      </c>
      <c r="D874">
        <f>SUMIFS(Horas!R:R,Horas!O:O,Tabla_Consulta_desde_Proyectos7[[#This Row],[Usunombre]])</f>
        <v>0</v>
      </c>
      <c r="E874" s="33">
        <f>Tabla_Consulta_desde_Proyectos7[[#This Row],[Horas]]*Tabla_Consulta_desde_Proyectos7[[#This Row],[PRYUcosto]]/8</f>
        <v>0</v>
      </c>
    </row>
    <row r="875" spans="1:5">
      <c r="A875" t="s">
        <v>1051</v>
      </c>
      <c r="B875" t="s">
        <v>1052</v>
      </c>
      <c r="D875">
        <f>SUMIFS(Horas!R:R,Horas!O:O,Tabla_Consulta_desde_Proyectos7[[#This Row],[Usunombre]])</f>
        <v>0</v>
      </c>
      <c r="E875" s="33">
        <f>Tabla_Consulta_desde_Proyectos7[[#This Row],[Horas]]*Tabla_Consulta_desde_Proyectos7[[#This Row],[PRYUcosto]]/8</f>
        <v>0</v>
      </c>
    </row>
    <row r="876" spans="1:5">
      <c r="A876" t="s">
        <v>2009</v>
      </c>
      <c r="B876" t="s">
        <v>2010</v>
      </c>
      <c r="D876">
        <f>SUMIFS(Horas!R:R,Horas!O:O,Tabla_Consulta_desde_Proyectos7[[#This Row],[Usunombre]])</f>
        <v>0</v>
      </c>
      <c r="E876" s="33">
        <f>Tabla_Consulta_desde_Proyectos7[[#This Row],[Horas]]*Tabla_Consulta_desde_Proyectos7[[#This Row],[PRYUcosto]]/8</f>
        <v>0</v>
      </c>
    </row>
    <row r="877" spans="1:5">
      <c r="A877" t="s">
        <v>5282</v>
      </c>
      <c r="B877" t="s">
        <v>5283</v>
      </c>
      <c r="C877">
        <v>1200</v>
      </c>
      <c r="D877">
        <f>SUMIFS(Horas!R:R,Horas!O:O,Tabla_Consulta_desde_Proyectos7[[#This Row],[Usunombre]])</f>
        <v>0</v>
      </c>
      <c r="E877" s="33">
        <f>Tabla_Consulta_desde_Proyectos7[[#This Row],[Horas]]*Tabla_Consulta_desde_Proyectos7[[#This Row],[PRYUcosto]]/8</f>
        <v>0</v>
      </c>
    </row>
    <row r="878" spans="1:5">
      <c r="A878" t="s">
        <v>5463</v>
      </c>
      <c r="B878" t="s">
        <v>5464</v>
      </c>
      <c r="C878">
        <v>600</v>
      </c>
      <c r="D878">
        <f>SUMIFS(Horas!R:R,Horas!O:O,Tabla_Consulta_desde_Proyectos7[[#This Row],[Usunombre]])</f>
        <v>0</v>
      </c>
      <c r="E878" s="33">
        <f>Tabla_Consulta_desde_Proyectos7[[#This Row],[Horas]]*Tabla_Consulta_desde_Proyectos7[[#This Row],[PRYUcosto]]/8</f>
        <v>0</v>
      </c>
    </row>
    <row r="879" spans="1:5">
      <c r="A879" t="s">
        <v>1445</v>
      </c>
      <c r="B879" t="s">
        <v>1446</v>
      </c>
      <c r="D879">
        <f>SUMIFS(Horas!R:R,Horas!O:O,Tabla_Consulta_desde_Proyectos7[[#This Row],[Usunombre]])</f>
        <v>0</v>
      </c>
      <c r="E879" s="33">
        <f>Tabla_Consulta_desde_Proyectos7[[#This Row],[Horas]]*Tabla_Consulta_desde_Proyectos7[[#This Row],[PRYUcosto]]/8</f>
        <v>0</v>
      </c>
    </row>
    <row r="880" spans="1:5">
      <c r="A880" t="s">
        <v>1119</v>
      </c>
      <c r="B880" t="s">
        <v>1120</v>
      </c>
      <c r="C880">
        <v>1200</v>
      </c>
      <c r="D880">
        <f>SUMIFS(Horas!R:R,Horas!O:O,Tabla_Consulta_desde_Proyectos7[[#This Row],[Usunombre]])</f>
        <v>0</v>
      </c>
      <c r="E880" s="33">
        <f>Tabla_Consulta_desde_Proyectos7[[#This Row],[Horas]]*Tabla_Consulta_desde_Proyectos7[[#This Row],[PRYUcosto]]/8</f>
        <v>0</v>
      </c>
    </row>
    <row r="881" spans="1:5">
      <c r="A881" t="s">
        <v>5711</v>
      </c>
      <c r="B881" t="s">
        <v>5712</v>
      </c>
      <c r="C881">
        <v>1200</v>
      </c>
      <c r="D881">
        <f>SUMIFS(Horas!R:R,Horas!O:O,Tabla_Consulta_desde_Proyectos7[[#This Row],[Usunombre]])</f>
        <v>0</v>
      </c>
      <c r="E881" s="33">
        <f>Tabla_Consulta_desde_Proyectos7[[#This Row],[Horas]]*Tabla_Consulta_desde_Proyectos7[[#This Row],[PRYUcosto]]/8</f>
        <v>0</v>
      </c>
    </row>
    <row r="882" spans="1:5">
      <c r="A882" t="s">
        <v>5739</v>
      </c>
      <c r="B882" t="s">
        <v>5740</v>
      </c>
      <c r="C882">
        <v>1200</v>
      </c>
      <c r="D882">
        <f>SUMIFS(Horas!R:R,Horas!O:O,Tabla_Consulta_desde_Proyectos7[[#This Row],[Usunombre]])</f>
        <v>0</v>
      </c>
      <c r="E882" s="33">
        <f>Tabla_Consulta_desde_Proyectos7[[#This Row],[Horas]]*Tabla_Consulta_desde_Proyectos7[[#This Row],[PRYUcosto]]/8</f>
        <v>0</v>
      </c>
    </row>
    <row r="883" spans="1:5">
      <c r="A883" t="s">
        <v>1753</v>
      </c>
      <c r="B883" t="s">
        <v>1754</v>
      </c>
      <c r="D883">
        <f>SUMIFS(Horas!R:R,Horas!O:O,Tabla_Consulta_desde_Proyectos7[[#This Row],[Usunombre]])</f>
        <v>0</v>
      </c>
      <c r="E883" s="33">
        <f>Tabla_Consulta_desde_Proyectos7[[#This Row],[Horas]]*Tabla_Consulta_desde_Proyectos7[[#This Row],[PRYUcosto]]/8</f>
        <v>0</v>
      </c>
    </row>
    <row r="884" spans="1:5">
      <c r="A884" t="s">
        <v>4045</v>
      </c>
      <c r="B884" t="s">
        <v>4097</v>
      </c>
      <c r="D884">
        <f>SUMIFS(Horas!R:R,Horas!O:O,Tabla_Consulta_desde_Proyectos7[[#This Row],[Usunombre]])</f>
        <v>0</v>
      </c>
      <c r="E884" s="33">
        <f>Tabla_Consulta_desde_Proyectos7[[#This Row],[Horas]]*Tabla_Consulta_desde_Proyectos7[[#This Row],[PRYUcosto]]/8</f>
        <v>0</v>
      </c>
    </row>
    <row r="885" spans="1:5">
      <c r="A885" t="s">
        <v>6222</v>
      </c>
      <c r="B885" t="s">
        <v>6223</v>
      </c>
      <c r="D885">
        <f>SUMIFS(Horas!R:R,Horas!O:O,Tabla_Consulta_desde_Proyectos7[[#This Row],[Usunombre]])</f>
        <v>0</v>
      </c>
      <c r="E885" s="33">
        <f>Tabla_Consulta_desde_Proyectos7[[#This Row],[Horas]]*Tabla_Consulta_desde_Proyectos7[[#This Row],[PRYUcosto]]/8</f>
        <v>0</v>
      </c>
    </row>
    <row r="886" spans="1:5">
      <c r="A886" t="s">
        <v>1152</v>
      </c>
      <c r="B886" t="s">
        <v>1153</v>
      </c>
      <c r="D886">
        <f>SUMIFS(Horas!R:R,Horas!O:O,Tabla_Consulta_desde_Proyectos7[[#This Row],[Usunombre]])</f>
        <v>0</v>
      </c>
      <c r="E886" s="33">
        <f>Tabla_Consulta_desde_Proyectos7[[#This Row],[Horas]]*Tabla_Consulta_desde_Proyectos7[[#This Row],[PRYUcosto]]/8</f>
        <v>0</v>
      </c>
    </row>
    <row r="887" spans="1:5">
      <c r="A887" t="s">
        <v>6949</v>
      </c>
      <c r="B887" t="s">
        <v>6950</v>
      </c>
      <c r="D887">
        <f>SUMIFS(Horas!R:R,Horas!O:O,Tabla_Consulta_desde_Proyectos7[[#This Row],[Usunombre]])</f>
        <v>0</v>
      </c>
      <c r="E887" s="33">
        <f>Tabla_Consulta_desde_Proyectos7[[#This Row],[Horas]]*Tabla_Consulta_desde_Proyectos7[[#This Row],[PRYUcosto]]/8</f>
        <v>0</v>
      </c>
    </row>
    <row r="888" spans="1:5">
      <c r="A888" t="s">
        <v>1821</v>
      </c>
      <c r="B888" t="s">
        <v>4091</v>
      </c>
      <c r="C888">
        <v>750</v>
      </c>
      <c r="D888">
        <f>SUMIFS(Horas!R:R,Horas!O:O,Tabla_Consulta_desde_Proyectos7[[#This Row],[Usunombre]])</f>
        <v>0</v>
      </c>
      <c r="E888" s="33">
        <f>Tabla_Consulta_desde_Proyectos7[[#This Row],[Horas]]*Tabla_Consulta_desde_Proyectos7[[#This Row],[PRYUcosto]]/8</f>
        <v>0</v>
      </c>
    </row>
    <row r="889" spans="1:5">
      <c r="A889" t="s">
        <v>6673</v>
      </c>
      <c r="B889" t="s">
        <v>6674</v>
      </c>
      <c r="D889">
        <f>SUMIFS(Horas!R:R,Horas!O:O,Tabla_Consulta_desde_Proyectos7[[#This Row],[Usunombre]])</f>
        <v>0</v>
      </c>
      <c r="E889" s="33">
        <f>Tabla_Consulta_desde_Proyectos7[[#This Row],[Horas]]*Tabla_Consulta_desde_Proyectos7[[#This Row],[PRYUcosto]]/8</f>
        <v>0</v>
      </c>
    </row>
    <row r="890" spans="1:5">
      <c r="A890" t="s">
        <v>4046</v>
      </c>
      <c r="B890" t="s">
        <v>4047</v>
      </c>
      <c r="D890">
        <f>SUMIFS(Horas!R:R,Horas!O:O,Tabla_Consulta_desde_Proyectos7[[#This Row],[Usunombre]])</f>
        <v>0</v>
      </c>
      <c r="E890" s="33">
        <f>Tabla_Consulta_desde_Proyectos7[[#This Row],[Horas]]*Tabla_Consulta_desde_Proyectos7[[#This Row],[PRYUcosto]]/8</f>
        <v>0</v>
      </c>
    </row>
    <row r="891" spans="1:5">
      <c r="A891" t="s">
        <v>1315</v>
      </c>
      <c r="B891" t="s">
        <v>1316</v>
      </c>
      <c r="D891">
        <f>SUMIFS(Horas!R:R,Horas!O:O,Tabla_Consulta_desde_Proyectos7[[#This Row],[Usunombre]])</f>
        <v>0</v>
      </c>
      <c r="E891" s="33">
        <f>Tabla_Consulta_desde_Proyectos7[[#This Row],[Horas]]*Tabla_Consulta_desde_Proyectos7[[#This Row],[PRYUcosto]]/8</f>
        <v>0</v>
      </c>
    </row>
    <row r="892" spans="1:5">
      <c r="A892" t="s">
        <v>5713</v>
      </c>
      <c r="B892" t="s">
        <v>5714</v>
      </c>
      <c r="C892">
        <v>1200</v>
      </c>
      <c r="D892">
        <f>SUMIFS(Horas!R:R,Horas!O:O,Tabla_Consulta_desde_Proyectos7[[#This Row],[Usunombre]])</f>
        <v>0</v>
      </c>
      <c r="E892" s="33">
        <f>Tabla_Consulta_desde_Proyectos7[[#This Row],[Horas]]*Tabla_Consulta_desde_Proyectos7[[#This Row],[PRYUcosto]]/8</f>
        <v>0</v>
      </c>
    </row>
    <row r="893" spans="1:5">
      <c r="A893" t="s">
        <v>1263</v>
      </c>
      <c r="B893" t="s">
        <v>1264</v>
      </c>
      <c r="D893">
        <f>SUMIFS(Horas!R:R,Horas!O:O,Tabla_Consulta_desde_Proyectos7[[#This Row],[Usunombre]])</f>
        <v>0</v>
      </c>
      <c r="E893" s="33">
        <f>Tabla_Consulta_desde_Proyectos7[[#This Row],[Horas]]*Tabla_Consulta_desde_Proyectos7[[#This Row],[PRYUcosto]]/8</f>
        <v>0</v>
      </c>
    </row>
    <row r="894" spans="1:5">
      <c r="A894" t="s">
        <v>6643</v>
      </c>
      <c r="B894" t="s">
        <v>6644</v>
      </c>
      <c r="D894">
        <f>SUMIFS(Horas!R:R,Horas!O:O,Tabla_Consulta_desde_Proyectos7[[#This Row],[Usunombre]])</f>
        <v>0</v>
      </c>
      <c r="E894" s="33">
        <f>Tabla_Consulta_desde_Proyectos7[[#This Row],[Horas]]*Tabla_Consulta_desde_Proyectos7[[#This Row],[PRYUcosto]]/8</f>
        <v>0</v>
      </c>
    </row>
    <row r="895" spans="1:5">
      <c r="A895" t="s">
        <v>6828</v>
      </c>
      <c r="B895" t="s">
        <v>6829</v>
      </c>
      <c r="D895">
        <f>SUMIFS(Horas!R:R,Horas!O:O,Tabla_Consulta_desde_Proyectos7[[#This Row],[Usunombre]])</f>
        <v>0</v>
      </c>
      <c r="E895" s="33">
        <f>Tabla_Consulta_desde_Proyectos7[[#This Row],[Horas]]*Tabla_Consulta_desde_Proyectos7[[#This Row],[PRYUcosto]]/8</f>
        <v>0</v>
      </c>
    </row>
    <row r="896" spans="1:5">
      <c r="A896" t="s">
        <v>1085</v>
      </c>
      <c r="B896" t="s">
        <v>4690</v>
      </c>
      <c r="D896">
        <f>SUMIFS(Horas!R:R,Horas!O:O,Tabla_Consulta_desde_Proyectos7[[#This Row],[Usunombre]])</f>
        <v>0</v>
      </c>
      <c r="E896" s="33">
        <f>Tabla_Consulta_desde_Proyectos7[[#This Row],[Horas]]*Tabla_Consulta_desde_Proyectos7[[#This Row],[PRYUcosto]]/8</f>
        <v>0</v>
      </c>
    </row>
    <row r="897" spans="1:5">
      <c r="A897" t="s">
        <v>1952</v>
      </c>
      <c r="B897" t="s">
        <v>1953</v>
      </c>
      <c r="D897">
        <f>SUMIFS(Horas!R:R,Horas!O:O,Tabla_Consulta_desde_Proyectos7[[#This Row],[Usunombre]])</f>
        <v>0</v>
      </c>
      <c r="E897" s="33">
        <f>Tabla_Consulta_desde_Proyectos7[[#This Row],[Horas]]*Tabla_Consulta_desde_Proyectos7[[#This Row],[PRYUcosto]]/8</f>
        <v>0</v>
      </c>
    </row>
    <row r="898" spans="1:5">
      <c r="A898" t="s">
        <v>5024</v>
      </c>
      <c r="B898" t="s">
        <v>5025</v>
      </c>
      <c r="D898">
        <f>SUMIFS(Horas!R:R,Horas!O:O,Tabla_Consulta_desde_Proyectos7[[#This Row],[Usunombre]])</f>
        <v>0</v>
      </c>
      <c r="E898" s="33">
        <f>Tabla_Consulta_desde_Proyectos7[[#This Row],[Horas]]*Tabla_Consulta_desde_Proyectos7[[#This Row],[PRYUcosto]]/8</f>
        <v>0</v>
      </c>
    </row>
    <row r="899" spans="1:5">
      <c r="A899" t="s">
        <v>5734</v>
      </c>
      <c r="B899" t="s">
        <v>5735</v>
      </c>
      <c r="C899">
        <v>1200</v>
      </c>
      <c r="D899">
        <f>SUMIFS(Horas!R:R,Horas!O:O,Tabla_Consulta_desde_Proyectos7[[#This Row],[Usunombre]])</f>
        <v>0</v>
      </c>
      <c r="E899" s="33">
        <f>Tabla_Consulta_desde_Proyectos7[[#This Row],[Horas]]*Tabla_Consulta_desde_Proyectos7[[#This Row],[PRYUcosto]]/8</f>
        <v>0</v>
      </c>
    </row>
    <row r="900" spans="1:5">
      <c r="A900" t="s">
        <v>7007</v>
      </c>
      <c r="B900" t="s">
        <v>7008</v>
      </c>
      <c r="D900">
        <f>SUMIFS(Horas!R:R,Horas!O:O,Tabla_Consulta_desde_Proyectos7[[#This Row],[Usunombre]])</f>
        <v>0</v>
      </c>
      <c r="E900" s="33">
        <f>Tabla_Consulta_desde_Proyectos7[[#This Row],[Horas]]*Tabla_Consulta_desde_Proyectos7[[#This Row],[PRYUcosto]]/8</f>
        <v>0</v>
      </c>
    </row>
    <row r="901" spans="1:5">
      <c r="A901" t="s">
        <v>1297</v>
      </c>
      <c r="B901" t="s">
        <v>1298</v>
      </c>
      <c r="D901">
        <f>SUMIFS(Horas!R:R,Horas!O:O,Tabla_Consulta_desde_Proyectos7[[#This Row],[Usunombre]])</f>
        <v>0</v>
      </c>
      <c r="E901" s="33">
        <f>Tabla_Consulta_desde_Proyectos7[[#This Row],[Horas]]*Tabla_Consulta_desde_Proyectos7[[#This Row],[PRYUcosto]]/8</f>
        <v>0</v>
      </c>
    </row>
    <row r="902" spans="1:5">
      <c r="A902" t="s">
        <v>1592</v>
      </c>
      <c r="B902" t="s">
        <v>1593</v>
      </c>
      <c r="D902">
        <f>SUMIFS(Horas!R:R,Horas!O:O,Tabla_Consulta_desde_Proyectos7[[#This Row],[Usunombre]])</f>
        <v>0</v>
      </c>
      <c r="E902" s="33">
        <f>Tabla_Consulta_desde_Proyectos7[[#This Row],[Horas]]*Tabla_Consulta_desde_Proyectos7[[#This Row],[PRYUcosto]]/8</f>
        <v>0</v>
      </c>
    </row>
    <row r="903" spans="1:5">
      <c r="A903" t="s">
        <v>6635</v>
      </c>
      <c r="B903" t="s">
        <v>6636</v>
      </c>
      <c r="D903">
        <f>SUMIFS(Horas!R:R,Horas!O:O,Tabla_Consulta_desde_Proyectos7[[#This Row],[Usunombre]])</f>
        <v>0</v>
      </c>
      <c r="E903" s="33">
        <f>Tabla_Consulta_desde_Proyectos7[[#This Row],[Horas]]*Tabla_Consulta_desde_Proyectos7[[#This Row],[PRYUcosto]]/8</f>
        <v>0</v>
      </c>
    </row>
    <row r="904" spans="1:5">
      <c r="A904" t="s">
        <v>1009</v>
      </c>
      <c r="B904" t="s">
        <v>1010</v>
      </c>
      <c r="D904">
        <f>SUMIFS(Horas!R:R,Horas!O:O,Tabla_Consulta_desde_Proyectos7[[#This Row],[Usunombre]])</f>
        <v>0</v>
      </c>
      <c r="E904" s="33">
        <f>Tabla_Consulta_desde_Proyectos7[[#This Row],[Horas]]*Tabla_Consulta_desde_Proyectos7[[#This Row],[PRYUcosto]]/8</f>
        <v>0</v>
      </c>
    </row>
    <row r="905" spans="1:5">
      <c r="A905" t="s">
        <v>1671</v>
      </c>
      <c r="B905" t="s">
        <v>1672</v>
      </c>
      <c r="D905">
        <f>SUMIFS(Horas!R:R,Horas!O:O,Tabla_Consulta_desde_Proyectos7[[#This Row],[Usunombre]])</f>
        <v>0</v>
      </c>
      <c r="E905" s="33">
        <f>Tabla_Consulta_desde_Proyectos7[[#This Row],[Horas]]*Tabla_Consulta_desde_Proyectos7[[#This Row],[PRYUcosto]]/8</f>
        <v>0</v>
      </c>
    </row>
    <row r="906" spans="1:5">
      <c r="A906" t="s">
        <v>5745</v>
      </c>
      <c r="B906" t="s">
        <v>5746</v>
      </c>
      <c r="C906">
        <v>1200</v>
      </c>
      <c r="D906">
        <f>SUMIFS(Horas!R:R,Horas!O:O,Tabla_Consulta_desde_Proyectos7[[#This Row],[Usunombre]])</f>
        <v>0</v>
      </c>
      <c r="E906" s="33">
        <f>Tabla_Consulta_desde_Proyectos7[[#This Row],[Horas]]*Tabla_Consulta_desde_Proyectos7[[#This Row],[PRYUcosto]]/8</f>
        <v>0</v>
      </c>
    </row>
    <row r="907" spans="1:5">
      <c r="A907" t="s">
        <v>6167</v>
      </c>
      <c r="B907" t="s">
        <v>6168</v>
      </c>
      <c r="C907">
        <v>1200</v>
      </c>
      <c r="D907">
        <f>SUMIFS(Horas!R:R,Horas!O:O,Tabla_Consulta_desde_Proyectos7[[#This Row],[Usunombre]])</f>
        <v>0</v>
      </c>
      <c r="E907" s="33">
        <f>Tabla_Consulta_desde_Proyectos7[[#This Row],[Horas]]*Tabla_Consulta_desde_Proyectos7[[#This Row],[PRYUcosto]]/8</f>
        <v>0</v>
      </c>
    </row>
    <row r="908" spans="1:5">
      <c r="A908" t="s">
        <v>1872</v>
      </c>
      <c r="B908" t="s">
        <v>4103</v>
      </c>
      <c r="D908">
        <f>SUMIFS(Horas!R:R,Horas!O:O,Tabla_Consulta_desde_Proyectos7[[#This Row],[Usunombre]])</f>
        <v>0</v>
      </c>
      <c r="E908" s="33">
        <f>Tabla_Consulta_desde_Proyectos7[[#This Row],[Horas]]*Tabla_Consulta_desde_Proyectos7[[#This Row],[PRYUcosto]]/8</f>
        <v>0</v>
      </c>
    </row>
    <row r="909" spans="1:5">
      <c r="A909" t="s">
        <v>1528</v>
      </c>
      <c r="B909" t="s">
        <v>1529</v>
      </c>
      <c r="C909">
        <v>750</v>
      </c>
      <c r="D909">
        <f>SUMIFS(Horas!R:R,Horas!O:O,Tabla_Consulta_desde_Proyectos7[[#This Row],[Usunombre]])</f>
        <v>0</v>
      </c>
      <c r="E909" s="33">
        <f>Tabla_Consulta_desde_Proyectos7[[#This Row],[Horas]]*Tabla_Consulta_desde_Proyectos7[[#This Row],[PRYUcosto]]/8</f>
        <v>0</v>
      </c>
    </row>
    <row r="910" spans="1:5">
      <c r="A910" t="s">
        <v>1415</v>
      </c>
      <c r="B910" t="s">
        <v>1416</v>
      </c>
      <c r="D910">
        <f>SUMIFS(Horas!R:R,Horas!O:O,Tabla_Consulta_desde_Proyectos7[[#This Row],[Usunombre]])</f>
        <v>0</v>
      </c>
      <c r="E910" s="33">
        <f>Tabla_Consulta_desde_Proyectos7[[#This Row],[Horas]]*Tabla_Consulta_desde_Proyectos7[[#This Row],[PRYUcosto]]/8</f>
        <v>0</v>
      </c>
    </row>
    <row r="911" spans="1:5">
      <c r="A911" t="s">
        <v>6155</v>
      </c>
      <c r="B911" t="s">
        <v>6156</v>
      </c>
      <c r="C911">
        <v>1200</v>
      </c>
      <c r="D911">
        <f>SUMIFS(Horas!R:R,Horas!O:O,Tabla_Consulta_desde_Proyectos7[[#This Row],[Usunombre]])</f>
        <v>0</v>
      </c>
      <c r="E911" s="33">
        <f>Tabla_Consulta_desde_Proyectos7[[#This Row],[Horas]]*Tabla_Consulta_desde_Proyectos7[[#This Row],[PRYUcosto]]/8</f>
        <v>0</v>
      </c>
    </row>
    <row r="912" spans="1:5">
      <c r="A912" t="s">
        <v>1206</v>
      </c>
      <c r="B912" t="s">
        <v>1207</v>
      </c>
      <c r="C912">
        <v>750</v>
      </c>
      <c r="D912">
        <f>SUMIFS(Horas!R:R,Horas!O:O,Tabla_Consulta_desde_Proyectos7[[#This Row],[Usunombre]])</f>
        <v>0</v>
      </c>
      <c r="E912" s="33">
        <f>Tabla_Consulta_desde_Proyectos7[[#This Row],[Horas]]*Tabla_Consulta_desde_Proyectos7[[#This Row],[PRYUcosto]]/8</f>
        <v>0</v>
      </c>
    </row>
    <row r="913" spans="1:5">
      <c r="A913" t="s">
        <v>1301</v>
      </c>
      <c r="B913" t="s">
        <v>1302</v>
      </c>
      <c r="D913">
        <f>SUMIFS(Horas!R:R,Horas!O:O,Tabla_Consulta_desde_Proyectos7[[#This Row],[Usunombre]])</f>
        <v>0</v>
      </c>
      <c r="E913" s="33">
        <f>Tabla_Consulta_desde_Proyectos7[[#This Row],[Horas]]*Tabla_Consulta_desde_Proyectos7[[#This Row],[PRYUcosto]]/8</f>
        <v>0</v>
      </c>
    </row>
    <row r="914" spans="1:5">
      <c r="A914" t="s">
        <v>2027</v>
      </c>
      <c r="B914" t="s">
        <v>2028</v>
      </c>
      <c r="C914">
        <v>1200</v>
      </c>
      <c r="D914">
        <f>SUMIFS(Horas!R:R,Horas!O:O,Tabla_Consulta_desde_Proyectos7[[#This Row],[Usunombre]])</f>
        <v>0</v>
      </c>
      <c r="E914" s="33">
        <f>Tabla_Consulta_desde_Proyectos7[[#This Row],[Horas]]*Tabla_Consulta_desde_Proyectos7[[#This Row],[PRYUcosto]]/8</f>
        <v>0</v>
      </c>
    </row>
    <row r="915" spans="1:5">
      <c r="A915" t="s">
        <v>1192</v>
      </c>
      <c r="B915" t="s">
        <v>1193</v>
      </c>
      <c r="C915">
        <v>500</v>
      </c>
      <c r="D915">
        <f>SUMIFS(Horas!R:R,Horas!O:O,Tabla_Consulta_desde_Proyectos7[[#This Row],[Usunombre]])</f>
        <v>0</v>
      </c>
      <c r="E915" s="33">
        <f>Tabla_Consulta_desde_Proyectos7[[#This Row],[Horas]]*Tabla_Consulta_desde_Proyectos7[[#This Row],[PRYUcosto]]/8</f>
        <v>0</v>
      </c>
    </row>
    <row r="916" spans="1:5">
      <c r="A916" t="s">
        <v>919</v>
      </c>
      <c r="B916" t="s">
        <v>920</v>
      </c>
      <c r="C916">
        <v>0</v>
      </c>
      <c r="D916">
        <f>SUMIFS(Horas!R:R,Horas!O:O,Tabla_Consulta_desde_Proyectos7[[#This Row],[Usunombre]])</f>
        <v>0</v>
      </c>
      <c r="E916" s="33">
        <f>Tabla_Consulta_desde_Proyectos7[[#This Row],[Horas]]*Tabla_Consulta_desde_Proyectos7[[#This Row],[PRYUcosto]]/8</f>
        <v>0</v>
      </c>
    </row>
    <row r="917" spans="1:5">
      <c r="A917" t="s">
        <v>6204</v>
      </c>
      <c r="B917" t="s">
        <v>6205</v>
      </c>
      <c r="C917">
        <v>1200</v>
      </c>
      <c r="D917">
        <f>SUMIFS(Horas!R:R,Horas!O:O,Tabla_Consulta_desde_Proyectos7[[#This Row],[Usunombre]])</f>
        <v>0</v>
      </c>
      <c r="E917" s="33">
        <f>Tabla_Consulta_desde_Proyectos7[[#This Row],[Horas]]*Tabla_Consulta_desde_Proyectos7[[#This Row],[PRYUcosto]]/8</f>
        <v>0</v>
      </c>
    </row>
    <row r="918" spans="1:5">
      <c r="A918" t="s">
        <v>6145</v>
      </c>
      <c r="B918" t="s">
        <v>6146</v>
      </c>
      <c r="C918">
        <v>1200</v>
      </c>
      <c r="D918">
        <f>SUMIFS(Horas!R:R,Horas!O:O,Tabla_Consulta_desde_Proyectos7[[#This Row],[Usunombre]])</f>
        <v>0</v>
      </c>
      <c r="E918" s="33">
        <f>Tabla_Consulta_desde_Proyectos7[[#This Row],[Horas]]*Tabla_Consulta_desde_Proyectos7[[#This Row],[PRYUcosto]]/8</f>
        <v>0</v>
      </c>
    </row>
    <row r="919" spans="1:5">
      <c r="A919" t="s">
        <v>4966</v>
      </c>
      <c r="B919" t="s">
        <v>4967</v>
      </c>
      <c r="C919">
        <v>600</v>
      </c>
      <c r="D919">
        <f>SUMIFS(Horas!R:R,Horas!O:O,Tabla_Consulta_desde_Proyectos7[[#This Row],[Usunombre]])</f>
        <v>0</v>
      </c>
      <c r="E919" s="33">
        <f>Tabla_Consulta_desde_Proyectos7[[#This Row],[Horas]]*Tabla_Consulta_desde_Proyectos7[[#This Row],[PRYUcosto]]/8</f>
        <v>0</v>
      </c>
    </row>
    <row r="920" spans="1:5">
      <c r="A920" t="s">
        <v>1281</v>
      </c>
      <c r="B920" t="s">
        <v>1282</v>
      </c>
      <c r="D920">
        <f>SUMIFS(Horas!R:R,Horas!O:O,Tabla_Consulta_desde_Proyectos7[[#This Row],[Usunombre]])</f>
        <v>0</v>
      </c>
      <c r="E920" s="33">
        <f>Tabla_Consulta_desde_Proyectos7[[#This Row],[Horas]]*Tabla_Consulta_desde_Proyectos7[[#This Row],[PRYUcosto]]/8</f>
        <v>0</v>
      </c>
    </row>
    <row r="921" spans="1:5">
      <c r="A921" t="s">
        <v>1079</v>
      </c>
      <c r="B921" t="s">
        <v>1080</v>
      </c>
      <c r="D921">
        <f>SUMIFS(Horas!R:R,Horas!O:O,Tabla_Consulta_desde_Proyectos7[[#This Row],[Usunombre]])</f>
        <v>0</v>
      </c>
      <c r="E921" s="33">
        <f>Tabla_Consulta_desde_Proyectos7[[#This Row],[Horas]]*Tabla_Consulta_desde_Proyectos7[[#This Row],[PRYUcosto]]/8</f>
        <v>0</v>
      </c>
    </row>
    <row r="922" spans="1:5">
      <c r="A922" t="s">
        <v>5423</v>
      </c>
      <c r="B922" t="s">
        <v>5424</v>
      </c>
      <c r="D922">
        <f>SUMIFS(Horas!R:R,Horas!O:O,Tabla_Consulta_desde_Proyectos7[[#This Row],[Usunombre]])</f>
        <v>0</v>
      </c>
      <c r="E922" s="33">
        <f>Tabla_Consulta_desde_Proyectos7[[#This Row],[Horas]]*Tabla_Consulta_desde_Proyectos7[[#This Row],[PRYUcosto]]/8</f>
        <v>0</v>
      </c>
    </row>
    <row r="923" spans="1:5">
      <c r="A923" t="s">
        <v>1214</v>
      </c>
      <c r="B923" t="s">
        <v>1215</v>
      </c>
      <c r="C923">
        <v>750</v>
      </c>
      <c r="D923">
        <f>SUMIFS(Horas!R:R,Horas!O:O,Tabla_Consulta_desde_Proyectos7[[#This Row],[Usunombre]])</f>
        <v>0</v>
      </c>
      <c r="E923" s="33">
        <f>Tabla_Consulta_desde_Proyectos7[[#This Row],[Horas]]*Tabla_Consulta_desde_Proyectos7[[#This Row],[PRYUcosto]]/8</f>
        <v>0</v>
      </c>
    </row>
    <row r="924" spans="1:5">
      <c r="A924" t="s">
        <v>5461</v>
      </c>
      <c r="B924" t="s">
        <v>5462</v>
      </c>
      <c r="C924">
        <v>600</v>
      </c>
      <c r="D924">
        <f>SUMIFS(Horas!R:R,Horas!O:O,Tabla_Consulta_desde_Proyectos7[[#This Row],[Usunombre]])</f>
        <v>0</v>
      </c>
      <c r="E924" s="33">
        <f>Tabla_Consulta_desde_Proyectos7[[#This Row],[Horas]]*Tabla_Consulta_desde_Proyectos7[[#This Row],[PRYUcosto]]/8</f>
        <v>0</v>
      </c>
    </row>
    <row r="925" spans="1:5">
      <c r="A925" t="s">
        <v>1864</v>
      </c>
      <c r="B925" t="s">
        <v>1865</v>
      </c>
      <c r="C925">
        <v>750</v>
      </c>
      <c r="D925">
        <f>SUMIFS(Horas!R:R,Horas!O:O,Tabla_Consulta_desde_Proyectos7[[#This Row],[Usunombre]])</f>
        <v>0</v>
      </c>
      <c r="E925" s="33">
        <f>Tabla_Consulta_desde_Proyectos7[[#This Row],[Horas]]*Tabla_Consulta_desde_Proyectos7[[#This Row],[PRYUcosto]]/8</f>
        <v>0</v>
      </c>
    </row>
    <row r="926" spans="1:5">
      <c r="A926" t="s">
        <v>6202</v>
      </c>
      <c r="B926" t="s">
        <v>6203</v>
      </c>
      <c r="D926">
        <f>SUMIFS(Horas!R:R,Horas!O:O,Tabla_Consulta_desde_Proyectos7[[#This Row],[Usunombre]])</f>
        <v>0</v>
      </c>
      <c r="E926" s="33">
        <f>Tabla_Consulta_desde_Proyectos7[[#This Row],[Horas]]*Tabla_Consulta_desde_Proyectos7[[#This Row],[PRYUcosto]]/8</f>
        <v>0</v>
      </c>
    </row>
    <row r="927" spans="1:5">
      <c r="A927" t="s">
        <v>6520</v>
      </c>
      <c r="B927" t="s">
        <v>6521</v>
      </c>
      <c r="C927">
        <v>600</v>
      </c>
      <c r="D927">
        <f>SUMIFS(Horas!R:R,Horas!O:O,Tabla_Consulta_desde_Proyectos7[[#This Row],[Usunombre]])</f>
        <v>0</v>
      </c>
      <c r="E927" s="33">
        <f>Tabla_Consulta_desde_Proyectos7[[#This Row],[Horas]]*Tabla_Consulta_desde_Proyectos7[[#This Row],[PRYUcosto]]/8</f>
        <v>0</v>
      </c>
    </row>
    <row r="928" spans="1:5">
      <c r="A928" t="s">
        <v>1810</v>
      </c>
      <c r="B928" t="s">
        <v>1811</v>
      </c>
      <c r="C928">
        <v>800</v>
      </c>
      <c r="D928">
        <f>SUMIFS(Horas!R:R,Horas!O:O,Tabla_Consulta_desde_Proyectos7[[#This Row],[Usunombre]])</f>
        <v>0</v>
      </c>
      <c r="E928" s="33">
        <f>Tabla_Consulta_desde_Proyectos7[[#This Row],[Horas]]*Tabla_Consulta_desde_Proyectos7[[#This Row],[PRYUcosto]]/8</f>
        <v>0</v>
      </c>
    </row>
    <row r="929" spans="1:5">
      <c r="A929" t="s">
        <v>1511</v>
      </c>
      <c r="B929" t="s">
        <v>1512</v>
      </c>
      <c r="C929">
        <v>750</v>
      </c>
      <c r="D929">
        <f>SUMIFS(Horas!R:R,Horas!O:O,Tabla_Consulta_desde_Proyectos7[[#This Row],[Usunombre]])</f>
        <v>0</v>
      </c>
      <c r="E929" s="33">
        <f>Tabla_Consulta_desde_Proyectos7[[#This Row],[Horas]]*Tabla_Consulta_desde_Proyectos7[[#This Row],[PRYUcosto]]/8</f>
        <v>0</v>
      </c>
    </row>
    <row r="930" spans="1:5">
      <c r="A930" t="s">
        <v>6943</v>
      </c>
      <c r="B930" t="s">
        <v>6944</v>
      </c>
      <c r="D930">
        <f>SUMIFS(Horas!R:R,Horas!O:O,Tabla_Consulta_desde_Proyectos7[[#This Row],[Usunombre]])</f>
        <v>0</v>
      </c>
      <c r="E930" s="33">
        <f>Tabla_Consulta_desde_Proyectos7[[#This Row],[Horas]]*Tabla_Consulta_desde_Proyectos7[[#This Row],[PRYUcosto]]/8</f>
        <v>0</v>
      </c>
    </row>
    <row r="931" spans="1:5">
      <c r="A931" t="s">
        <v>1616</v>
      </c>
      <c r="B931" t="s">
        <v>4105</v>
      </c>
      <c r="D931">
        <f>SUMIFS(Horas!R:R,Horas!O:O,Tabla_Consulta_desde_Proyectos7[[#This Row],[Usunombre]])</f>
        <v>0</v>
      </c>
      <c r="E931" s="33">
        <f>Tabla_Consulta_desde_Proyectos7[[#This Row],[Horas]]*Tabla_Consulta_desde_Proyectos7[[#This Row],[PRYUcosto]]/8</f>
        <v>0</v>
      </c>
    </row>
    <row r="932" spans="1:5">
      <c r="A932" t="s">
        <v>1983</v>
      </c>
      <c r="B932" t="s">
        <v>1984</v>
      </c>
      <c r="D932">
        <f>SUMIFS(Horas!R:R,Horas!O:O,Tabla_Consulta_desde_Proyectos7[[#This Row],[Usunombre]])</f>
        <v>0</v>
      </c>
      <c r="E932" s="33">
        <f>Tabla_Consulta_desde_Proyectos7[[#This Row],[Horas]]*Tabla_Consulta_desde_Proyectos7[[#This Row],[PRYUcosto]]/8</f>
        <v>0</v>
      </c>
    </row>
    <row r="933" spans="1:5">
      <c r="A933" t="s">
        <v>6671</v>
      </c>
      <c r="B933" t="s">
        <v>6672</v>
      </c>
      <c r="D933">
        <f>SUMIFS(Horas!R:R,Horas!O:O,Tabla_Consulta_desde_Proyectos7[[#This Row],[Usunombre]])</f>
        <v>0</v>
      </c>
      <c r="E933" s="33">
        <f>Tabla_Consulta_desde_Proyectos7[[#This Row],[Horas]]*Tabla_Consulta_desde_Proyectos7[[#This Row],[PRYUcosto]]/8</f>
        <v>0</v>
      </c>
    </row>
    <row r="934" spans="1:5">
      <c r="A934" t="s">
        <v>3907</v>
      </c>
      <c r="B934" t="s">
        <v>3908</v>
      </c>
      <c r="C934">
        <v>1200</v>
      </c>
      <c r="D934">
        <f>SUMIFS(Horas!R:R,Horas!O:O,Tabla_Consulta_desde_Proyectos7[[#This Row],[Usunombre]])</f>
        <v>0</v>
      </c>
      <c r="E934" s="33">
        <f>Tabla_Consulta_desde_Proyectos7[[#This Row],[Horas]]*Tabla_Consulta_desde_Proyectos7[[#This Row],[PRYUcosto]]/8</f>
        <v>0</v>
      </c>
    </row>
    <row r="935" spans="1:5">
      <c r="A935" t="s">
        <v>6989</v>
      </c>
      <c r="B935" t="s">
        <v>6990</v>
      </c>
      <c r="D935">
        <f>SUMIFS(Horas!R:R,Horas!O:O,Tabla_Consulta_desde_Proyectos7[[#This Row],[Usunombre]])</f>
        <v>0</v>
      </c>
      <c r="E935" s="33">
        <f>Tabla_Consulta_desde_Proyectos7[[#This Row],[Horas]]*Tabla_Consulta_desde_Proyectos7[[#This Row],[PRYUcosto]]/8</f>
        <v>0</v>
      </c>
    </row>
    <row r="936" spans="1:5">
      <c r="A936" t="s">
        <v>1261</v>
      </c>
      <c r="B936" t="s">
        <v>1262</v>
      </c>
      <c r="D936">
        <f>SUMIFS(Horas!R:R,Horas!O:O,Tabla_Consulta_desde_Proyectos7[[#This Row],[Usunombre]])</f>
        <v>0</v>
      </c>
      <c r="E936" s="33">
        <f>Tabla_Consulta_desde_Proyectos7[[#This Row],[Horas]]*Tabla_Consulta_desde_Proyectos7[[#This Row],[PRYUcosto]]/8</f>
        <v>0</v>
      </c>
    </row>
    <row r="937" spans="1:5">
      <c r="A937" t="s">
        <v>5473</v>
      </c>
      <c r="B937" t="s">
        <v>5474</v>
      </c>
      <c r="C937">
        <v>600</v>
      </c>
      <c r="D937">
        <f>SUMIFS(Horas!R:R,Horas!O:O,Tabla_Consulta_desde_Proyectos7[[#This Row],[Usunombre]])</f>
        <v>0</v>
      </c>
      <c r="E937" s="33">
        <f>Tabla_Consulta_desde_Proyectos7[[#This Row],[Horas]]*Tabla_Consulta_desde_Proyectos7[[#This Row],[PRYUcosto]]/8</f>
        <v>0</v>
      </c>
    </row>
    <row r="938" spans="1:5">
      <c r="A938" t="s">
        <v>1972</v>
      </c>
      <c r="B938" t="s">
        <v>1973</v>
      </c>
      <c r="C938">
        <v>600</v>
      </c>
      <c r="D938">
        <f>SUMIFS(Horas!R:R,Horas!O:O,Tabla_Consulta_desde_Proyectos7[[#This Row],[Usunombre]])</f>
        <v>0</v>
      </c>
      <c r="E938" s="33">
        <f>Tabla_Consulta_desde_Proyectos7[[#This Row],[Horas]]*Tabla_Consulta_desde_Proyectos7[[#This Row],[PRYUcosto]]/8</f>
        <v>0</v>
      </c>
    </row>
    <row r="939" spans="1:5">
      <c r="A939" t="s">
        <v>6077</v>
      </c>
      <c r="B939" t="s">
        <v>6078</v>
      </c>
      <c r="C939">
        <v>600</v>
      </c>
      <c r="D939">
        <f>SUMIFS(Horas!R:R,Horas!O:O,Tabla_Consulta_desde_Proyectos7[[#This Row],[Usunombre]])</f>
        <v>0</v>
      </c>
      <c r="E939" s="33">
        <f>Tabla_Consulta_desde_Proyectos7[[#This Row],[Horas]]*Tabla_Consulta_desde_Proyectos7[[#This Row],[PRYUcosto]]/8</f>
        <v>0</v>
      </c>
    </row>
    <row r="940" spans="1:5">
      <c r="A940" t="s">
        <v>1081</v>
      </c>
      <c r="B940" t="s">
        <v>1082</v>
      </c>
      <c r="D940">
        <f>SUMIFS(Horas!R:R,Horas!O:O,Tabla_Consulta_desde_Proyectos7[[#This Row],[Usunombre]])</f>
        <v>0</v>
      </c>
      <c r="E940" s="33">
        <f>Tabla_Consulta_desde_Proyectos7[[#This Row],[Horas]]*Tabla_Consulta_desde_Proyectos7[[#This Row],[PRYUcosto]]/8</f>
        <v>0</v>
      </c>
    </row>
    <row r="941" spans="1:5">
      <c r="A941" t="s">
        <v>7001</v>
      </c>
      <c r="B941" t="s">
        <v>7002</v>
      </c>
      <c r="D941">
        <f>SUMIFS(Horas!R:R,Horas!O:O,Tabla_Consulta_desde_Proyectos7[[#This Row],[Usunombre]])</f>
        <v>0</v>
      </c>
      <c r="E941" s="33">
        <f>Tabla_Consulta_desde_Proyectos7[[#This Row],[Horas]]*Tabla_Consulta_desde_Proyectos7[[#This Row],[PRYUcosto]]/8</f>
        <v>0</v>
      </c>
    </row>
    <row r="942" spans="1:5">
      <c r="A942" t="s">
        <v>1639</v>
      </c>
      <c r="B942" t="s">
        <v>1640</v>
      </c>
      <c r="D942">
        <f>SUMIFS(Horas!R:R,Horas!O:O,Tabla_Consulta_desde_Proyectos7[[#This Row],[Usunombre]])</f>
        <v>0</v>
      </c>
      <c r="E942" s="33">
        <f>Tabla_Consulta_desde_Proyectos7[[#This Row],[Horas]]*Tabla_Consulta_desde_Proyectos7[[#This Row],[PRYUcosto]]/8</f>
        <v>0</v>
      </c>
    </row>
    <row r="943" spans="1:5">
      <c r="A943" t="s">
        <v>6677</v>
      </c>
      <c r="B943" t="s">
        <v>6678</v>
      </c>
      <c r="D943">
        <f>SUMIFS(Horas!R:R,Horas!O:O,Tabla_Consulta_desde_Proyectos7[[#This Row],[Usunombre]])</f>
        <v>0</v>
      </c>
      <c r="E943" s="33">
        <f>Tabla_Consulta_desde_Proyectos7[[#This Row],[Horas]]*Tabla_Consulta_desde_Proyectos7[[#This Row],[PRYUcosto]]/8</f>
        <v>0</v>
      </c>
    </row>
    <row r="944" spans="1:5">
      <c r="A944" t="s">
        <v>1178</v>
      </c>
      <c r="B944" t="s">
        <v>1179</v>
      </c>
      <c r="D944">
        <f>SUMIFS(Horas!R:R,Horas!O:O,Tabla_Consulta_desde_Proyectos7[[#This Row],[Usunombre]])</f>
        <v>0</v>
      </c>
      <c r="E944" s="33">
        <f>Tabla_Consulta_desde_Proyectos7[[#This Row],[Horas]]*Tabla_Consulta_desde_Proyectos7[[#This Row],[PRYUcosto]]/8</f>
        <v>0</v>
      </c>
    </row>
    <row r="945" spans="1:5">
      <c r="A945" t="s">
        <v>6649</v>
      </c>
      <c r="B945" t="s">
        <v>6650</v>
      </c>
      <c r="D945">
        <f>SUMIFS(Horas!R:R,Horas!O:O,Tabla_Consulta_desde_Proyectos7[[#This Row],[Usunombre]])</f>
        <v>0</v>
      </c>
      <c r="E945" s="33">
        <f>Tabla_Consulta_desde_Proyectos7[[#This Row],[Horas]]*Tabla_Consulta_desde_Proyectos7[[#This Row],[PRYUcosto]]/8</f>
        <v>0</v>
      </c>
    </row>
    <row r="946" spans="1:5">
      <c r="A946" t="s">
        <v>5258</v>
      </c>
      <c r="B946" t="s">
        <v>5259</v>
      </c>
      <c r="C946">
        <v>1200</v>
      </c>
      <c r="D946">
        <f>SUMIFS(Horas!R:R,Horas!O:O,Tabla_Consulta_desde_Proyectos7[[#This Row],[Usunombre]])</f>
        <v>0</v>
      </c>
      <c r="E946" s="33">
        <f>Tabla_Consulta_desde_Proyectos7[[#This Row],[Horas]]*Tabla_Consulta_desde_Proyectos7[[#This Row],[PRYUcosto]]/8</f>
        <v>0</v>
      </c>
    </row>
    <row r="947" spans="1:5">
      <c r="A947" t="s">
        <v>1325</v>
      </c>
      <c r="B947" t="s">
        <v>1326</v>
      </c>
      <c r="D947">
        <f>SUMIFS(Horas!R:R,Horas!O:O,Tabla_Consulta_desde_Proyectos7[[#This Row],[Usunombre]])</f>
        <v>0</v>
      </c>
      <c r="E947" s="33">
        <f>Tabla_Consulta_desde_Proyectos7[[#This Row],[Horas]]*Tabla_Consulta_desde_Proyectos7[[#This Row],[PRYUcosto]]/8</f>
        <v>0</v>
      </c>
    </row>
  </sheetData>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vt:i4>
      </vt:variant>
    </vt:vector>
  </HeadingPairs>
  <TitlesOfParts>
    <vt:vector size="20" baseType="lpstr">
      <vt:lpstr>Catálogos</vt:lpstr>
      <vt:lpstr>Catálogo</vt:lpstr>
      <vt:lpstr>Control</vt:lpstr>
      <vt:lpstr>Query</vt:lpstr>
      <vt:lpstr>Horas</vt:lpstr>
      <vt:lpstr>Hrs Extras Semana</vt:lpstr>
      <vt:lpstr>Hrs Extras Fact</vt:lpstr>
      <vt:lpstr>Hrs Extras Fact Grupo</vt:lpstr>
      <vt:lpstr>Reporte Horas</vt:lpstr>
      <vt:lpstr>Fechas Mes</vt:lpstr>
      <vt:lpstr>Grupo Trabajo</vt:lpstr>
      <vt:lpstr>Proyecto</vt:lpstr>
      <vt:lpstr>Tipo Clasificación</vt:lpstr>
      <vt:lpstr>Contrato</vt:lpstr>
      <vt:lpstr>Area Responsabilidad</vt:lpstr>
      <vt:lpstr>Especialidad</vt:lpstr>
      <vt:lpstr>Usuarios</vt:lpstr>
      <vt:lpstr>'Reporte Horas'!Print_Area</vt:lpstr>
      <vt:lpstr>'Reporte Horas'!Print_Titles</vt:lpstr>
      <vt:lpstr>Query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Mendoza</dc:creator>
  <cp:lastModifiedBy>Luis Antonio Rodriguez Piedra</cp:lastModifiedBy>
  <dcterms:created xsi:type="dcterms:W3CDTF">2019-08-13T20:59:56Z</dcterms:created>
  <dcterms:modified xsi:type="dcterms:W3CDTF">2026-05-18T16:48:51Z</dcterms:modified>
</cp:coreProperties>
</file>